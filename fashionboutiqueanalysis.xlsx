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nosib\Downloads\"/>
    </mc:Choice>
  </mc:AlternateContent>
  <xr:revisionPtr revIDLastSave="0" documentId="8_{C28D8637-9701-4213-BF9E-688A790A7C5A}" xr6:coauthVersionLast="47" xr6:coauthVersionMax="47" xr10:uidLastSave="{00000000-0000-0000-0000-000000000000}"/>
  <bookViews>
    <workbookView xWindow="-108" yWindow="-108" windowWidth="23256" windowHeight="12456" firstSheet="3" activeTab="5" xr2:uid="{9CBB3654-C5A6-4809-AF04-20B4F07732C2}"/>
  </bookViews>
  <sheets>
    <sheet name="Data" sheetId="2" r:id="rId1"/>
    <sheet name="Channels_analysis" sheetId="3" r:id="rId2"/>
    <sheet name="OffPeak_analysis" sheetId="4" r:id="rId3"/>
    <sheet name="ServiseAOV_analysis" sheetId="5" r:id="rId4"/>
    <sheet name="Customer_type_analysis" sheetId="6" r:id="rId5"/>
    <sheet name="dashboard" sheetId="7" r:id="rId6"/>
    <sheet name="Sheet7" sheetId="8" r:id="rId7"/>
  </sheets>
  <definedNames>
    <definedName name="ExternalData_1" localSheetId="0" hidden="1">Data!$A$1:$O$2001</definedName>
    <definedName name="Slicer_Category">#N/A</definedName>
    <definedName name="Slicer_Customer_Type">#N/A</definedName>
    <definedName name="Slicer_Marketing_Channel">#N/A</definedName>
    <definedName name="Slicer_Month">#N/A</definedName>
    <definedName name="Slicer_Service_Type">#N/A</definedName>
  </definedNames>
  <calcPr calcId="191029"/>
  <pivotCaches>
    <pivotCache cacheId="15"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7" l="1"/>
  <c r="H3" i="7"/>
  <c r="E3" i="7"/>
  <c r="B3" i="7"/>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J1384" i="2"/>
  <c r="J1727" i="2"/>
  <c r="J1835" i="2"/>
  <c r="J1943" i="2"/>
  <c r="K2" i="2"/>
  <c r="J2" i="2" s="1"/>
  <c r="K3" i="2"/>
  <c r="J3" i="2" s="1"/>
  <c r="K4" i="2"/>
  <c r="J4" i="2" s="1"/>
  <c r="K5" i="2"/>
  <c r="J5" i="2" s="1"/>
  <c r="K6" i="2"/>
  <c r="J6" i="2" s="1"/>
  <c r="K7" i="2"/>
  <c r="J7" i="2" s="1"/>
  <c r="K8" i="2"/>
  <c r="J8" i="2" s="1"/>
  <c r="K9" i="2"/>
  <c r="J9" i="2" s="1"/>
  <c r="K10" i="2"/>
  <c r="J10" i="2" s="1"/>
  <c r="K11" i="2"/>
  <c r="J11" i="2" s="1"/>
  <c r="K12" i="2"/>
  <c r="J12" i="2" s="1"/>
  <c r="K13" i="2"/>
  <c r="J13" i="2" s="1"/>
  <c r="K14" i="2"/>
  <c r="J14" i="2" s="1"/>
  <c r="K15" i="2"/>
  <c r="J15" i="2" s="1"/>
  <c r="K16" i="2"/>
  <c r="J16" i="2" s="1"/>
  <c r="K17" i="2"/>
  <c r="J17" i="2" s="1"/>
  <c r="K18" i="2"/>
  <c r="J18" i="2" s="1"/>
  <c r="K19" i="2"/>
  <c r="J19" i="2" s="1"/>
  <c r="K20" i="2"/>
  <c r="J20" i="2" s="1"/>
  <c r="K21" i="2"/>
  <c r="J21" i="2" s="1"/>
  <c r="K22" i="2"/>
  <c r="J22" i="2" s="1"/>
  <c r="K23" i="2"/>
  <c r="J23" i="2" s="1"/>
  <c r="K24" i="2"/>
  <c r="J24" i="2" s="1"/>
  <c r="K25" i="2"/>
  <c r="J25" i="2" s="1"/>
  <c r="K26" i="2"/>
  <c r="J26" i="2" s="1"/>
  <c r="K27" i="2"/>
  <c r="J27" i="2" s="1"/>
  <c r="K28" i="2"/>
  <c r="J28" i="2" s="1"/>
  <c r="K29" i="2"/>
  <c r="J29" i="2" s="1"/>
  <c r="K30" i="2"/>
  <c r="J30" i="2" s="1"/>
  <c r="K31" i="2"/>
  <c r="J31" i="2" s="1"/>
  <c r="K32" i="2"/>
  <c r="J32" i="2" s="1"/>
  <c r="K33" i="2"/>
  <c r="J33" i="2" s="1"/>
  <c r="K34" i="2"/>
  <c r="J34" i="2" s="1"/>
  <c r="K35" i="2"/>
  <c r="J35" i="2" s="1"/>
  <c r="K36" i="2"/>
  <c r="J36" i="2" s="1"/>
  <c r="K37" i="2"/>
  <c r="J37" i="2" s="1"/>
  <c r="K38" i="2"/>
  <c r="J38" i="2" s="1"/>
  <c r="K39" i="2"/>
  <c r="J39" i="2" s="1"/>
  <c r="K40" i="2"/>
  <c r="J40" i="2" s="1"/>
  <c r="K41" i="2"/>
  <c r="J41" i="2" s="1"/>
  <c r="K42" i="2"/>
  <c r="J42" i="2" s="1"/>
  <c r="K43" i="2"/>
  <c r="J43" i="2" s="1"/>
  <c r="K44" i="2"/>
  <c r="J44" i="2" s="1"/>
  <c r="K45" i="2"/>
  <c r="J45" i="2" s="1"/>
  <c r="K46" i="2"/>
  <c r="J46" i="2" s="1"/>
  <c r="K47" i="2"/>
  <c r="J47" i="2" s="1"/>
  <c r="K48" i="2"/>
  <c r="J48" i="2" s="1"/>
  <c r="K49" i="2"/>
  <c r="J49" i="2" s="1"/>
  <c r="K50" i="2"/>
  <c r="J50" i="2" s="1"/>
  <c r="K51" i="2"/>
  <c r="J51" i="2" s="1"/>
  <c r="K52" i="2"/>
  <c r="J52" i="2" s="1"/>
  <c r="K53" i="2"/>
  <c r="J53" i="2" s="1"/>
  <c r="K54" i="2"/>
  <c r="J54" i="2" s="1"/>
  <c r="K55" i="2"/>
  <c r="J55" i="2" s="1"/>
  <c r="K56" i="2"/>
  <c r="J56" i="2" s="1"/>
  <c r="K57" i="2"/>
  <c r="J57" i="2" s="1"/>
  <c r="K58" i="2"/>
  <c r="J58" i="2" s="1"/>
  <c r="K59" i="2"/>
  <c r="J59" i="2" s="1"/>
  <c r="K60" i="2"/>
  <c r="J60" i="2" s="1"/>
  <c r="K61" i="2"/>
  <c r="J61" i="2" s="1"/>
  <c r="K62" i="2"/>
  <c r="J62" i="2" s="1"/>
  <c r="K63" i="2"/>
  <c r="J63" i="2" s="1"/>
  <c r="K64" i="2"/>
  <c r="J64" i="2" s="1"/>
  <c r="K65" i="2"/>
  <c r="J65" i="2" s="1"/>
  <c r="K66" i="2"/>
  <c r="J66" i="2" s="1"/>
  <c r="K67" i="2"/>
  <c r="J67" i="2" s="1"/>
  <c r="K68" i="2"/>
  <c r="J68" i="2" s="1"/>
  <c r="K69" i="2"/>
  <c r="J69" i="2" s="1"/>
  <c r="K70" i="2"/>
  <c r="J70" i="2" s="1"/>
  <c r="K71" i="2"/>
  <c r="J71" i="2" s="1"/>
  <c r="K72" i="2"/>
  <c r="J72" i="2" s="1"/>
  <c r="K73" i="2"/>
  <c r="J73" i="2" s="1"/>
  <c r="K74" i="2"/>
  <c r="J74" i="2" s="1"/>
  <c r="K75" i="2"/>
  <c r="J75" i="2" s="1"/>
  <c r="K76" i="2"/>
  <c r="J76" i="2" s="1"/>
  <c r="K77" i="2"/>
  <c r="J77" i="2" s="1"/>
  <c r="K78" i="2"/>
  <c r="J78" i="2" s="1"/>
  <c r="K79" i="2"/>
  <c r="J79" i="2" s="1"/>
  <c r="K80" i="2"/>
  <c r="J80" i="2" s="1"/>
  <c r="K81" i="2"/>
  <c r="J81" i="2" s="1"/>
  <c r="K82" i="2"/>
  <c r="J82" i="2" s="1"/>
  <c r="K83" i="2"/>
  <c r="J83" i="2" s="1"/>
  <c r="K84" i="2"/>
  <c r="J84" i="2" s="1"/>
  <c r="K85" i="2"/>
  <c r="J85" i="2" s="1"/>
  <c r="K86" i="2"/>
  <c r="J86" i="2" s="1"/>
  <c r="K87" i="2"/>
  <c r="J87" i="2" s="1"/>
  <c r="K88" i="2"/>
  <c r="J88" i="2" s="1"/>
  <c r="K89" i="2"/>
  <c r="J89" i="2" s="1"/>
  <c r="K90" i="2"/>
  <c r="J90" i="2" s="1"/>
  <c r="K91" i="2"/>
  <c r="J91" i="2" s="1"/>
  <c r="K92" i="2"/>
  <c r="J92" i="2" s="1"/>
  <c r="K93" i="2"/>
  <c r="J93" i="2" s="1"/>
  <c r="K94" i="2"/>
  <c r="J94" i="2" s="1"/>
  <c r="K95" i="2"/>
  <c r="J95" i="2" s="1"/>
  <c r="K96" i="2"/>
  <c r="J96" i="2" s="1"/>
  <c r="K97" i="2"/>
  <c r="J97" i="2" s="1"/>
  <c r="K98" i="2"/>
  <c r="J98" i="2" s="1"/>
  <c r="K99" i="2"/>
  <c r="J99" i="2" s="1"/>
  <c r="K100" i="2"/>
  <c r="J100" i="2" s="1"/>
  <c r="K101" i="2"/>
  <c r="J101" i="2" s="1"/>
  <c r="K102" i="2"/>
  <c r="J102" i="2" s="1"/>
  <c r="K103" i="2"/>
  <c r="J103" i="2" s="1"/>
  <c r="K104" i="2"/>
  <c r="J104" i="2" s="1"/>
  <c r="K105" i="2"/>
  <c r="J105" i="2" s="1"/>
  <c r="K106" i="2"/>
  <c r="J106" i="2" s="1"/>
  <c r="K107" i="2"/>
  <c r="J107" i="2" s="1"/>
  <c r="K108" i="2"/>
  <c r="J108" i="2" s="1"/>
  <c r="K109" i="2"/>
  <c r="J109" i="2" s="1"/>
  <c r="K110" i="2"/>
  <c r="J110" i="2" s="1"/>
  <c r="K111" i="2"/>
  <c r="J111" i="2" s="1"/>
  <c r="K112" i="2"/>
  <c r="J112" i="2" s="1"/>
  <c r="K113" i="2"/>
  <c r="J113" i="2" s="1"/>
  <c r="K114" i="2"/>
  <c r="J114" i="2" s="1"/>
  <c r="K115" i="2"/>
  <c r="J115" i="2" s="1"/>
  <c r="K116" i="2"/>
  <c r="J116" i="2" s="1"/>
  <c r="K117" i="2"/>
  <c r="J117" i="2" s="1"/>
  <c r="K118" i="2"/>
  <c r="J118" i="2" s="1"/>
  <c r="K119" i="2"/>
  <c r="J119" i="2" s="1"/>
  <c r="K120" i="2"/>
  <c r="J120" i="2" s="1"/>
  <c r="K121" i="2"/>
  <c r="J121" i="2" s="1"/>
  <c r="K122" i="2"/>
  <c r="J122" i="2" s="1"/>
  <c r="K123" i="2"/>
  <c r="J123" i="2" s="1"/>
  <c r="K124" i="2"/>
  <c r="J124" i="2" s="1"/>
  <c r="K125" i="2"/>
  <c r="J125" i="2" s="1"/>
  <c r="K126" i="2"/>
  <c r="J126" i="2" s="1"/>
  <c r="K127" i="2"/>
  <c r="J127" i="2" s="1"/>
  <c r="K128" i="2"/>
  <c r="J128" i="2" s="1"/>
  <c r="K129" i="2"/>
  <c r="J129" i="2" s="1"/>
  <c r="K130" i="2"/>
  <c r="J130" i="2" s="1"/>
  <c r="K131" i="2"/>
  <c r="J131" i="2" s="1"/>
  <c r="K132" i="2"/>
  <c r="J132" i="2" s="1"/>
  <c r="K133" i="2"/>
  <c r="J133" i="2" s="1"/>
  <c r="K134" i="2"/>
  <c r="J134" i="2" s="1"/>
  <c r="K135" i="2"/>
  <c r="J135" i="2" s="1"/>
  <c r="K136" i="2"/>
  <c r="J136" i="2" s="1"/>
  <c r="K137" i="2"/>
  <c r="J137" i="2" s="1"/>
  <c r="K138" i="2"/>
  <c r="J138" i="2" s="1"/>
  <c r="K139" i="2"/>
  <c r="J139" i="2" s="1"/>
  <c r="K140" i="2"/>
  <c r="J140" i="2" s="1"/>
  <c r="K141" i="2"/>
  <c r="J141" i="2" s="1"/>
  <c r="K142" i="2"/>
  <c r="J142" i="2" s="1"/>
  <c r="K143" i="2"/>
  <c r="J143" i="2" s="1"/>
  <c r="K144" i="2"/>
  <c r="J144" i="2" s="1"/>
  <c r="K145" i="2"/>
  <c r="J145" i="2" s="1"/>
  <c r="K146" i="2"/>
  <c r="J146" i="2" s="1"/>
  <c r="K147" i="2"/>
  <c r="J147" i="2" s="1"/>
  <c r="K148" i="2"/>
  <c r="J148" i="2" s="1"/>
  <c r="K149" i="2"/>
  <c r="J149" i="2" s="1"/>
  <c r="K150" i="2"/>
  <c r="J150" i="2" s="1"/>
  <c r="K151" i="2"/>
  <c r="J151" i="2" s="1"/>
  <c r="K152" i="2"/>
  <c r="J152" i="2" s="1"/>
  <c r="K153" i="2"/>
  <c r="J153" i="2" s="1"/>
  <c r="K154" i="2"/>
  <c r="J154" i="2" s="1"/>
  <c r="K155" i="2"/>
  <c r="J155" i="2" s="1"/>
  <c r="K156" i="2"/>
  <c r="J156" i="2" s="1"/>
  <c r="K157" i="2"/>
  <c r="J157" i="2" s="1"/>
  <c r="K158" i="2"/>
  <c r="J158" i="2" s="1"/>
  <c r="K159" i="2"/>
  <c r="J159" i="2" s="1"/>
  <c r="K160" i="2"/>
  <c r="J160" i="2" s="1"/>
  <c r="K161" i="2"/>
  <c r="J161" i="2" s="1"/>
  <c r="K162" i="2"/>
  <c r="J162" i="2" s="1"/>
  <c r="K163" i="2"/>
  <c r="J163" i="2" s="1"/>
  <c r="K164" i="2"/>
  <c r="J164" i="2" s="1"/>
  <c r="K165" i="2"/>
  <c r="J165" i="2" s="1"/>
  <c r="K166" i="2"/>
  <c r="J166" i="2" s="1"/>
  <c r="K167" i="2"/>
  <c r="J167" i="2" s="1"/>
  <c r="K168" i="2"/>
  <c r="J168" i="2" s="1"/>
  <c r="K169" i="2"/>
  <c r="J169" i="2" s="1"/>
  <c r="K170" i="2"/>
  <c r="J170" i="2" s="1"/>
  <c r="K171" i="2"/>
  <c r="J171" i="2" s="1"/>
  <c r="K172" i="2"/>
  <c r="J172" i="2" s="1"/>
  <c r="K173" i="2"/>
  <c r="J173" i="2" s="1"/>
  <c r="K174" i="2"/>
  <c r="J174" i="2" s="1"/>
  <c r="K175" i="2"/>
  <c r="J175" i="2" s="1"/>
  <c r="K176" i="2"/>
  <c r="J176" i="2" s="1"/>
  <c r="K177" i="2"/>
  <c r="J177" i="2" s="1"/>
  <c r="K178" i="2"/>
  <c r="J178" i="2" s="1"/>
  <c r="K179" i="2"/>
  <c r="J179" i="2" s="1"/>
  <c r="K180" i="2"/>
  <c r="J180" i="2" s="1"/>
  <c r="K181" i="2"/>
  <c r="J181" i="2" s="1"/>
  <c r="K182" i="2"/>
  <c r="J182" i="2" s="1"/>
  <c r="K183" i="2"/>
  <c r="J183" i="2" s="1"/>
  <c r="K184" i="2"/>
  <c r="J184" i="2" s="1"/>
  <c r="K185" i="2"/>
  <c r="J185" i="2" s="1"/>
  <c r="K186" i="2"/>
  <c r="J186" i="2" s="1"/>
  <c r="K187" i="2"/>
  <c r="J187" i="2" s="1"/>
  <c r="K188" i="2"/>
  <c r="J188" i="2" s="1"/>
  <c r="K189" i="2"/>
  <c r="J189" i="2" s="1"/>
  <c r="K190" i="2"/>
  <c r="J190" i="2" s="1"/>
  <c r="K191" i="2"/>
  <c r="J191" i="2" s="1"/>
  <c r="K192" i="2"/>
  <c r="J192" i="2" s="1"/>
  <c r="K193" i="2"/>
  <c r="J193" i="2" s="1"/>
  <c r="K194" i="2"/>
  <c r="J194" i="2" s="1"/>
  <c r="K195" i="2"/>
  <c r="J195" i="2" s="1"/>
  <c r="K196" i="2"/>
  <c r="J196" i="2" s="1"/>
  <c r="K197" i="2"/>
  <c r="J197" i="2" s="1"/>
  <c r="K198" i="2"/>
  <c r="J198" i="2" s="1"/>
  <c r="K199" i="2"/>
  <c r="J199" i="2" s="1"/>
  <c r="K200" i="2"/>
  <c r="J200" i="2" s="1"/>
  <c r="K201" i="2"/>
  <c r="J201" i="2" s="1"/>
  <c r="K202" i="2"/>
  <c r="J202" i="2" s="1"/>
  <c r="K203" i="2"/>
  <c r="J203" i="2" s="1"/>
  <c r="K204" i="2"/>
  <c r="J204" i="2" s="1"/>
  <c r="K205" i="2"/>
  <c r="J205" i="2" s="1"/>
  <c r="K206" i="2"/>
  <c r="J206" i="2" s="1"/>
  <c r="K207" i="2"/>
  <c r="J207" i="2" s="1"/>
  <c r="K208" i="2"/>
  <c r="J208" i="2" s="1"/>
  <c r="K209" i="2"/>
  <c r="J209" i="2" s="1"/>
  <c r="K210" i="2"/>
  <c r="J210" i="2" s="1"/>
  <c r="K211" i="2"/>
  <c r="J211" i="2" s="1"/>
  <c r="K212" i="2"/>
  <c r="J212" i="2" s="1"/>
  <c r="K213" i="2"/>
  <c r="J213" i="2" s="1"/>
  <c r="K214" i="2"/>
  <c r="J214" i="2" s="1"/>
  <c r="K215" i="2"/>
  <c r="J215" i="2" s="1"/>
  <c r="K216" i="2"/>
  <c r="J216" i="2" s="1"/>
  <c r="K217" i="2"/>
  <c r="J217" i="2" s="1"/>
  <c r="K218" i="2"/>
  <c r="J218" i="2" s="1"/>
  <c r="K219" i="2"/>
  <c r="J219" i="2" s="1"/>
  <c r="K220" i="2"/>
  <c r="J220" i="2" s="1"/>
  <c r="K221" i="2"/>
  <c r="J221" i="2" s="1"/>
  <c r="K222" i="2"/>
  <c r="J222" i="2" s="1"/>
  <c r="K223" i="2"/>
  <c r="J223" i="2" s="1"/>
  <c r="K224" i="2"/>
  <c r="J224" i="2" s="1"/>
  <c r="K225" i="2"/>
  <c r="J225" i="2" s="1"/>
  <c r="K226" i="2"/>
  <c r="J226" i="2" s="1"/>
  <c r="K227" i="2"/>
  <c r="J227" i="2" s="1"/>
  <c r="K228" i="2"/>
  <c r="J228" i="2" s="1"/>
  <c r="K229" i="2"/>
  <c r="J229" i="2" s="1"/>
  <c r="K230" i="2"/>
  <c r="J230" i="2" s="1"/>
  <c r="K231" i="2"/>
  <c r="J231" i="2" s="1"/>
  <c r="K232" i="2"/>
  <c r="J232" i="2" s="1"/>
  <c r="K233" i="2"/>
  <c r="J233" i="2" s="1"/>
  <c r="K234" i="2"/>
  <c r="J234" i="2" s="1"/>
  <c r="K235" i="2"/>
  <c r="J235" i="2" s="1"/>
  <c r="K236" i="2"/>
  <c r="J236" i="2" s="1"/>
  <c r="K237" i="2"/>
  <c r="J237" i="2" s="1"/>
  <c r="K238" i="2"/>
  <c r="J238" i="2" s="1"/>
  <c r="K239" i="2"/>
  <c r="J239" i="2" s="1"/>
  <c r="K240" i="2"/>
  <c r="J240" i="2" s="1"/>
  <c r="K241" i="2"/>
  <c r="J241" i="2" s="1"/>
  <c r="K242" i="2"/>
  <c r="J242" i="2" s="1"/>
  <c r="K243" i="2"/>
  <c r="J243" i="2" s="1"/>
  <c r="K244" i="2"/>
  <c r="J244" i="2" s="1"/>
  <c r="K245" i="2"/>
  <c r="J245" i="2" s="1"/>
  <c r="K246" i="2"/>
  <c r="J246" i="2" s="1"/>
  <c r="K247" i="2"/>
  <c r="J247" i="2" s="1"/>
  <c r="K248" i="2"/>
  <c r="J248" i="2" s="1"/>
  <c r="K249" i="2"/>
  <c r="J249" i="2" s="1"/>
  <c r="K250" i="2"/>
  <c r="J250" i="2" s="1"/>
  <c r="K251" i="2"/>
  <c r="J251" i="2" s="1"/>
  <c r="K252" i="2"/>
  <c r="J252" i="2" s="1"/>
  <c r="K253" i="2"/>
  <c r="J253" i="2" s="1"/>
  <c r="K254" i="2"/>
  <c r="J254" i="2" s="1"/>
  <c r="K255" i="2"/>
  <c r="J255" i="2" s="1"/>
  <c r="K256" i="2"/>
  <c r="J256" i="2" s="1"/>
  <c r="K257" i="2"/>
  <c r="J257" i="2" s="1"/>
  <c r="K258" i="2"/>
  <c r="J258" i="2" s="1"/>
  <c r="K259" i="2"/>
  <c r="J259" i="2" s="1"/>
  <c r="K260" i="2"/>
  <c r="J260" i="2" s="1"/>
  <c r="K261" i="2"/>
  <c r="J261" i="2" s="1"/>
  <c r="K262" i="2"/>
  <c r="J262" i="2" s="1"/>
  <c r="K263" i="2"/>
  <c r="J263" i="2" s="1"/>
  <c r="K264" i="2"/>
  <c r="J264" i="2" s="1"/>
  <c r="K265" i="2"/>
  <c r="J265" i="2" s="1"/>
  <c r="K266" i="2"/>
  <c r="J266" i="2" s="1"/>
  <c r="K267" i="2"/>
  <c r="J267" i="2" s="1"/>
  <c r="K268" i="2"/>
  <c r="J268" i="2" s="1"/>
  <c r="K269" i="2"/>
  <c r="J269" i="2" s="1"/>
  <c r="K270" i="2"/>
  <c r="J270" i="2" s="1"/>
  <c r="K271" i="2"/>
  <c r="J271" i="2" s="1"/>
  <c r="K272" i="2"/>
  <c r="J272" i="2" s="1"/>
  <c r="K273" i="2"/>
  <c r="J273" i="2" s="1"/>
  <c r="K274" i="2"/>
  <c r="J274" i="2" s="1"/>
  <c r="K275" i="2"/>
  <c r="J275" i="2" s="1"/>
  <c r="K276" i="2"/>
  <c r="J276" i="2" s="1"/>
  <c r="K277" i="2"/>
  <c r="J277" i="2" s="1"/>
  <c r="K278" i="2"/>
  <c r="J278" i="2" s="1"/>
  <c r="K279" i="2"/>
  <c r="J279" i="2" s="1"/>
  <c r="K280" i="2"/>
  <c r="J280" i="2" s="1"/>
  <c r="K281" i="2"/>
  <c r="J281" i="2" s="1"/>
  <c r="K282" i="2"/>
  <c r="J282" i="2" s="1"/>
  <c r="K283" i="2"/>
  <c r="J283" i="2" s="1"/>
  <c r="K284" i="2"/>
  <c r="J284" i="2" s="1"/>
  <c r="K285" i="2"/>
  <c r="J285" i="2" s="1"/>
  <c r="K286" i="2"/>
  <c r="J286" i="2" s="1"/>
  <c r="K287" i="2"/>
  <c r="J287" i="2" s="1"/>
  <c r="K288" i="2"/>
  <c r="J288" i="2" s="1"/>
  <c r="K289" i="2"/>
  <c r="J289" i="2" s="1"/>
  <c r="K290" i="2"/>
  <c r="J290" i="2" s="1"/>
  <c r="K291" i="2"/>
  <c r="J291" i="2" s="1"/>
  <c r="K292" i="2"/>
  <c r="J292" i="2" s="1"/>
  <c r="K293" i="2"/>
  <c r="J293" i="2" s="1"/>
  <c r="K294" i="2"/>
  <c r="J294" i="2" s="1"/>
  <c r="K295" i="2"/>
  <c r="J295" i="2" s="1"/>
  <c r="K296" i="2"/>
  <c r="J296" i="2" s="1"/>
  <c r="K297" i="2"/>
  <c r="J297" i="2" s="1"/>
  <c r="K298" i="2"/>
  <c r="J298" i="2" s="1"/>
  <c r="K299" i="2"/>
  <c r="J299" i="2" s="1"/>
  <c r="K300" i="2"/>
  <c r="J300" i="2" s="1"/>
  <c r="K301" i="2"/>
  <c r="J301" i="2" s="1"/>
  <c r="K302" i="2"/>
  <c r="J302" i="2" s="1"/>
  <c r="K303" i="2"/>
  <c r="J303" i="2" s="1"/>
  <c r="K304" i="2"/>
  <c r="J304" i="2" s="1"/>
  <c r="K305" i="2"/>
  <c r="J305" i="2" s="1"/>
  <c r="K306" i="2"/>
  <c r="J306" i="2" s="1"/>
  <c r="K307" i="2"/>
  <c r="J307" i="2" s="1"/>
  <c r="K308" i="2"/>
  <c r="J308" i="2" s="1"/>
  <c r="K309" i="2"/>
  <c r="J309" i="2" s="1"/>
  <c r="K310" i="2"/>
  <c r="J310" i="2" s="1"/>
  <c r="K311" i="2"/>
  <c r="J311" i="2" s="1"/>
  <c r="K312" i="2"/>
  <c r="J312" i="2" s="1"/>
  <c r="K313" i="2"/>
  <c r="J313" i="2" s="1"/>
  <c r="K314" i="2"/>
  <c r="J314" i="2" s="1"/>
  <c r="K315" i="2"/>
  <c r="J315" i="2" s="1"/>
  <c r="K316" i="2"/>
  <c r="J316" i="2" s="1"/>
  <c r="K317" i="2"/>
  <c r="J317" i="2" s="1"/>
  <c r="K318" i="2"/>
  <c r="J318" i="2" s="1"/>
  <c r="K319" i="2"/>
  <c r="J319" i="2" s="1"/>
  <c r="K320" i="2"/>
  <c r="J320" i="2" s="1"/>
  <c r="K321" i="2"/>
  <c r="J321" i="2" s="1"/>
  <c r="K322" i="2"/>
  <c r="J322" i="2" s="1"/>
  <c r="K323" i="2"/>
  <c r="J323" i="2" s="1"/>
  <c r="K324" i="2"/>
  <c r="J324" i="2" s="1"/>
  <c r="K325" i="2"/>
  <c r="J325" i="2" s="1"/>
  <c r="K326" i="2"/>
  <c r="J326" i="2" s="1"/>
  <c r="K327" i="2"/>
  <c r="J327" i="2" s="1"/>
  <c r="K328" i="2"/>
  <c r="J328" i="2" s="1"/>
  <c r="K329" i="2"/>
  <c r="J329" i="2" s="1"/>
  <c r="K330" i="2"/>
  <c r="J330" i="2" s="1"/>
  <c r="K331" i="2"/>
  <c r="J331" i="2" s="1"/>
  <c r="K332" i="2"/>
  <c r="J332" i="2" s="1"/>
  <c r="K333" i="2"/>
  <c r="J333" i="2" s="1"/>
  <c r="K334" i="2"/>
  <c r="J334" i="2" s="1"/>
  <c r="K335" i="2"/>
  <c r="J335" i="2" s="1"/>
  <c r="K336" i="2"/>
  <c r="J336" i="2" s="1"/>
  <c r="K337" i="2"/>
  <c r="J337" i="2" s="1"/>
  <c r="K338" i="2"/>
  <c r="J338" i="2" s="1"/>
  <c r="K339" i="2"/>
  <c r="J339" i="2" s="1"/>
  <c r="K340" i="2"/>
  <c r="J340" i="2" s="1"/>
  <c r="K341" i="2"/>
  <c r="J341" i="2" s="1"/>
  <c r="K342" i="2"/>
  <c r="J342" i="2" s="1"/>
  <c r="K343" i="2"/>
  <c r="J343" i="2" s="1"/>
  <c r="K344" i="2"/>
  <c r="J344" i="2" s="1"/>
  <c r="K345" i="2"/>
  <c r="J345" i="2" s="1"/>
  <c r="K346" i="2"/>
  <c r="J346" i="2" s="1"/>
  <c r="K347" i="2"/>
  <c r="J347" i="2" s="1"/>
  <c r="K348" i="2"/>
  <c r="J348" i="2" s="1"/>
  <c r="K349" i="2"/>
  <c r="J349" i="2" s="1"/>
  <c r="K350" i="2"/>
  <c r="J350" i="2" s="1"/>
  <c r="K351" i="2"/>
  <c r="J351" i="2" s="1"/>
  <c r="K352" i="2"/>
  <c r="J352" i="2" s="1"/>
  <c r="K353" i="2"/>
  <c r="J353" i="2" s="1"/>
  <c r="K354" i="2"/>
  <c r="J354" i="2" s="1"/>
  <c r="K355" i="2"/>
  <c r="J355" i="2" s="1"/>
  <c r="K356" i="2"/>
  <c r="J356" i="2" s="1"/>
  <c r="K357" i="2"/>
  <c r="J357" i="2" s="1"/>
  <c r="K358" i="2"/>
  <c r="J358" i="2" s="1"/>
  <c r="K359" i="2"/>
  <c r="J359" i="2" s="1"/>
  <c r="K360" i="2"/>
  <c r="J360" i="2" s="1"/>
  <c r="K361" i="2"/>
  <c r="J361" i="2" s="1"/>
  <c r="K362" i="2"/>
  <c r="J362" i="2" s="1"/>
  <c r="K363" i="2"/>
  <c r="J363" i="2" s="1"/>
  <c r="K364" i="2"/>
  <c r="J364" i="2" s="1"/>
  <c r="K365" i="2"/>
  <c r="J365" i="2" s="1"/>
  <c r="K366" i="2"/>
  <c r="J366" i="2" s="1"/>
  <c r="K367" i="2"/>
  <c r="J367" i="2" s="1"/>
  <c r="K368" i="2"/>
  <c r="J368" i="2" s="1"/>
  <c r="K369" i="2"/>
  <c r="J369" i="2" s="1"/>
  <c r="K370" i="2"/>
  <c r="J370" i="2" s="1"/>
  <c r="K371" i="2"/>
  <c r="J371" i="2" s="1"/>
  <c r="K372" i="2"/>
  <c r="J372" i="2" s="1"/>
  <c r="K373" i="2"/>
  <c r="J373" i="2" s="1"/>
  <c r="K374" i="2"/>
  <c r="J374" i="2" s="1"/>
  <c r="K375" i="2"/>
  <c r="J375" i="2" s="1"/>
  <c r="K376" i="2"/>
  <c r="J376" i="2" s="1"/>
  <c r="K377" i="2"/>
  <c r="J377" i="2" s="1"/>
  <c r="K378" i="2"/>
  <c r="J378" i="2" s="1"/>
  <c r="K379" i="2"/>
  <c r="J379" i="2" s="1"/>
  <c r="K380" i="2"/>
  <c r="J380" i="2" s="1"/>
  <c r="K381" i="2"/>
  <c r="J381" i="2" s="1"/>
  <c r="K382" i="2"/>
  <c r="J382" i="2" s="1"/>
  <c r="K383" i="2"/>
  <c r="J383" i="2" s="1"/>
  <c r="K384" i="2"/>
  <c r="J384" i="2" s="1"/>
  <c r="K385" i="2"/>
  <c r="J385" i="2" s="1"/>
  <c r="K386" i="2"/>
  <c r="J386" i="2" s="1"/>
  <c r="K387" i="2"/>
  <c r="J387" i="2" s="1"/>
  <c r="K388" i="2"/>
  <c r="J388" i="2" s="1"/>
  <c r="K389" i="2"/>
  <c r="J389" i="2" s="1"/>
  <c r="K390" i="2"/>
  <c r="J390" i="2" s="1"/>
  <c r="K391" i="2"/>
  <c r="J391" i="2" s="1"/>
  <c r="K392" i="2"/>
  <c r="J392" i="2" s="1"/>
  <c r="K393" i="2"/>
  <c r="J393" i="2" s="1"/>
  <c r="K394" i="2"/>
  <c r="J394" i="2" s="1"/>
  <c r="K395" i="2"/>
  <c r="J395" i="2" s="1"/>
  <c r="K396" i="2"/>
  <c r="J396" i="2" s="1"/>
  <c r="K397" i="2"/>
  <c r="J397" i="2" s="1"/>
  <c r="K398" i="2"/>
  <c r="J398" i="2" s="1"/>
  <c r="K399" i="2"/>
  <c r="J399" i="2" s="1"/>
  <c r="K400" i="2"/>
  <c r="J400" i="2" s="1"/>
  <c r="K401" i="2"/>
  <c r="J401" i="2" s="1"/>
  <c r="K402" i="2"/>
  <c r="J402" i="2" s="1"/>
  <c r="K403" i="2"/>
  <c r="J403" i="2" s="1"/>
  <c r="K404" i="2"/>
  <c r="J404" i="2" s="1"/>
  <c r="K405" i="2"/>
  <c r="J405" i="2" s="1"/>
  <c r="K406" i="2"/>
  <c r="J406" i="2" s="1"/>
  <c r="K407" i="2"/>
  <c r="J407" i="2" s="1"/>
  <c r="K408" i="2"/>
  <c r="J408" i="2" s="1"/>
  <c r="K409" i="2"/>
  <c r="J409" i="2" s="1"/>
  <c r="K410" i="2"/>
  <c r="J410" i="2" s="1"/>
  <c r="K411" i="2"/>
  <c r="J411" i="2" s="1"/>
  <c r="K412" i="2"/>
  <c r="J412" i="2" s="1"/>
  <c r="K413" i="2"/>
  <c r="J413" i="2" s="1"/>
  <c r="K414" i="2"/>
  <c r="J414" i="2" s="1"/>
  <c r="K415" i="2"/>
  <c r="J415" i="2" s="1"/>
  <c r="K416" i="2"/>
  <c r="J416" i="2" s="1"/>
  <c r="K417" i="2"/>
  <c r="J417" i="2" s="1"/>
  <c r="K418" i="2"/>
  <c r="J418" i="2" s="1"/>
  <c r="K419" i="2"/>
  <c r="J419" i="2" s="1"/>
  <c r="K420" i="2"/>
  <c r="J420" i="2" s="1"/>
  <c r="K421" i="2"/>
  <c r="J421" i="2" s="1"/>
  <c r="K422" i="2"/>
  <c r="J422" i="2" s="1"/>
  <c r="K423" i="2"/>
  <c r="J423" i="2" s="1"/>
  <c r="K424" i="2"/>
  <c r="J424" i="2" s="1"/>
  <c r="K425" i="2"/>
  <c r="J425" i="2" s="1"/>
  <c r="K426" i="2"/>
  <c r="J426" i="2" s="1"/>
  <c r="K427" i="2"/>
  <c r="J427" i="2" s="1"/>
  <c r="K428" i="2"/>
  <c r="J428" i="2" s="1"/>
  <c r="K429" i="2"/>
  <c r="J429" i="2" s="1"/>
  <c r="K430" i="2"/>
  <c r="J430" i="2" s="1"/>
  <c r="K431" i="2"/>
  <c r="J431" i="2" s="1"/>
  <c r="K432" i="2"/>
  <c r="J432" i="2" s="1"/>
  <c r="K433" i="2"/>
  <c r="J433" i="2" s="1"/>
  <c r="K434" i="2"/>
  <c r="J434" i="2" s="1"/>
  <c r="K435" i="2"/>
  <c r="J435" i="2" s="1"/>
  <c r="K436" i="2"/>
  <c r="J436" i="2" s="1"/>
  <c r="K437" i="2"/>
  <c r="J437" i="2" s="1"/>
  <c r="K438" i="2"/>
  <c r="J438" i="2" s="1"/>
  <c r="K439" i="2"/>
  <c r="J439" i="2" s="1"/>
  <c r="K440" i="2"/>
  <c r="J440" i="2" s="1"/>
  <c r="K441" i="2"/>
  <c r="J441" i="2" s="1"/>
  <c r="K442" i="2"/>
  <c r="J442" i="2" s="1"/>
  <c r="K443" i="2"/>
  <c r="J443" i="2" s="1"/>
  <c r="K444" i="2"/>
  <c r="J444" i="2" s="1"/>
  <c r="K445" i="2"/>
  <c r="J445" i="2" s="1"/>
  <c r="K446" i="2"/>
  <c r="J446" i="2" s="1"/>
  <c r="K447" i="2"/>
  <c r="J447" i="2" s="1"/>
  <c r="K448" i="2"/>
  <c r="J448" i="2" s="1"/>
  <c r="K449" i="2"/>
  <c r="J449" i="2" s="1"/>
  <c r="K450" i="2"/>
  <c r="J450" i="2" s="1"/>
  <c r="K451" i="2"/>
  <c r="J451" i="2" s="1"/>
  <c r="K452" i="2"/>
  <c r="J452" i="2" s="1"/>
  <c r="K453" i="2"/>
  <c r="J453" i="2" s="1"/>
  <c r="K454" i="2"/>
  <c r="J454" i="2" s="1"/>
  <c r="K455" i="2"/>
  <c r="J455" i="2" s="1"/>
  <c r="K456" i="2"/>
  <c r="J456" i="2" s="1"/>
  <c r="K457" i="2"/>
  <c r="J457" i="2" s="1"/>
  <c r="K458" i="2"/>
  <c r="J458" i="2" s="1"/>
  <c r="K459" i="2"/>
  <c r="J459" i="2" s="1"/>
  <c r="K460" i="2"/>
  <c r="J460" i="2" s="1"/>
  <c r="K461" i="2"/>
  <c r="J461" i="2" s="1"/>
  <c r="K462" i="2"/>
  <c r="J462" i="2" s="1"/>
  <c r="K463" i="2"/>
  <c r="J463" i="2" s="1"/>
  <c r="K464" i="2"/>
  <c r="J464" i="2" s="1"/>
  <c r="K465" i="2"/>
  <c r="J465" i="2" s="1"/>
  <c r="K466" i="2"/>
  <c r="J466" i="2" s="1"/>
  <c r="K467" i="2"/>
  <c r="J467" i="2" s="1"/>
  <c r="K468" i="2"/>
  <c r="J468" i="2" s="1"/>
  <c r="K469" i="2"/>
  <c r="J469" i="2" s="1"/>
  <c r="K470" i="2"/>
  <c r="J470" i="2" s="1"/>
  <c r="K471" i="2"/>
  <c r="J471" i="2" s="1"/>
  <c r="K472" i="2"/>
  <c r="J472" i="2" s="1"/>
  <c r="K473" i="2"/>
  <c r="J473" i="2" s="1"/>
  <c r="K474" i="2"/>
  <c r="J474" i="2" s="1"/>
  <c r="K475" i="2"/>
  <c r="J475" i="2" s="1"/>
  <c r="K476" i="2"/>
  <c r="J476" i="2" s="1"/>
  <c r="K477" i="2"/>
  <c r="J477" i="2" s="1"/>
  <c r="K478" i="2"/>
  <c r="J478" i="2" s="1"/>
  <c r="K479" i="2"/>
  <c r="J479" i="2" s="1"/>
  <c r="K480" i="2"/>
  <c r="J480" i="2" s="1"/>
  <c r="K481" i="2"/>
  <c r="J481" i="2" s="1"/>
  <c r="K482" i="2"/>
  <c r="J482" i="2" s="1"/>
  <c r="K483" i="2"/>
  <c r="J483" i="2" s="1"/>
  <c r="K484" i="2"/>
  <c r="J484" i="2" s="1"/>
  <c r="K485" i="2"/>
  <c r="J485" i="2" s="1"/>
  <c r="K486" i="2"/>
  <c r="J486" i="2" s="1"/>
  <c r="K487" i="2"/>
  <c r="J487" i="2" s="1"/>
  <c r="K488" i="2"/>
  <c r="J488" i="2" s="1"/>
  <c r="K489" i="2"/>
  <c r="J489" i="2" s="1"/>
  <c r="K490" i="2"/>
  <c r="J490" i="2" s="1"/>
  <c r="K491" i="2"/>
  <c r="J491" i="2" s="1"/>
  <c r="K492" i="2"/>
  <c r="J492" i="2" s="1"/>
  <c r="K493" i="2"/>
  <c r="J493" i="2" s="1"/>
  <c r="K494" i="2"/>
  <c r="J494" i="2" s="1"/>
  <c r="K495" i="2"/>
  <c r="J495" i="2" s="1"/>
  <c r="K496" i="2"/>
  <c r="J496" i="2" s="1"/>
  <c r="K497" i="2"/>
  <c r="J497" i="2" s="1"/>
  <c r="K498" i="2"/>
  <c r="J498" i="2" s="1"/>
  <c r="K499" i="2"/>
  <c r="J499" i="2" s="1"/>
  <c r="K500" i="2"/>
  <c r="J500" i="2" s="1"/>
  <c r="K501" i="2"/>
  <c r="J501" i="2" s="1"/>
  <c r="K502" i="2"/>
  <c r="J502" i="2" s="1"/>
  <c r="K503" i="2"/>
  <c r="J503" i="2" s="1"/>
  <c r="K504" i="2"/>
  <c r="J504" i="2" s="1"/>
  <c r="K505" i="2"/>
  <c r="J505" i="2" s="1"/>
  <c r="K506" i="2"/>
  <c r="J506" i="2" s="1"/>
  <c r="K507" i="2"/>
  <c r="J507" i="2" s="1"/>
  <c r="K508" i="2"/>
  <c r="J508" i="2" s="1"/>
  <c r="K509" i="2"/>
  <c r="J509" i="2" s="1"/>
  <c r="K510" i="2"/>
  <c r="J510" i="2" s="1"/>
  <c r="K511" i="2"/>
  <c r="J511" i="2" s="1"/>
  <c r="K512" i="2"/>
  <c r="J512" i="2" s="1"/>
  <c r="K513" i="2"/>
  <c r="J513" i="2" s="1"/>
  <c r="K514" i="2"/>
  <c r="J514" i="2" s="1"/>
  <c r="K515" i="2"/>
  <c r="J515" i="2" s="1"/>
  <c r="K516" i="2"/>
  <c r="J516" i="2" s="1"/>
  <c r="K517" i="2"/>
  <c r="J517" i="2" s="1"/>
  <c r="K518" i="2"/>
  <c r="J518" i="2" s="1"/>
  <c r="K519" i="2"/>
  <c r="J519" i="2" s="1"/>
  <c r="K520" i="2"/>
  <c r="J520" i="2" s="1"/>
  <c r="K521" i="2"/>
  <c r="J521" i="2" s="1"/>
  <c r="K522" i="2"/>
  <c r="J522" i="2" s="1"/>
  <c r="K523" i="2"/>
  <c r="J523" i="2" s="1"/>
  <c r="K524" i="2"/>
  <c r="J524" i="2" s="1"/>
  <c r="K525" i="2"/>
  <c r="J525" i="2" s="1"/>
  <c r="K526" i="2"/>
  <c r="J526" i="2" s="1"/>
  <c r="K527" i="2"/>
  <c r="J527" i="2" s="1"/>
  <c r="K528" i="2"/>
  <c r="J528" i="2" s="1"/>
  <c r="K529" i="2"/>
  <c r="J529" i="2" s="1"/>
  <c r="K530" i="2"/>
  <c r="J530" i="2" s="1"/>
  <c r="K531" i="2"/>
  <c r="J531" i="2" s="1"/>
  <c r="K532" i="2"/>
  <c r="J532" i="2" s="1"/>
  <c r="K533" i="2"/>
  <c r="J533" i="2" s="1"/>
  <c r="K534" i="2"/>
  <c r="J534" i="2" s="1"/>
  <c r="K535" i="2"/>
  <c r="J535" i="2" s="1"/>
  <c r="K536" i="2"/>
  <c r="J536" i="2" s="1"/>
  <c r="K537" i="2"/>
  <c r="J537" i="2" s="1"/>
  <c r="K538" i="2"/>
  <c r="J538" i="2" s="1"/>
  <c r="K539" i="2"/>
  <c r="J539" i="2" s="1"/>
  <c r="K540" i="2"/>
  <c r="J540" i="2" s="1"/>
  <c r="K541" i="2"/>
  <c r="J541" i="2" s="1"/>
  <c r="K542" i="2"/>
  <c r="J542" i="2" s="1"/>
  <c r="K543" i="2"/>
  <c r="J543" i="2" s="1"/>
  <c r="K544" i="2"/>
  <c r="J544" i="2" s="1"/>
  <c r="K545" i="2"/>
  <c r="J545" i="2" s="1"/>
  <c r="K546" i="2"/>
  <c r="J546" i="2" s="1"/>
  <c r="K547" i="2"/>
  <c r="J547" i="2" s="1"/>
  <c r="K548" i="2"/>
  <c r="J548" i="2" s="1"/>
  <c r="K549" i="2"/>
  <c r="J549" i="2" s="1"/>
  <c r="K550" i="2"/>
  <c r="J550" i="2" s="1"/>
  <c r="K551" i="2"/>
  <c r="J551" i="2" s="1"/>
  <c r="K552" i="2"/>
  <c r="J552" i="2" s="1"/>
  <c r="K553" i="2"/>
  <c r="J553" i="2" s="1"/>
  <c r="K554" i="2"/>
  <c r="J554" i="2" s="1"/>
  <c r="K555" i="2"/>
  <c r="J555" i="2" s="1"/>
  <c r="K556" i="2"/>
  <c r="J556" i="2" s="1"/>
  <c r="K557" i="2"/>
  <c r="J557" i="2" s="1"/>
  <c r="K558" i="2"/>
  <c r="J558" i="2" s="1"/>
  <c r="K559" i="2"/>
  <c r="J559" i="2" s="1"/>
  <c r="K560" i="2"/>
  <c r="J560" i="2" s="1"/>
  <c r="K561" i="2"/>
  <c r="J561" i="2" s="1"/>
  <c r="K562" i="2"/>
  <c r="J562" i="2" s="1"/>
  <c r="K563" i="2"/>
  <c r="J563" i="2" s="1"/>
  <c r="K564" i="2"/>
  <c r="J564" i="2" s="1"/>
  <c r="K565" i="2"/>
  <c r="J565" i="2" s="1"/>
  <c r="K566" i="2"/>
  <c r="J566" i="2" s="1"/>
  <c r="K567" i="2"/>
  <c r="J567" i="2" s="1"/>
  <c r="K568" i="2"/>
  <c r="J568" i="2" s="1"/>
  <c r="K569" i="2"/>
  <c r="J569" i="2" s="1"/>
  <c r="K570" i="2"/>
  <c r="J570" i="2" s="1"/>
  <c r="K571" i="2"/>
  <c r="J571" i="2" s="1"/>
  <c r="K572" i="2"/>
  <c r="J572" i="2" s="1"/>
  <c r="K573" i="2"/>
  <c r="J573" i="2" s="1"/>
  <c r="K574" i="2"/>
  <c r="J574" i="2" s="1"/>
  <c r="K575" i="2"/>
  <c r="J575" i="2" s="1"/>
  <c r="K576" i="2"/>
  <c r="J576" i="2" s="1"/>
  <c r="K577" i="2"/>
  <c r="J577" i="2" s="1"/>
  <c r="K578" i="2"/>
  <c r="J578" i="2" s="1"/>
  <c r="K579" i="2"/>
  <c r="J579" i="2" s="1"/>
  <c r="K580" i="2"/>
  <c r="J580" i="2" s="1"/>
  <c r="K581" i="2"/>
  <c r="J581" i="2" s="1"/>
  <c r="K582" i="2"/>
  <c r="J582" i="2" s="1"/>
  <c r="K583" i="2"/>
  <c r="J583" i="2" s="1"/>
  <c r="K584" i="2"/>
  <c r="J584" i="2" s="1"/>
  <c r="K585" i="2"/>
  <c r="J585" i="2" s="1"/>
  <c r="K586" i="2"/>
  <c r="J586" i="2" s="1"/>
  <c r="K587" i="2"/>
  <c r="J587" i="2" s="1"/>
  <c r="K588" i="2"/>
  <c r="J588" i="2" s="1"/>
  <c r="K589" i="2"/>
  <c r="J589" i="2" s="1"/>
  <c r="K590" i="2"/>
  <c r="J590" i="2" s="1"/>
  <c r="K591" i="2"/>
  <c r="J591" i="2" s="1"/>
  <c r="K592" i="2"/>
  <c r="J592" i="2" s="1"/>
  <c r="K593" i="2"/>
  <c r="J593" i="2" s="1"/>
  <c r="K594" i="2"/>
  <c r="J594" i="2" s="1"/>
  <c r="K595" i="2"/>
  <c r="J595" i="2" s="1"/>
  <c r="K596" i="2"/>
  <c r="J596" i="2" s="1"/>
  <c r="K597" i="2"/>
  <c r="J597" i="2" s="1"/>
  <c r="K598" i="2"/>
  <c r="J598" i="2" s="1"/>
  <c r="K599" i="2"/>
  <c r="J599" i="2" s="1"/>
  <c r="K600" i="2"/>
  <c r="J600" i="2" s="1"/>
  <c r="K601" i="2"/>
  <c r="J601" i="2" s="1"/>
  <c r="K602" i="2"/>
  <c r="J602" i="2" s="1"/>
  <c r="K603" i="2"/>
  <c r="J603" i="2" s="1"/>
  <c r="K604" i="2"/>
  <c r="J604" i="2" s="1"/>
  <c r="K605" i="2"/>
  <c r="J605" i="2" s="1"/>
  <c r="K606" i="2"/>
  <c r="J606" i="2" s="1"/>
  <c r="K607" i="2"/>
  <c r="J607" i="2" s="1"/>
  <c r="K608" i="2"/>
  <c r="J608" i="2" s="1"/>
  <c r="K609" i="2"/>
  <c r="J609" i="2" s="1"/>
  <c r="K610" i="2"/>
  <c r="J610" i="2" s="1"/>
  <c r="K611" i="2"/>
  <c r="J611" i="2" s="1"/>
  <c r="K612" i="2"/>
  <c r="J612" i="2" s="1"/>
  <c r="K613" i="2"/>
  <c r="J613" i="2" s="1"/>
  <c r="K614" i="2"/>
  <c r="J614" i="2" s="1"/>
  <c r="K615" i="2"/>
  <c r="J615" i="2" s="1"/>
  <c r="K616" i="2"/>
  <c r="J616" i="2" s="1"/>
  <c r="K617" i="2"/>
  <c r="J617" i="2" s="1"/>
  <c r="K618" i="2"/>
  <c r="J618" i="2" s="1"/>
  <c r="K619" i="2"/>
  <c r="J619" i="2" s="1"/>
  <c r="K620" i="2"/>
  <c r="J620" i="2" s="1"/>
  <c r="K621" i="2"/>
  <c r="J621" i="2" s="1"/>
  <c r="K622" i="2"/>
  <c r="J622" i="2" s="1"/>
  <c r="K623" i="2"/>
  <c r="J623" i="2" s="1"/>
  <c r="K624" i="2"/>
  <c r="J624" i="2" s="1"/>
  <c r="K625" i="2"/>
  <c r="J625" i="2" s="1"/>
  <c r="K626" i="2"/>
  <c r="J626" i="2" s="1"/>
  <c r="K627" i="2"/>
  <c r="J627" i="2" s="1"/>
  <c r="K628" i="2"/>
  <c r="J628" i="2" s="1"/>
  <c r="K629" i="2"/>
  <c r="J629" i="2" s="1"/>
  <c r="K630" i="2"/>
  <c r="J630" i="2" s="1"/>
  <c r="K631" i="2"/>
  <c r="J631" i="2" s="1"/>
  <c r="K632" i="2"/>
  <c r="J632" i="2" s="1"/>
  <c r="K633" i="2"/>
  <c r="J633" i="2" s="1"/>
  <c r="K634" i="2"/>
  <c r="J634" i="2" s="1"/>
  <c r="K635" i="2"/>
  <c r="J635" i="2" s="1"/>
  <c r="K636" i="2"/>
  <c r="J636" i="2" s="1"/>
  <c r="K637" i="2"/>
  <c r="J637" i="2" s="1"/>
  <c r="K638" i="2"/>
  <c r="J638" i="2" s="1"/>
  <c r="K639" i="2"/>
  <c r="J639" i="2" s="1"/>
  <c r="K640" i="2"/>
  <c r="J640" i="2" s="1"/>
  <c r="K641" i="2"/>
  <c r="J641" i="2" s="1"/>
  <c r="K642" i="2"/>
  <c r="J642" i="2" s="1"/>
  <c r="K643" i="2"/>
  <c r="J643" i="2" s="1"/>
  <c r="K644" i="2"/>
  <c r="J644" i="2" s="1"/>
  <c r="K645" i="2"/>
  <c r="J645" i="2" s="1"/>
  <c r="K646" i="2"/>
  <c r="J646" i="2" s="1"/>
  <c r="K647" i="2"/>
  <c r="J647" i="2" s="1"/>
  <c r="K648" i="2"/>
  <c r="J648" i="2" s="1"/>
  <c r="K649" i="2"/>
  <c r="J649" i="2" s="1"/>
  <c r="K650" i="2"/>
  <c r="J650" i="2" s="1"/>
  <c r="K651" i="2"/>
  <c r="J651" i="2" s="1"/>
  <c r="K652" i="2"/>
  <c r="J652" i="2" s="1"/>
  <c r="K653" i="2"/>
  <c r="J653" i="2" s="1"/>
  <c r="K654" i="2"/>
  <c r="J654" i="2" s="1"/>
  <c r="K655" i="2"/>
  <c r="J655" i="2" s="1"/>
  <c r="K656" i="2"/>
  <c r="J656" i="2" s="1"/>
  <c r="K657" i="2"/>
  <c r="J657" i="2" s="1"/>
  <c r="K658" i="2"/>
  <c r="J658" i="2" s="1"/>
  <c r="K659" i="2"/>
  <c r="J659" i="2" s="1"/>
  <c r="K660" i="2"/>
  <c r="J660" i="2" s="1"/>
  <c r="K661" i="2"/>
  <c r="J661" i="2" s="1"/>
  <c r="K662" i="2"/>
  <c r="J662" i="2" s="1"/>
  <c r="K663" i="2"/>
  <c r="J663" i="2" s="1"/>
  <c r="K664" i="2"/>
  <c r="J664" i="2" s="1"/>
  <c r="K665" i="2"/>
  <c r="J665" i="2" s="1"/>
  <c r="K666" i="2"/>
  <c r="J666" i="2" s="1"/>
  <c r="K667" i="2"/>
  <c r="J667" i="2" s="1"/>
  <c r="K668" i="2"/>
  <c r="J668" i="2" s="1"/>
  <c r="K669" i="2"/>
  <c r="J669" i="2" s="1"/>
  <c r="K670" i="2"/>
  <c r="J670" i="2" s="1"/>
  <c r="K671" i="2"/>
  <c r="J671" i="2" s="1"/>
  <c r="K672" i="2"/>
  <c r="J672" i="2" s="1"/>
  <c r="K673" i="2"/>
  <c r="J673" i="2" s="1"/>
  <c r="K674" i="2"/>
  <c r="J674" i="2" s="1"/>
  <c r="K675" i="2"/>
  <c r="J675" i="2" s="1"/>
  <c r="K676" i="2"/>
  <c r="J676" i="2" s="1"/>
  <c r="K677" i="2"/>
  <c r="J677" i="2" s="1"/>
  <c r="K678" i="2"/>
  <c r="J678" i="2" s="1"/>
  <c r="K679" i="2"/>
  <c r="J679" i="2" s="1"/>
  <c r="K680" i="2"/>
  <c r="J680" i="2" s="1"/>
  <c r="K681" i="2"/>
  <c r="J681" i="2" s="1"/>
  <c r="K682" i="2"/>
  <c r="J682" i="2" s="1"/>
  <c r="K683" i="2"/>
  <c r="J683" i="2" s="1"/>
  <c r="K684" i="2"/>
  <c r="J684" i="2" s="1"/>
  <c r="K685" i="2"/>
  <c r="J685" i="2" s="1"/>
  <c r="K686" i="2"/>
  <c r="J686" i="2" s="1"/>
  <c r="K687" i="2"/>
  <c r="J687" i="2" s="1"/>
  <c r="K688" i="2"/>
  <c r="J688" i="2" s="1"/>
  <c r="K689" i="2"/>
  <c r="J689" i="2" s="1"/>
  <c r="K690" i="2"/>
  <c r="J690" i="2" s="1"/>
  <c r="K691" i="2"/>
  <c r="J691" i="2" s="1"/>
  <c r="K692" i="2"/>
  <c r="J692" i="2" s="1"/>
  <c r="K693" i="2"/>
  <c r="J693" i="2" s="1"/>
  <c r="K694" i="2"/>
  <c r="J694" i="2" s="1"/>
  <c r="K695" i="2"/>
  <c r="J695" i="2" s="1"/>
  <c r="K696" i="2"/>
  <c r="J696" i="2" s="1"/>
  <c r="K697" i="2"/>
  <c r="J697" i="2" s="1"/>
  <c r="K698" i="2"/>
  <c r="J698" i="2" s="1"/>
  <c r="K699" i="2"/>
  <c r="J699" i="2" s="1"/>
  <c r="K700" i="2"/>
  <c r="J700" i="2" s="1"/>
  <c r="K701" i="2"/>
  <c r="J701" i="2" s="1"/>
  <c r="K702" i="2"/>
  <c r="J702" i="2" s="1"/>
  <c r="K703" i="2"/>
  <c r="J703" i="2" s="1"/>
  <c r="K704" i="2"/>
  <c r="J704" i="2" s="1"/>
  <c r="K705" i="2"/>
  <c r="J705" i="2" s="1"/>
  <c r="K706" i="2"/>
  <c r="J706" i="2" s="1"/>
  <c r="K707" i="2"/>
  <c r="J707" i="2" s="1"/>
  <c r="K708" i="2"/>
  <c r="J708" i="2" s="1"/>
  <c r="K709" i="2"/>
  <c r="J709" i="2" s="1"/>
  <c r="K710" i="2"/>
  <c r="J710" i="2" s="1"/>
  <c r="K711" i="2"/>
  <c r="J711" i="2" s="1"/>
  <c r="K712" i="2"/>
  <c r="J712" i="2" s="1"/>
  <c r="K713" i="2"/>
  <c r="J713" i="2" s="1"/>
  <c r="K714" i="2"/>
  <c r="J714" i="2" s="1"/>
  <c r="K715" i="2"/>
  <c r="J715" i="2" s="1"/>
  <c r="K716" i="2"/>
  <c r="J716" i="2" s="1"/>
  <c r="K717" i="2"/>
  <c r="J717" i="2" s="1"/>
  <c r="K718" i="2"/>
  <c r="J718" i="2" s="1"/>
  <c r="K719" i="2"/>
  <c r="J719" i="2" s="1"/>
  <c r="K720" i="2"/>
  <c r="J720" i="2" s="1"/>
  <c r="K721" i="2"/>
  <c r="J721" i="2" s="1"/>
  <c r="K722" i="2"/>
  <c r="J722" i="2" s="1"/>
  <c r="K723" i="2"/>
  <c r="J723" i="2" s="1"/>
  <c r="K724" i="2"/>
  <c r="J724" i="2" s="1"/>
  <c r="K725" i="2"/>
  <c r="J725" i="2" s="1"/>
  <c r="K726" i="2"/>
  <c r="J726" i="2" s="1"/>
  <c r="K727" i="2"/>
  <c r="J727" i="2" s="1"/>
  <c r="K728" i="2"/>
  <c r="J728" i="2" s="1"/>
  <c r="K729" i="2"/>
  <c r="J729" i="2" s="1"/>
  <c r="K730" i="2"/>
  <c r="J730" i="2" s="1"/>
  <c r="K731" i="2"/>
  <c r="J731" i="2" s="1"/>
  <c r="K732" i="2"/>
  <c r="J732" i="2" s="1"/>
  <c r="K733" i="2"/>
  <c r="J733" i="2" s="1"/>
  <c r="K734" i="2"/>
  <c r="J734" i="2" s="1"/>
  <c r="K735" i="2"/>
  <c r="J735" i="2" s="1"/>
  <c r="K736" i="2"/>
  <c r="J736" i="2" s="1"/>
  <c r="K737" i="2"/>
  <c r="J737" i="2" s="1"/>
  <c r="K738" i="2"/>
  <c r="J738" i="2" s="1"/>
  <c r="K739" i="2"/>
  <c r="J739" i="2" s="1"/>
  <c r="K740" i="2"/>
  <c r="J740" i="2" s="1"/>
  <c r="K741" i="2"/>
  <c r="J741" i="2" s="1"/>
  <c r="K742" i="2"/>
  <c r="J742" i="2" s="1"/>
  <c r="K743" i="2"/>
  <c r="J743" i="2" s="1"/>
  <c r="K744" i="2"/>
  <c r="J744" i="2" s="1"/>
  <c r="K745" i="2"/>
  <c r="J745" i="2" s="1"/>
  <c r="K746" i="2"/>
  <c r="J746" i="2" s="1"/>
  <c r="K747" i="2"/>
  <c r="J747" i="2" s="1"/>
  <c r="K748" i="2"/>
  <c r="J748" i="2" s="1"/>
  <c r="K749" i="2"/>
  <c r="J749" i="2" s="1"/>
  <c r="K750" i="2"/>
  <c r="J750" i="2" s="1"/>
  <c r="K751" i="2"/>
  <c r="J751" i="2" s="1"/>
  <c r="K752" i="2"/>
  <c r="J752" i="2" s="1"/>
  <c r="K753" i="2"/>
  <c r="J753" i="2" s="1"/>
  <c r="K754" i="2"/>
  <c r="J754" i="2" s="1"/>
  <c r="K755" i="2"/>
  <c r="J755" i="2" s="1"/>
  <c r="K756" i="2"/>
  <c r="J756" i="2" s="1"/>
  <c r="K757" i="2"/>
  <c r="J757" i="2" s="1"/>
  <c r="K758" i="2"/>
  <c r="J758" i="2" s="1"/>
  <c r="K759" i="2"/>
  <c r="J759" i="2" s="1"/>
  <c r="K760" i="2"/>
  <c r="J760" i="2" s="1"/>
  <c r="K761" i="2"/>
  <c r="J761" i="2" s="1"/>
  <c r="K762" i="2"/>
  <c r="J762" i="2" s="1"/>
  <c r="K763" i="2"/>
  <c r="J763" i="2" s="1"/>
  <c r="K764" i="2"/>
  <c r="J764" i="2" s="1"/>
  <c r="K765" i="2"/>
  <c r="J765" i="2" s="1"/>
  <c r="K766" i="2"/>
  <c r="J766" i="2" s="1"/>
  <c r="K767" i="2"/>
  <c r="J767" i="2" s="1"/>
  <c r="K768" i="2"/>
  <c r="J768" i="2" s="1"/>
  <c r="K769" i="2"/>
  <c r="J769" i="2" s="1"/>
  <c r="K770" i="2"/>
  <c r="J770" i="2" s="1"/>
  <c r="K771" i="2"/>
  <c r="J771" i="2" s="1"/>
  <c r="K772" i="2"/>
  <c r="J772" i="2" s="1"/>
  <c r="K773" i="2"/>
  <c r="J773" i="2" s="1"/>
  <c r="K774" i="2"/>
  <c r="J774" i="2" s="1"/>
  <c r="K775" i="2"/>
  <c r="J775" i="2" s="1"/>
  <c r="K776" i="2"/>
  <c r="J776" i="2" s="1"/>
  <c r="K777" i="2"/>
  <c r="J777" i="2" s="1"/>
  <c r="K778" i="2"/>
  <c r="J778" i="2" s="1"/>
  <c r="K779" i="2"/>
  <c r="J779" i="2" s="1"/>
  <c r="K780" i="2"/>
  <c r="J780" i="2" s="1"/>
  <c r="K781" i="2"/>
  <c r="J781" i="2" s="1"/>
  <c r="K782" i="2"/>
  <c r="J782" i="2" s="1"/>
  <c r="K783" i="2"/>
  <c r="J783" i="2" s="1"/>
  <c r="K784" i="2"/>
  <c r="J784" i="2" s="1"/>
  <c r="K785" i="2"/>
  <c r="J785" i="2" s="1"/>
  <c r="K786" i="2"/>
  <c r="J786" i="2" s="1"/>
  <c r="K787" i="2"/>
  <c r="J787" i="2" s="1"/>
  <c r="K788" i="2"/>
  <c r="J788" i="2" s="1"/>
  <c r="K789" i="2"/>
  <c r="J789" i="2" s="1"/>
  <c r="K790" i="2"/>
  <c r="J790" i="2" s="1"/>
  <c r="K791" i="2"/>
  <c r="J791" i="2" s="1"/>
  <c r="K792" i="2"/>
  <c r="J792" i="2" s="1"/>
  <c r="K793" i="2"/>
  <c r="J793" i="2" s="1"/>
  <c r="K794" i="2"/>
  <c r="J794" i="2" s="1"/>
  <c r="K795" i="2"/>
  <c r="J795" i="2" s="1"/>
  <c r="K796" i="2"/>
  <c r="J796" i="2" s="1"/>
  <c r="K797" i="2"/>
  <c r="J797" i="2" s="1"/>
  <c r="K798" i="2"/>
  <c r="J798" i="2" s="1"/>
  <c r="K799" i="2"/>
  <c r="J799" i="2" s="1"/>
  <c r="K800" i="2"/>
  <c r="J800" i="2" s="1"/>
  <c r="K801" i="2"/>
  <c r="J801" i="2" s="1"/>
  <c r="K802" i="2"/>
  <c r="J802" i="2" s="1"/>
  <c r="K803" i="2"/>
  <c r="J803" i="2" s="1"/>
  <c r="K804" i="2"/>
  <c r="J804" i="2" s="1"/>
  <c r="K805" i="2"/>
  <c r="J805" i="2" s="1"/>
  <c r="K806" i="2"/>
  <c r="J806" i="2" s="1"/>
  <c r="K807" i="2"/>
  <c r="J807" i="2" s="1"/>
  <c r="K808" i="2"/>
  <c r="J808" i="2" s="1"/>
  <c r="K809" i="2"/>
  <c r="J809" i="2" s="1"/>
  <c r="K810" i="2"/>
  <c r="J810" i="2" s="1"/>
  <c r="K811" i="2"/>
  <c r="J811" i="2" s="1"/>
  <c r="K812" i="2"/>
  <c r="J812" i="2" s="1"/>
  <c r="K813" i="2"/>
  <c r="J813" i="2" s="1"/>
  <c r="K814" i="2"/>
  <c r="J814" i="2" s="1"/>
  <c r="K815" i="2"/>
  <c r="J815" i="2" s="1"/>
  <c r="K816" i="2"/>
  <c r="J816" i="2" s="1"/>
  <c r="K817" i="2"/>
  <c r="J817" i="2" s="1"/>
  <c r="K818" i="2"/>
  <c r="J818" i="2" s="1"/>
  <c r="K819" i="2"/>
  <c r="J819" i="2" s="1"/>
  <c r="K820" i="2"/>
  <c r="J820" i="2" s="1"/>
  <c r="K821" i="2"/>
  <c r="J821" i="2" s="1"/>
  <c r="K822" i="2"/>
  <c r="J822" i="2" s="1"/>
  <c r="K823" i="2"/>
  <c r="J823" i="2" s="1"/>
  <c r="K824" i="2"/>
  <c r="J824" i="2" s="1"/>
  <c r="K825" i="2"/>
  <c r="J825" i="2" s="1"/>
  <c r="K826" i="2"/>
  <c r="J826" i="2" s="1"/>
  <c r="K827" i="2"/>
  <c r="J827" i="2" s="1"/>
  <c r="K828" i="2"/>
  <c r="J828" i="2" s="1"/>
  <c r="K829" i="2"/>
  <c r="J829" i="2" s="1"/>
  <c r="K830" i="2"/>
  <c r="J830" i="2" s="1"/>
  <c r="K831" i="2"/>
  <c r="J831" i="2" s="1"/>
  <c r="K832" i="2"/>
  <c r="J832" i="2" s="1"/>
  <c r="K833" i="2"/>
  <c r="J833" i="2" s="1"/>
  <c r="K834" i="2"/>
  <c r="J834" i="2" s="1"/>
  <c r="K835" i="2"/>
  <c r="J835" i="2" s="1"/>
  <c r="K836" i="2"/>
  <c r="J836" i="2" s="1"/>
  <c r="K837" i="2"/>
  <c r="J837" i="2" s="1"/>
  <c r="K838" i="2"/>
  <c r="J838" i="2" s="1"/>
  <c r="K839" i="2"/>
  <c r="J839" i="2" s="1"/>
  <c r="K840" i="2"/>
  <c r="J840" i="2" s="1"/>
  <c r="K841" i="2"/>
  <c r="J841" i="2" s="1"/>
  <c r="K842" i="2"/>
  <c r="J842" i="2" s="1"/>
  <c r="K843" i="2"/>
  <c r="J843" i="2" s="1"/>
  <c r="K844" i="2"/>
  <c r="J844" i="2" s="1"/>
  <c r="K845" i="2"/>
  <c r="J845" i="2" s="1"/>
  <c r="K846" i="2"/>
  <c r="J846" i="2" s="1"/>
  <c r="K847" i="2"/>
  <c r="J847" i="2" s="1"/>
  <c r="K848" i="2"/>
  <c r="J848" i="2" s="1"/>
  <c r="K849" i="2"/>
  <c r="J849" i="2" s="1"/>
  <c r="K850" i="2"/>
  <c r="J850" i="2" s="1"/>
  <c r="K851" i="2"/>
  <c r="J851" i="2" s="1"/>
  <c r="K852" i="2"/>
  <c r="J852" i="2" s="1"/>
  <c r="K853" i="2"/>
  <c r="J853" i="2" s="1"/>
  <c r="K854" i="2"/>
  <c r="J854" i="2" s="1"/>
  <c r="K855" i="2"/>
  <c r="J855" i="2" s="1"/>
  <c r="K856" i="2"/>
  <c r="J856" i="2" s="1"/>
  <c r="K857" i="2"/>
  <c r="J857" i="2" s="1"/>
  <c r="K858" i="2"/>
  <c r="J858" i="2" s="1"/>
  <c r="K859" i="2"/>
  <c r="J859" i="2" s="1"/>
  <c r="K860" i="2"/>
  <c r="J860" i="2" s="1"/>
  <c r="K861" i="2"/>
  <c r="J861" i="2" s="1"/>
  <c r="K862" i="2"/>
  <c r="J862" i="2" s="1"/>
  <c r="K863" i="2"/>
  <c r="J863" i="2" s="1"/>
  <c r="K864" i="2"/>
  <c r="J864" i="2" s="1"/>
  <c r="K865" i="2"/>
  <c r="J865" i="2" s="1"/>
  <c r="K866" i="2"/>
  <c r="J866" i="2" s="1"/>
  <c r="K867" i="2"/>
  <c r="J867" i="2" s="1"/>
  <c r="K868" i="2"/>
  <c r="J868" i="2" s="1"/>
  <c r="K869" i="2"/>
  <c r="J869" i="2" s="1"/>
  <c r="K870" i="2"/>
  <c r="J870" i="2" s="1"/>
  <c r="K871" i="2"/>
  <c r="J871" i="2" s="1"/>
  <c r="K872" i="2"/>
  <c r="J872" i="2" s="1"/>
  <c r="K873" i="2"/>
  <c r="J873" i="2" s="1"/>
  <c r="K874" i="2"/>
  <c r="J874" i="2" s="1"/>
  <c r="K875" i="2"/>
  <c r="J875" i="2" s="1"/>
  <c r="K876" i="2"/>
  <c r="J876" i="2" s="1"/>
  <c r="K877" i="2"/>
  <c r="J877" i="2" s="1"/>
  <c r="K878" i="2"/>
  <c r="J878" i="2" s="1"/>
  <c r="K879" i="2"/>
  <c r="J879" i="2" s="1"/>
  <c r="K880" i="2"/>
  <c r="J880" i="2" s="1"/>
  <c r="K881" i="2"/>
  <c r="J881" i="2" s="1"/>
  <c r="K882" i="2"/>
  <c r="J882" i="2" s="1"/>
  <c r="K883" i="2"/>
  <c r="J883" i="2" s="1"/>
  <c r="K884" i="2"/>
  <c r="J884" i="2" s="1"/>
  <c r="K885" i="2"/>
  <c r="J885" i="2" s="1"/>
  <c r="K886" i="2"/>
  <c r="J886" i="2" s="1"/>
  <c r="K887" i="2"/>
  <c r="J887" i="2" s="1"/>
  <c r="K888" i="2"/>
  <c r="J888" i="2" s="1"/>
  <c r="K889" i="2"/>
  <c r="J889" i="2" s="1"/>
  <c r="K890" i="2"/>
  <c r="J890" i="2" s="1"/>
  <c r="K891" i="2"/>
  <c r="J891" i="2" s="1"/>
  <c r="K892" i="2"/>
  <c r="J892" i="2" s="1"/>
  <c r="K893" i="2"/>
  <c r="J893" i="2" s="1"/>
  <c r="K894" i="2"/>
  <c r="J894" i="2" s="1"/>
  <c r="K895" i="2"/>
  <c r="J895" i="2" s="1"/>
  <c r="K896" i="2"/>
  <c r="J896" i="2" s="1"/>
  <c r="K897" i="2"/>
  <c r="J897" i="2" s="1"/>
  <c r="K898" i="2"/>
  <c r="J898" i="2" s="1"/>
  <c r="K899" i="2"/>
  <c r="J899" i="2" s="1"/>
  <c r="K900" i="2"/>
  <c r="J900" i="2" s="1"/>
  <c r="K901" i="2"/>
  <c r="J901" i="2" s="1"/>
  <c r="K902" i="2"/>
  <c r="J902" i="2" s="1"/>
  <c r="K903" i="2"/>
  <c r="J903" i="2" s="1"/>
  <c r="K904" i="2"/>
  <c r="J904" i="2" s="1"/>
  <c r="K905" i="2"/>
  <c r="J905" i="2" s="1"/>
  <c r="K906" i="2"/>
  <c r="J906" i="2" s="1"/>
  <c r="K907" i="2"/>
  <c r="J907" i="2" s="1"/>
  <c r="K908" i="2"/>
  <c r="J908" i="2" s="1"/>
  <c r="K909" i="2"/>
  <c r="J909" i="2" s="1"/>
  <c r="K910" i="2"/>
  <c r="J910" i="2" s="1"/>
  <c r="K911" i="2"/>
  <c r="J911" i="2" s="1"/>
  <c r="K912" i="2"/>
  <c r="J912" i="2" s="1"/>
  <c r="K913" i="2"/>
  <c r="J913" i="2" s="1"/>
  <c r="K914" i="2"/>
  <c r="J914" i="2" s="1"/>
  <c r="K915" i="2"/>
  <c r="J915" i="2" s="1"/>
  <c r="K916" i="2"/>
  <c r="J916" i="2" s="1"/>
  <c r="K917" i="2"/>
  <c r="J917" i="2" s="1"/>
  <c r="K918" i="2"/>
  <c r="J918" i="2" s="1"/>
  <c r="K919" i="2"/>
  <c r="J919" i="2" s="1"/>
  <c r="K920" i="2"/>
  <c r="J920" i="2" s="1"/>
  <c r="K921" i="2"/>
  <c r="J921" i="2" s="1"/>
  <c r="K922" i="2"/>
  <c r="J922" i="2" s="1"/>
  <c r="K923" i="2"/>
  <c r="J923" i="2" s="1"/>
  <c r="K924" i="2"/>
  <c r="J924" i="2" s="1"/>
  <c r="K925" i="2"/>
  <c r="J925" i="2" s="1"/>
  <c r="K926" i="2"/>
  <c r="J926" i="2" s="1"/>
  <c r="K927" i="2"/>
  <c r="J927" i="2" s="1"/>
  <c r="K928" i="2"/>
  <c r="J928" i="2" s="1"/>
  <c r="K929" i="2"/>
  <c r="J929" i="2" s="1"/>
  <c r="K930" i="2"/>
  <c r="J930" i="2" s="1"/>
  <c r="K931" i="2"/>
  <c r="J931" i="2" s="1"/>
  <c r="K932" i="2"/>
  <c r="J932" i="2" s="1"/>
  <c r="K933" i="2"/>
  <c r="J933" i="2" s="1"/>
  <c r="K934" i="2"/>
  <c r="J934" i="2" s="1"/>
  <c r="K935" i="2"/>
  <c r="J935" i="2" s="1"/>
  <c r="K936" i="2"/>
  <c r="J936" i="2" s="1"/>
  <c r="K937" i="2"/>
  <c r="J937" i="2" s="1"/>
  <c r="K938" i="2"/>
  <c r="J938" i="2" s="1"/>
  <c r="K939" i="2"/>
  <c r="J939" i="2" s="1"/>
  <c r="K940" i="2"/>
  <c r="J940" i="2" s="1"/>
  <c r="K941" i="2"/>
  <c r="J941" i="2" s="1"/>
  <c r="K942" i="2"/>
  <c r="J942" i="2" s="1"/>
  <c r="K943" i="2"/>
  <c r="J943" i="2" s="1"/>
  <c r="K944" i="2"/>
  <c r="J944" i="2" s="1"/>
  <c r="K945" i="2"/>
  <c r="J945" i="2" s="1"/>
  <c r="K946" i="2"/>
  <c r="J946" i="2" s="1"/>
  <c r="K947" i="2"/>
  <c r="J947" i="2" s="1"/>
  <c r="K948" i="2"/>
  <c r="J948" i="2" s="1"/>
  <c r="K949" i="2"/>
  <c r="J949" i="2" s="1"/>
  <c r="K950" i="2"/>
  <c r="J950" i="2" s="1"/>
  <c r="K951" i="2"/>
  <c r="J951" i="2" s="1"/>
  <c r="K952" i="2"/>
  <c r="J952" i="2" s="1"/>
  <c r="K953" i="2"/>
  <c r="J953" i="2" s="1"/>
  <c r="K954" i="2"/>
  <c r="J954" i="2" s="1"/>
  <c r="K955" i="2"/>
  <c r="J955" i="2" s="1"/>
  <c r="K956" i="2"/>
  <c r="J956" i="2" s="1"/>
  <c r="K957" i="2"/>
  <c r="J957" i="2" s="1"/>
  <c r="K958" i="2"/>
  <c r="J958" i="2" s="1"/>
  <c r="K959" i="2"/>
  <c r="J959" i="2" s="1"/>
  <c r="K960" i="2"/>
  <c r="J960" i="2" s="1"/>
  <c r="K961" i="2"/>
  <c r="J961" i="2" s="1"/>
  <c r="K962" i="2"/>
  <c r="J962" i="2" s="1"/>
  <c r="K963" i="2"/>
  <c r="J963" i="2" s="1"/>
  <c r="K964" i="2"/>
  <c r="J964" i="2" s="1"/>
  <c r="K965" i="2"/>
  <c r="J965" i="2" s="1"/>
  <c r="K966" i="2"/>
  <c r="J966" i="2" s="1"/>
  <c r="K967" i="2"/>
  <c r="J967" i="2" s="1"/>
  <c r="K968" i="2"/>
  <c r="J968" i="2" s="1"/>
  <c r="K969" i="2"/>
  <c r="J969" i="2" s="1"/>
  <c r="K970" i="2"/>
  <c r="J970" i="2" s="1"/>
  <c r="K971" i="2"/>
  <c r="J971" i="2" s="1"/>
  <c r="K972" i="2"/>
  <c r="J972" i="2" s="1"/>
  <c r="K973" i="2"/>
  <c r="J973" i="2" s="1"/>
  <c r="K974" i="2"/>
  <c r="J974" i="2" s="1"/>
  <c r="K975" i="2"/>
  <c r="J975" i="2" s="1"/>
  <c r="K976" i="2"/>
  <c r="J976" i="2" s="1"/>
  <c r="K977" i="2"/>
  <c r="J977" i="2" s="1"/>
  <c r="K978" i="2"/>
  <c r="J978" i="2" s="1"/>
  <c r="K979" i="2"/>
  <c r="J979" i="2" s="1"/>
  <c r="K980" i="2"/>
  <c r="J980" i="2" s="1"/>
  <c r="K981" i="2"/>
  <c r="J981" i="2" s="1"/>
  <c r="K982" i="2"/>
  <c r="J982" i="2" s="1"/>
  <c r="K983" i="2"/>
  <c r="J983" i="2" s="1"/>
  <c r="K984" i="2"/>
  <c r="J984" i="2" s="1"/>
  <c r="K985" i="2"/>
  <c r="J985" i="2" s="1"/>
  <c r="K986" i="2"/>
  <c r="J986" i="2" s="1"/>
  <c r="K987" i="2"/>
  <c r="J987" i="2" s="1"/>
  <c r="K988" i="2"/>
  <c r="J988" i="2" s="1"/>
  <c r="K989" i="2"/>
  <c r="J989" i="2" s="1"/>
  <c r="K990" i="2"/>
  <c r="J990" i="2" s="1"/>
  <c r="K991" i="2"/>
  <c r="J991" i="2" s="1"/>
  <c r="K992" i="2"/>
  <c r="J992" i="2" s="1"/>
  <c r="K993" i="2"/>
  <c r="J993" i="2" s="1"/>
  <c r="K994" i="2"/>
  <c r="J994" i="2" s="1"/>
  <c r="K995" i="2"/>
  <c r="J995" i="2" s="1"/>
  <c r="K996" i="2"/>
  <c r="J996" i="2" s="1"/>
  <c r="K997" i="2"/>
  <c r="J997" i="2" s="1"/>
  <c r="K998" i="2"/>
  <c r="J998" i="2" s="1"/>
  <c r="K999" i="2"/>
  <c r="J999" i="2" s="1"/>
  <c r="K1000" i="2"/>
  <c r="J1000" i="2" s="1"/>
  <c r="K1001" i="2"/>
  <c r="J1001" i="2" s="1"/>
  <c r="K1002" i="2"/>
  <c r="J1002" i="2" s="1"/>
  <c r="K1003" i="2"/>
  <c r="J1003" i="2" s="1"/>
  <c r="K1004" i="2"/>
  <c r="J1004" i="2" s="1"/>
  <c r="K1005" i="2"/>
  <c r="J1005" i="2" s="1"/>
  <c r="K1006" i="2"/>
  <c r="J1006" i="2" s="1"/>
  <c r="K1007" i="2"/>
  <c r="J1007" i="2" s="1"/>
  <c r="K1008" i="2"/>
  <c r="J1008" i="2" s="1"/>
  <c r="K1009" i="2"/>
  <c r="J1009" i="2" s="1"/>
  <c r="K1010" i="2"/>
  <c r="J1010" i="2" s="1"/>
  <c r="K1011" i="2"/>
  <c r="J1011" i="2" s="1"/>
  <c r="K1012" i="2"/>
  <c r="J1012" i="2" s="1"/>
  <c r="K1013" i="2"/>
  <c r="J1013" i="2" s="1"/>
  <c r="K1014" i="2"/>
  <c r="J1014" i="2" s="1"/>
  <c r="K1015" i="2"/>
  <c r="J1015" i="2" s="1"/>
  <c r="K1016" i="2"/>
  <c r="J1016" i="2" s="1"/>
  <c r="K1017" i="2"/>
  <c r="J1017" i="2" s="1"/>
  <c r="K1018" i="2"/>
  <c r="J1018" i="2" s="1"/>
  <c r="K1019" i="2"/>
  <c r="J1019" i="2" s="1"/>
  <c r="K1020" i="2"/>
  <c r="J1020" i="2" s="1"/>
  <c r="K1021" i="2"/>
  <c r="J1021" i="2" s="1"/>
  <c r="K1022" i="2"/>
  <c r="J1022" i="2" s="1"/>
  <c r="K1023" i="2"/>
  <c r="J1023" i="2" s="1"/>
  <c r="K1024" i="2"/>
  <c r="J1024" i="2" s="1"/>
  <c r="K1025" i="2"/>
  <c r="J1025" i="2" s="1"/>
  <c r="K1026" i="2"/>
  <c r="J1026" i="2" s="1"/>
  <c r="K1027" i="2"/>
  <c r="J1027" i="2" s="1"/>
  <c r="K1028" i="2"/>
  <c r="J1028" i="2" s="1"/>
  <c r="K1029" i="2"/>
  <c r="J1029" i="2" s="1"/>
  <c r="K1030" i="2"/>
  <c r="J1030" i="2" s="1"/>
  <c r="K1031" i="2"/>
  <c r="J1031" i="2" s="1"/>
  <c r="K1032" i="2"/>
  <c r="J1032" i="2" s="1"/>
  <c r="K1033" i="2"/>
  <c r="J1033" i="2" s="1"/>
  <c r="K1034" i="2"/>
  <c r="J1034" i="2" s="1"/>
  <c r="K1035" i="2"/>
  <c r="J1035" i="2" s="1"/>
  <c r="K1036" i="2"/>
  <c r="J1036" i="2" s="1"/>
  <c r="K1037" i="2"/>
  <c r="J1037" i="2" s="1"/>
  <c r="K1038" i="2"/>
  <c r="J1038" i="2" s="1"/>
  <c r="K1039" i="2"/>
  <c r="J1039" i="2" s="1"/>
  <c r="K1040" i="2"/>
  <c r="J1040" i="2" s="1"/>
  <c r="K1041" i="2"/>
  <c r="J1041" i="2" s="1"/>
  <c r="K1042" i="2"/>
  <c r="J1042" i="2" s="1"/>
  <c r="K1043" i="2"/>
  <c r="J1043" i="2" s="1"/>
  <c r="K1044" i="2"/>
  <c r="J1044" i="2" s="1"/>
  <c r="K1045" i="2"/>
  <c r="J1045" i="2" s="1"/>
  <c r="K1046" i="2"/>
  <c r="J1046" i="2" s="1"/>
  <c r="K1047" i="2"/>
  <c r="J1047" i="2" s="1"/>
  <c r="K1048" i="2"/>
  <c r="J1048" i="2" s="1"/>
  <c r="K1049" i="2"/>
  <c r="J1049" i="2" s="1"/>
  <c r="K1050" i="2"/>
  <c r="J1050" i="2" s="1"/>
  <c r="K1051" i="2"/>
  <c r="J1051" i="2" s="1"/>
  <c r="K1052" i="2"/>
  <c r="J1052" i="2" s="1"/>
  <c r="K1053" i="2"/>
  <c r="J1053" i="2" s="1"/>
  <c r="K1054" i="2"/>
  <c r="J1054" i="2" s="1"/>
  <c r="K1055" i="2"/>
  <c r="J1055" i="2" s="1"/>
  <c r="K1056" i="2"/>
  <c r="J1056" i="2" s="1"/>
  <c r="K1057" i="2"/>
  <c r="J1057" i="2" s="1"/>
  <c r="K1058" i="2"/>
  <c r="J1058" i="2" s="1"/>
  <c r="K1059" i="2"/>
  <c r="J1059" i="2" s="1"/>
  <c r="K1060" i="2"/>
  <c r="J1060" i="2" s="1"/>
  <c r="K1061" i="2"/>
  <c r="J1061" i="2" s="1"/>
  <c r="K1062" i="2"/>
  <c r="J1062" i="2" s="1"/>
  <c r="K1063" i="2"/>
  <c r="J1063" i="2" s="1"/>
  <c r="K1064" i="2"/>
  <c r="J1064" i="2" s="1"/>
  <c r="K1065" i="2"/>
  <c r="J1065" i="2" s="1"/>
  <c r="K1066" i="2"/>
  <c r="J1066" i="2" s="1"/>
  <c r="K1067" i="2"/>
  <c r="J1067" i="2" s="1"/>
  <c r="K1068" i="2"/>
  <c r="J1068" i="2" s="1"/>
  <c r="K1069" i="2"/>
  <c r="J1069" i="2" s="1"/>
  <c r="K1070" i="2"/>
  <c r="J1070" i="2" s="1"/>
  <c r="K1071" i="2"/>
  <c r="J1071" i="2" s="1"/>
  <c r="K1072" i="2"/>
  <c r="J1072" i="2" s="1"/>
  <c r="K1073" i="2"/>
  <c r="J1073" i="2" s="1"/>
  <c r="K1074" i="2"/>
  <c r="J1074" i="2" s="1"/>
  <c r="K1075" i="2"/>
  <c r="J1075" i="2" s="1"/>
  <c r="K1076" i="2"/>
  <c r="J1076" i="2" s="1"/>
  <c r="K1077" i="2"/>
  <c r="J1077" i="2" s="1"/>
  <c r="K1078" i="2"/>
  <c r="J1078" i="2" s="1"/>
  <c r="K1079" i="2"/>
  <c r="J1079" i="2" s="1"/>
  <c r="K1080" i="2"/>
  <c r="J1080" i="2" s="1"/>
  <c r="K1081" i="2"/>
  <c r="J1081" i="2" s="1"/>
  <c r="K1082" i="2"/>
  <c r="J1082" i="2" s="1"/>
  <c r="K1083" i="2"/>
  <c r="J1083" i="2" s="1"/>
  <c r="K1084" i="2"/>
  <c r="J1084" i="2" s="1"/>
  <c r="K1085" i="2"/>
  <c r="J1085" i="2" s="1"/>
  <c r="K1086" i="2"/>
  <c r="J1086" i="2" s="1"/>
  <c r="K1087" i="2"/>
  <c r="J1087" i="2" s="1"/>
  <c r="K1088" i="2"/>
  <c r="J1088" i="2" s="1"/>
  <c r="K1089" i="2"/>
  <c r="J1089" i="2" s="1"/>
  <c r="K1090" i="2"/>
  <c r="J1090" i="2" s="1"/>
  <c r="K1091" i="2"/>
  <c r="J1091" i="2" s="1"/>
  <c r="K1092" i="2"/>
  <c r="J1092" i="2" s="1"/>
  <c r="K1093" i="2"/>
  <c r="J1093" i="2" s="1"/>
  <c r="K1094" i="2"/>
  <c r="J1094" i="2" s="1"/>
  <c r="K1095" i="2"/>
  <c r="J1095" i="2" s="1"/>
  <c r="K1096" i="2"/>
  <c r="J1096" i="2" s="1"/>
  <c r="K1097" i="2"/>
  <c r="J1097" i="2" s="1"/>
  <c r="K1098" i="2"/>
  <c r="J1098" i="2" s="1"/>
  <c r="K1099" i="2"/>
  <c r="J1099" i="2" s="1"/>
  <c r="K1100" i="2"/>
  <c r="J1100" i="2" s="1"/>
  <c r="K1101" i="2"/>
  <c r="J1101" i="2" s="1"/>
  <c r="K1102" i="2"/>
  <c r="J1102" i="2" s="1"/>
  <c r="K1103" i="2"/>
  <c r="J1103" i="2" s="1"/>
  <c r="K1104" i="2"/>
  <c r="J1104" i="2" s="1"/>
  <c r="K1105" i="2"/>
  <c r="J1105" i="2" s="1"/>
  <c r="K1106" i="2"/>
  <c r="J1106" i="2" s="1"/>
  <c r="K1107" i="2"/>
  <c r="J1107" i="2" s="1"/>
  <c r="K1108" i="2"/>
  <c r="J1108" i="2" s="1"/>
  <c r="K1109" i="2"/>
  <c r="J1109" i="2" s="1"/>
  <c r="K1110" i="2"/>
  <c r="J1110" i="2" s="1"/>
  <c r="K1111" i="2"/>
  <c r="J1111" i="2" s="1"/>
  <c r="K1112" i="2"/>
  <c r="J1112" i="2" s="1"/>
  <c r="K1113" i="2"/>
  <c r="J1113" i="2" s="1"/>
  <c r="K1114" i="2"/>
  <c r="J1114" i="2" s="1"/>
  <c r="K1115" i="2"/>
  <c r="J1115" i="2" s="1"/>
  <c r="K1116" i="2"/>
  <c r="J1116" i="2" s="1"/>
  <c r="K1117" i="2"/>
  <c r="J1117" i="2" s="1"/>
  <c r="K1118" i="2"/>
  <c r="J1118" i="2" s="1"/>
  <c r="K1119" i="2"/>
  <c r="J1119" i="2" s="1"/>
  <c r="K1120" i="2"/>
  <c r="J1120" i="2" s="1"/>
  <c r="K1121" i="2"/>
  <c r="J1121" i="2" s="1"/>
  <c r="K1122" i="2"/>
  <c r="J1122" i="2" s="1"/>
  <c r="K1123" i="2"/>
  <c r="J1123" i="2" s="1"/>
  <c r="K1124" i="2"/>
  <c r="J1124" i="2" s="1"/>
  <c r="K1125" i="2"/>
  <c r="J1125" i="2" s="1"/>
  <c r="K1126" i="2"/>
  <c r="J1126" i="2" s="1"/>
  <c r="K1127" i="2"/>
  <c r="J1127" i="2" s="1"/>
  <c r="K1128" i="2"/>
  <c r="J1128" i="2" s="1"/>
  <c r="K1129" i="2"/>
  <c r="J1129" i="2" s="1"/>
  <c r="K1130" i="2"/>
  <c r="J1130" i="2" s="1"/>
  <c r="K1131" i="2"/>
  <c r="J1131" i="2" s="1"/>
  <c r="K1132" i="2"/>
  <c r="J1132" i="2" s="1"/>
  <c r="K1133" i="2"/>
  <c r="J1133" i="2" s="1"/>
  <c r="K1134" i="2"/>
  <c r="J1134" i="2" s="1"/>
  <c r="K1135" i="2"/>
  <c r="J1135" i="2" s="1"/>
  <c r="K1136" i="2"/>
  <c r="J1136" i="2" s="1"/>
  <c r="K1137" i="2"/>
  <c r="J1137" i="2" s="1"/>
  <c r="K1138" i="2"/>
  <c r="J1138" i="2" s="1"/>
  <c r="K1139" i="2"/>
  <c r="J1139" i="2" s="1"/>
  <c r="K1140" i="2"/>
  <c r="J1140" i="2" s="1"/>
  <c r="K1141" i="2"/>
  <c r="J1141" i="2" s="1"/>
  <c r="K1142" i="2"/>
  <c r="J1142" i="2" s="1"/>
  <c r="K1143" i="2"/>
  <c r="J1143" i="2" s="1"/>
  <c r="K1144" i="2"/>
  <c r="J1144" i="2" s="1"/>
  <c r="K1145" i="2"/>
  <c r="J1145" i="2" s="1"/>
  <c r="K1146" i="2"/>
  <c r="J1146" i="2" s="1"/>
  <c r="K1147" i="2"/>
  <c r="J1147" i="2" s="1"/>
  <c r="K1148" i="2"/>
  <c r="J1148" i="2" s="1"/>
  <c r="K1149" i="2"/>
  <c r="J1149" i="2" s="1"/>
  <c r="K1150" i="2"/>
  <c r="J1150" i="2" s="1"/>
  <c r="K1151" i="2"/>
  <c r="J1151" i="2" s="1"/>
  <c r="K1152" i="2"/>
  <c r="J1152" i="2" s="1"/>
  <c r="K1153" i="2"/>
  <c r="J1153" i="2" s="1"/>
  <c r="K1154" i="2"/>
  <c r="J1154" i="2" s="1"/>
  <c r="K1155" i="2"/>
  <c r="J1155" i="2" s="1"/>
  <c r="K1156" i="2"/>
  <c r="J1156" i="2" s="1"/>
  <c r="K1157" i="2"/>
  <c r="J1157" i="2" s="1"/>
  <c r="K1158" i="2"/>
  <c r="J1158" i="2" s="1"/>
  <c r="K1159" i="2"/>
  <c r="J1159" i="2" s="1"/>
  <c r="K1160" i="2"/>
  <c r="J1160" i="2" s="1"/>
  <c r="K1161" i="2"/>
  <c r="J1161" i="2" s="1"/>
  <c r="K1162" i="2"/>
  <c r="J1162" i="2" s="1"/>
  <c r="K1163" i="2"/>
  <c r="J1163" i="2" s="1"/>
  <c r="K1164" i="2"/>
  <c r="J1164" i="2" s="1"/>
  <c r="K1165" i="2"/>
  <c r="J1165" i="2" s="1"/>
  <c r="K1166" i="2"/>
  <c r="J1166" i="2" s="1"/>
  <c r="K1167" i="2"/>
  <c r="J1167" i="2" s="1"/>
  <c r="K1168" i="2"/>
  <c r="J1168" i="2" s="1"/>
  <c r="K1169" i="2"/>
  <c r="J1169" i="2" s="1"/>
  <c r="K1170" i="2"/>
  <c r="J1170" i="2" s="1"/>
  <c r="K1171" i="2"/>
  <c r="J1171" i="2" s="1"/>
  <c r="K1172" i="2"/>
  <c r="J1172" i="2" s="1"/>
  <c r="K1173" i="2"/>
  <c r="J1173" i="2" s="1"/>
  <c r="K1174" i="2"/>
  <c r="J1174" i="2" s="1"/>
  <c r="K1175" i="2"/>
  <c r="J1175" i="2" s="1"/>
  <c r="K1176" i="2"/>
  <c r="J1176" i="2" s="1"/>
  <c r="K1177" i="2"/>
  <c r="J1177" i="2" s="1"/>
  <c r="K1178" i="2"/>
  <c r="J1178" i="2" s="1"/>
  <c r="K1179" i="2"/>
  <c r="J1179" i="2" s="1"/>
  <c r="K1180" i="2"/>
  <c r="J1180" i="2" s="1"/>
  <c r="K1181" i="2"/>
  <c r="J1181" i="2" s="1"/>
  <c r="K1182" i="2"/>
  <c r="J1182" i="2" s="1"/>
  <c r="K1183" i="2"/>
  <c r="J1183" i="2" s="1"/>
  <c r="K1184" i="2"/>
  <c r="J1184" i="2" s="1"/>
  <c r="K1185" i="2"/>
  <c r="J1185" i="2" s="1"/>
  <c r="K1186" i="2"/>
  <c r="J1186" i="2" s="1"/>
  <c r="K1187" i="2"/>
  <c r="J1187" i="2" s="1"/>
  <c r="K1188" i="2"/>
  <c r="J1188" i="2" s="1"/>
  <c r="K1189" i="2"/>
  <c r="J1189" i="2" s="1"/>
  <c r="K1190" i="2"/>
  <c r="J1190" i="2" s="1"/>
  <c r="K1191" i="2"/>
  <c r="J1191" i="2" s="1"/>
  <c r="K1192" i="2"/>
  <c r="J1192" i="2" s="1"/>
  <c r="K1193" i="2"/>
  <c r="J1193" i="2" s="1"/>
  <c r="K1194" i="2"/>
  <c r="J1194" i="2" s="1"/>
  <c r="K1195" i="2"/>
  <c r="J1195" i="2" s="1"/>
  <c r="K1196" i="2"/>
  <c r="J1196" i="2" s="1"/>
  <c r="K1197" i="2"/>
  <c r="J1197" i="2" s="1"/>
  <c r="K1198" i="2"/>
  <c r="J1198" i="2" s="1"/>
  <c r="K1199" i="2"/>
  <c r="J1199" i="2" s="1"/>
  <c r="K1200" i="2"/>
  <c r="J1200" i="2" s="1"/>
  <c r="K1201" i="2"/>
  <c r="J1201" i="2" s="1"/>
  <c r="K1202" i="2"/>
  <c r="J1202" i="2" s="1"/>
  <c r="K1203" i="2"/>
  <c r="J1203" i="2" s="1"/>
  <c r="K1204" i="2"/>
  <c r="J1204" i="2" s="1"/>
  <c r="K1205" i="2"/>
  <c r="J1205" i="2" s="1"/>
  <c r="K1206" i="2"/>
  <c r="J1206" i="2" s="1"/>
  <c r="K1207" i="2"/>
  <c r="J1207" i="2" s="1"/>
  <c r="K1208" i="2"/>
  <c r="J1208" i="2" s="1"/>
  <c r="K1209" i="2"/>
  <c r="J1209" i="2" s="1"/>
  <c r="K1210" i="2"/>
  <c r="J1210" i="2" s="1"/>
  <c r="K1211" i="2"/>
  <c r="J1211" i="2" s="1"/>
  <c r="K1212" i="2"/>
  <c r="J1212" i="2" s="1"/>
  <c r="K1213" i="2"/>
  <c r="J1213" i="2" s="1"/>
  <c r="K1214" i="2"/>
  <c r="J1214" i="2" s="1"/>
  <c r="K1215" i="2"/>
  <c r="J1215" i="2" s="1"/>
  <c r="K1216" i="2"/>
  <c r="J1216" i="2" s="1"/>
  <c r="K1217" i="2"/>
  <c r="J1217" i="2" s="1"/>
  <c r="K1218" i="2"/>
  <c r="J1218" i="2" s="1"/>
  <c r="K1219" i="2"/>
  <c r="J1219" i="2" s="1"/>
  <c r="K1220" i="2"/>
  <c r="J1220" i="2" s="1"/>
  <c r="K1221" i="2"/>
  <c r="J1221" i="2" s="1"/>
  <c r="K1222" i="2"/>
  <c r="J1222" i="2" s="1"/>
  <c r="K1223" i="2"/>
  <c r="J1223" i="2" s="1"/>
  <c r="K1224" i="2"/>
  <c r="J1224" i="2" s="1"/>
  <c r="K1225" i="2"/>
  <c r="J1225" i="2" s="1"/>
  <c r="K1226" i="2"/>
  <c r="J1226" i="2" s="1"/>
  <c r="K1227" i="2"/>
  <c r="J1227" i="2" s="1"/>
  <c r="K1228" i="2"/>
  <c r="J1228" i="2" s="1"/>
  <c r="K1229" i="2"/>
  <c r="J1229" i="2" s="1"/>
  <c r="K1230" i="2"/>
  <c r="J1230" i="2" s="1"/>
  <c r="K1231" i="2"/>
  <c r="J1231" i="2" s="1"/>
  <c r="K1232" i="2"/>
  <c r="J1232" i="2" s="1"/>
  <c r="K1233" i="2"/>
  <c r="J1233" i="2" s="1"/>
  <c r="K1234" i="2"/>
  <c r="J1234" i="2" s="1"/>
  <c r="K1235" i="2"/>
  <c r="J1235" i="2" s="1"/>
  <c r="K1236" i="2"/>
  <c r="J1236" i="2" s="1"/>
  <c r="K1237" i="2"/>
  <c r="J1237" i="2" s="1"/>
  <c r="K1238" i="2"/>
  <c r="J1238" i="2" s="1"/>
  <c r="K1239" i="2"/>
  <c r="J1239" i="2" s="1"/>
  <c r="K1240" i="2"/>
  <c r="J1240" i="2" s="1"/>
  <c r="K1241" i="2"/>
  <c r="J1241" i="2" s="1"/>
  <c r="K1242" i="2"/>
  <c r="J1242" i="2" s="1"/>
  <c r="K1243" i="2"/>
  <c r="J1243" i="2" s="1"/>
  <c r="K1244" i="2"/>
  <c r="J1244" i="2" s="1"/>
  <c r="K1245" i="2"/>
  <c r="J1245" i="2" s="1"/>
  <c r="K1246" i="2"/>
  <c r="J1246" i="2" s="1"/>
  <c r="K1247" i="2"/>
  <c r="J1247" i="2" s="1"/>
  <c r="K1248" i="2"/>
  <c r="J1248" i="2" s="1"/>
  <c r="K1249" i="2"/>
  <c r="J1249" i="2" s="1"/>
  <c r="K1250" i="2"/>
  <c r="J1250" i="2" s="1"/>
  <c r="K1251" i="2"/>
  <c r="J1251" i="2" s="1"/>
  <c r="K1252" i="2"/>
  <c r="J1252" i="2" s="1"/>
  <c r="K1253" i="2"/>
  <c r="J1253" i="2" s="1"/>
  <c r="K1254" i="2"/>
  <c r="J1254" i="2" s="1"/>
  <c r="K1255" i="2"/>
  <c r="J1255" i="2" s="1"/>
  <c r="K1256" i="2"/>
  <c r="J1256" i="2" s="1"/>
  <c r="K1257" i="2"/>
  <c r="J1257" i="2" s="1"/>
  <c r="K1258" i="2"/>
  <c r="J1258" i="2" s="1"/>
  <c r="K1259" i="2"/>
  <c r="J1259" i="2" s="1"/>
  <c r="K1260" i="2"/>
  <c r="J1260" i="2" s="1"/>
  <c r="K1261" i="2"/>
  <c r="J1261" i="2" s="1"/>
  <c r="K1262" i="2"/>
  <c r="J1262" i="2" s="1"/>
  <c r="K1263" i="2"/>
  <c r="J1263" i="2" s="1"/>
  <c r="K1264" i="2"/>
  <c r="J1264" i="2" s="1"/>
  <c r="K1265" i="2"/>
  <c r="J1265" i="2" s="1"/>
  <c r="K1266" i="2"/>
  <c r="J1266" i="2" s="1"/>
  <c r="K1267" i="2"/>
  <c r="J1267" i="2" s="1"/>
  <c r="K1268" i="2"/>
  <c r="J1268" i="2" s="1"/>
  <c r="K1269" i="2"/>
  <c r="J1269" i="2" s="1"/>
  <c r="K1270" i="2"/>
  <c r="J1270" i="2" s="1"/>
  <c r="K1271" i="2"/>
  <c r="J1271" i="2" s="1"/>
  <c r="K1272" i="2"/>
  <c r="J1272" i="2" s="1"/>
  <c r="K1273" i="2"/>
  <c r="J1273" i="2" s="1"/>
  <c r="K1274" i="2"/>
  <c r="J1274" i="2" s="1"/>
  <c r="K1275" i="2"/>
  <c r="J1275" i="2" s="1"/>
  <c r="K1276" i="2"/>
  <c r="J1276" i="2" s="1"/>
  <c r="K1277" i="2"/>
  <c r="J1277" i="2" s="1"/>
  <c r="K1278" i="2"/>
  <c r="J1278" i="2" s="1"/>
  <c r="K1279" i="2"/>
  <c r="J1279" i="2" s="1"/>
  <c r="K1280" i="2"/>
  <c r="J1280" i="2" s="1"/>
  <c r="K1281" i="2"/>
  <c r="J1281" i="2" s="1"/>
  <c r="K1282" i="2"/>
  <c r="J1282" i="2" s="1"/>
  <c r="K1283" i="2"/>
  <c r="J1283" i="2" s="1"/>
  <c r="K1284" i="2"/>
  <c r="J1284" i="2" s="1"/>
  <c r="K1285" i="2"/>
  <c r="J1285" i="2" s="1"/>
  <c r="K1286" i="2"/>
  <c r="J1286" i="2" s="1"/>
  <c r="K1287" i="2"/>
  <c r="J1287" i="2" s="1"/>
  <c r="K1288" i="2"/>
  <c r="J1288" i="2" s="1"/>
  <c r="K1289" i="2"/>
  <c r="J1289" i="2" s="1"/>
  <c r="K1290" i="2"/>
  <c r="J1290" i="2" s="1"/>
  <c r="K1291" i="2"/>
  <c r="J1291" i="2" s="1"/>
  <c r="K1292" i="2"/>
  <c r="J1292" i="2" s="1"/>
  <c r="K1293" i="2"/>
  <c r="J1293" i="2" s="1"/>
  <c r="K1294" i="2"/>
  <c r="J1294" i="2" s="1"/>
  <c r="K1295" i="2"/>
  <c r="J1295" i="2" s="1"/>
  <c r="K1296" i="2"/>
  <c r="J1296" i="2" s="1"/>
  <c r="K1297" i="2"/>
  <c r="J1297" i="2" s="1"/>
  <c r="K1298" i="2"/>
  <c r="J1298" i="2" s="1"/>
  <c r="K1299" i="2"/>
  <c r="J1299" i="2" s="1"/>
  <c r="K1300" i="2"/>
  <c r="J1300" i="2" s="1"/>
  <c r="K1301" i="2"/>
  <c r="J1301" i="2" s="1"/>
  <c r="K1302" i="2"/>
  <c r="J1302" i="2" s="1"/>
  <c r="K1303" i="2"/>
  <c r="J1303" i="2" s="1"/>
  <c r="K1304" i="2"/>
  <c r="J1304" i="2" s="1"/>
  <c r="K1305" i="2"/>
  <c r="J1305" i="2" s="1"/>
  <c r="K1306" i="2"/>
  <c r="J1306" i="2" s="1"/>
  <c r="K1307" i="2"/>
  <c r="J1307" i="2" s="1"/>
  <c r="K1308" i="2"/>
  <c r="J1308" i="2" s="1"/>
  <c r="K1309" i="2"/>
  <c r="J1309" i="2" s="1"/>
  <c r="K1310" i="2"/>
  <c r="J1310" i="2" s="1"/>
  <c r="K1311" i="2"/>
  <c r="J1311" i="2" s="1"/>
  <c r="K1312" i="2"/>
  <c r="J1312" i="2" s="1"/>
  <c r="K1313" i="2"/>
  <c r="J1313" i="2" s="1"/>
  <c r="K1314" i="2"/>
  <c r="J1314" i="2" s="1"/>
  <c r="K1315" i="2"/>
  <c r="J1315" i="2" s="1"/>
  <c r="K1316" i="2"/>
  <c r="J1316" i="2" s="1"/>
  <c r="K1317" i="2"/>
  <c r="J1317" i="2" s="1"/>
  <c r="K1318" i="2"/>
  <c r="J1318" i="2" s="1"/>
  <c r="K1319" i="2"/>
  <c r="J1319" i="2" s="1"/>
  <c r="K1320" i="2"/>
  <c r="J1320" i="2" s="1"/>
  <c r="K1321" i="2"/>
  <c r="J1321" i="2" s="1"/>
  <c r="K1322" i="2"/>
  <c r="J1322" i="2" s="1"/>
  <c r="K1323" i="2"/>
  <c r="J1323" i="2" s="1"/>
  <c r="K1324" i="2"/>
  <c r="J1324" i="2" s="1"/>
  <c r="K1325" i="2"/>
  <c r="J1325" i="2" s="1"/>
  <c r="K1326" i="2"/>
  <c r="J1326" i="2" s="1"/>
  <c r="K1327" i="2"/>
  <c r="J1327" i="2" s="1"/>
  <c r="K1328" i="2"/>
  <c r="J1328" i="2" s="1"/>
  <c r="K1329" i="2"/>
  <c r="J1329" i="2" s="1"/>
  <c r="K1330" i="2"/>
  <c r="J1330" i="2" s="1"/>
  <c r="K1331" i="2"/>
  <c r="J1331" i="2" s="1"/>
  <c r="K1332" i="2"/>
  <c r="J1332" i="2" s="1"/>
  <c r="K1333" i="2"/>
  <c r="J1333" i="2" s="1"/>
  <c r="K1334" i="2"/>
  <c r="J1334" i="2" s="1"/>
  <c r="K1335" i="2"/>
  <c r="J1335" i="2" s="1"/>
  <c r="K1336" i="2"/>
  <c r="J1336" i="2" s="1"/>
  <c r="K1337" i="2"/>
  <c r="J1337" i="2" s="1"/>
  <c r="K1338" i="2"/>
  <c r="J1338" i="2" s="1"/>
  <c r="K1339" i="2"/>
  <c r="J1339" i="2" s="1"/>
  <c r="K1340" i="2"/>
  <c r="J1340" i="2" s="1"/>
  <c r="K1341" i="2"/>
  <c r="J1341" i="2" s="1"/>
  <c r="K1342" i="2"/>
  <c r="J1342" i="2" s="1"/>
  <c r="K1343" i="2"/>
  <c r="J1343" i="2" s="1"/>
  <c r="K1344" i="2"/>
  <c r="J1344" i="2" s="1"/>
  <c r="K1345" i="2"/>
  <c r="J1345" i="2" s="1"/>
  <c r="K1346" i="2"/>
  <c r="J1346" i="2" s="1"/>
  <c r="K1347" i="2"/>
  <c r="J1347" i="2" s="1"/>
  <c r="K1348" i="2"/>
  <c r="J1348" i="2" s="1"/>
  <c r="K1349" i="2"/>
  <c r="J1349" i="2" s="1"/>
  <c r="K1350" i="2"/>
  <c r="J1350" i="2" s="1"/>
  <c r="K1351" i="2"/>
  <c r="J1351" i="2" s="1"/>
  <c r="K1352" i="2"/>
  <c r="J1352" i="2" s="1"/>
  <c r="K1353" i="2"/>
  <c r="J1353" i="2" s="1"/>
  <c r="K1354" i="2"/>
  <c r="J1354" i="2" s="1"/>
  <c r="K1355" i="2"/>
  <c r="J1355" i="2" s="1"/>
  <c r="K1356" i="2"/>
  <c r="J1356" i="2" s="1"/>
  <c r="K1357" i="2"/>
  <c r="J1357" i="2" s="1"/>
  <c r="K1358" i="2"/>
  <c r="J1358" i="2" s="1"/>
  <c r="K1359" i="2"/>
  <c r="J1359" i="2" s="1"/>
  <c r="K1360" i="2"/>
  <c r="J1360" i="2" s="1"/>
  <c r="K1361" i="2"/>
  <c r="J1361" i="2" s="1"/>
  <c r="K1362" i="2"/>
  <c r="J1362" i="2" s="1"/>
  <c r="K1363" i="2"/>
  <c r="J1363" i="2" s="1"/>
  <c r="K1364" i="2"/>
  <c r="J1364" i="2" s="1"/>
  <c r="K1365" i="2"/>
  <c r="J1365" i="2" s="1"/>
  <c r="K1366" i="2"/>
  <c r="J1366" i="2" s="1"/>
  <c r="K1367" i="2"/>
  <c r="J1367" i="2" s="1"/>
  <c r="K1368" i="2"/>
  <c r="J1368" i="2" s="1"/>
  <c r="K1369" i="2"/>
  <c r="J1369" i="2" s="1"/>
  <c r="K1370" i="2"/>
  <c r="J1370" i="2" s="1"/>
  <c r="K1371" i="2"/>
  <c r="J1371" i="2" s="1"/>
  <c r="K1372" i="2"/>
  <c r="J1372" i="2" s="1"/>
  <c r="K1373" i="2"/>
  <c r="J1373" i="2" s="1"/>
  <c r="K1374" i="2"/>
  <c r="J1374" i="2" s="1"/>
  <c r="K1375" i="2"/>
  <c r="J1375" i="2" s="1"/>
  <c r="K1376" i="2"/>
  <c r="J1376" i="2" s="1"/>
  <c r="K1377" i="2"/>
  <c r="J1377" i="2" s="1"/>
  <c r="K1378" i="2"/>
  <c r="J1378" i="2" s="1"/>
  <c r="K1379" i="2"/>
  <c r="J1379" i="2" s="1"/>
  <c r="K1380" i="2"/>
  <c r="J1380" i="2" s="1"/>
  <c r="K1381" i="2"/>
  <c r="J1381" i="2" s="1"/>
  <c r="K1382" i="2"/>
  <c r="J1382" i="2" s="1"/>
  <c r="K1383" i="2"/>
  <c r="J1383" i="2" s="1"/>
  <c r="K1384" i="2"/>
  <c r="K1385" i="2"/>
  <c r="J1385" i="2" s="1"/>
  <c r="K1386" i="2"/>
  <c r="J1386" i="2" s="1"/>
  <c r="K1387" i="2"/>
  <c r="J1387" i="2" s="1"/>
  <c r="K1388" i="2"/>
  <c r="J1388" i="2" s="1"/>
  <c r="K1389" i="2"/>
  <c r="J1389" i="2" s="1"/>
  <c r="K1390" i="2"/>
  <c r="J1390" i="2" s="1"/>
  <c r="K1391" i="2"/>
  <c r="J1391" i="2" s="1"/>
  <c r="K1392" i="2"/>
  <c r="J1392" i="2" s="1"/>
  <c r="K1393" i="2"/>
  <c r="J1393" i="2" s="1"/>
  <c r="K1394" i="2"/>
  <c r="J1394" i="2" s="1"/>
  <c r="K1395" i="2"/>
  <c r="J1395" i="2" s="1"/>
  <c r="K1396" i="2"/>
  <c r="J1396" i="2" s="1"/>
  <c r="K1397" i="2"/>
  <c r="J1397" i="2" s="1"/>
  <c r="K1398" i="2"/>
  <c r="J1398" i="2" s="1"/>
  <c r="K1399" i="2"/>
  <c r="J1399" i="2" s="1"/>
  <c r="K1400" i="2"/>
  <c r="J1400" i="2" s="1"/>
  <c r="K1401" i="2"/>
  <c r="J1401" i="2" s="1"/>
  <c r="K1402" i="2"/>
  <c r="J1402" i="2" s="1"/>
  <c r="K1403" i="2"/>
  <c r="J1403" i="2" s="1"/>
  <c r="K1404" i="2"/>
  <c r="J1404" i="2" s="1"/>
  <c r="K1405" i="2"/>
  <c r="J1405" i="2" s="1"/>
  <c r="K1406" i="2"/>
  <c r="J1406" i="2" s="1"/>
  <c r="K1407" i="2"/>
  <c r="J1407" i="2" s="1"/>
  <c r="K1408" i="2"/>
  <c r="J1408" i="2" s="1"/>
  <c r="K1409" i="2"/>
  <c r="J1409" i="2" s="1"/>
  <c r="K1410" i="2"/>
  <c r="J1410" i="2" s="1"/>
  <c r="K1411" i="2"/>
  <c r="J1411" i="2" s="1"/>
  <c r="K1412" i="2"/>
  <c r="J1412" i="2" s="1"/>
  <c r="K1413" i="2"/>
  <c r="J1413" i="2" s="1"/>
  <c r="K1414" i="2"/>
  <c r="J1414" i="2" s="1"/>
  <c r="K1415" i="2"/>
  <c r="J1415" i="2" s="1"/>
  <c r="K1416" i="2"/>
  <c r="J1416" i="2" s="1"/>
  <c r="K1417" i="2"/>
  <c r="J1417" i="2" s="1"/>
  <c r="K1418" i="2"/>
  <c r="J1418" i="2" s="1"/>
  <c r="K1419" i="2"/>
  <c r="J1419" i="2" s="1"/>
  <c r="K1420" i="2"/>
  <c r="J1420" i="2" s="1"/>
  <c r="K1421" i="2"/>
  <c r="J1421" i="2" s="1"/>
  <c r="K1422" i="2"/>
  <c r="J1422" i="2" s="1"/>
  <c r="K1423" i="2"/>
  <c r="J1423" i="2" s="1"/>
  <c r="K1424" i="2"/>
  <c r="J1424" i="2" s="1"/>
  <c r="K1425" i="2"/>
  <c r="J1425" i="2" s="1"/>
  <c r="K1426" i="2"/>
  <c r="J1426" i="2" s="1"/>
  <c r="K1427" i="2"/>
  <c r="J1427" i="2" s="1"/>
  <c r="K1428" i="2"/>
  <c r="J1428" i="2" s="1"/>
  <c r="K1429" i="2"/>
  <c r="J1429" i="2" s="1"/>
  <c r="K1430" i="2"/>
  <c r="J1430" i="2" s="1"/>
  <c r="K1431" i="2"/>
  <c r="J1431" i="2" s="1"/>
  <c r="K1432" i="2"/>
  <c r="J1432" i="2" s="1"/>
  <c r="K1433" i="2"/>
  <c r="J1433" i="2" s="1"/>
  <c r="K1434" i="2"/>
  <c r="J1434" i="2" s="1"/>
  <c r="K1435" i="2"/>
  <c r="J1435" i="2" s="1"/>
  <c r="K1436" i="2"/>
  <c r="J1436" i="2" s="1"/>
  <c r="K1437" i="2"/>
  <c r="J1437" i="2" s="1"/>
  <c r="K1438" i="2"/>
  <c r="J1438" i="2" s="1"/>
  <c r="K1439" i="2"/>
  <c r="J1439" i="2" s="1"/>
  <c r="K1440" i="2"/>
  <c r="J1440" i="2" s="1"/>
  <c r="K1441" i="2"/>
  <c r="J1441" i="2" s="1"/>
  <c r="K1442" i="2"/>
  <c r="J1442" i="2" s="1"/>
  <c r="K1443" i="2"/>
  <c r="J1443" i="2" s="1"/>
  <c r="K1444" i="2"/>
  <c r="J1444" i="2" s="1"/>
  <c r="K1445" i="2"/>
  <c r="J1445" i="2" s="1"/>
  <c r="K1446" i="2"/>
  <c r="J1446" i="2" s="1"/>
  <c r="K1447" i="2"/>
  <c r="J1447" i="2" s="1"/>
  <c r="K1448" i="2"/>
  <c r="J1448" i="2" s="1"/>
  <c r="K1449" i="2"/>
  <c r="J1449" i="2" s="1"/>
  <c r="K1450" i="2"/>
  <c r="J1450" i="2" s="1"/>
  <c r="K1451" i="2"/>
  <c r="J1451" i="2" s="1"/>
  <c r="K1452" i="2"/>
  <c r="J1452" i="2" s="1"/>
  <c r="K1453" i="2"/>
  <c r="J1453" i="2" s="1"/>
  <c r="K1454" i="2"/>
  <c r="J1454" i="2" s="1"/>
  <c r="K1455" i="2"/>
  <c r="J1455" i="2" s="1"/>
  <c r="K1456" i="2"/>
  <c r="J1456" i="2" s="1"/>
  <c r="K1457" i="2"/>
  <c r="J1457" i="2" s="1"/>
  <c r="K1458" i="2"/>
  <c r="J1458" i="2" s="1"/>
  <c r="K1459" i="2"/>
  <c r="J1459" i="2" s="1"/>
  <c r="K1460" i="2"/>
  <c r="J1460" i="2" s="1"/>
  <c r="K1461" i="2"/>
  <c r="J1461" i="2" s="1"/>
  <c r="K1462" i="2"/>
  <c r="J1462" i="2" s="1"/>
  <c r="K1463" i="2"/>
  <c r="J1463" i="2" s="1"/>
  <c r="K1464" i="2"/>
  <c r="J1464" i="2" s="1"/>
  <c r="K1465" i="2"/>
  <c r="J1465" i="2" s="1"/>
  <c r="K1466" i="2"/>
  <c r="J1466" i="2" s="1"/>
  <c r="K1467" i="2"/>
  <c r="J1467" i="2" s="1"/>
  <c r="K1468" i="2"/>
  <c r="J1468" i="2" s="1"/>
  <c r="K1469" i="2"/>
  <c r="J1469" i="2" s="1"/>
  <c r="K1470" i="2"/>
  <c r="J1470" i="2" s="1"/>
  <c r="K1471" i="2"/>
  <c r="J1471" i="2" s="1"/>
  <c r="K1472" i="2"/>
  <c r="J1472" i="2" s="1"/>
  <c r="K1473" i="2"/>
  <c r="J1473" i="2" s="1"/>
  <c r="K1474" i="2"/>
  <c r="J1474" i="2" s="1"/>
  <c r="K1475" i="2"/>
  <c r="J1475" i="2" s="1"/>
  <c r="K1476" i="2"/>
  <c r="J1476" i="2" s="1"/>
  <c r="K1477" i="2"/>
  <c r="J1477" i="2" s="1"/>
  <c r="K1478" i="2"/>
  <c r="J1478" i="2" s="1"/>
  <c r="K1479" i="2"/>
  <c r="J1479" i="2" s="1"/>
  <c r="K1480" i="2"/>
  <c r="J1480" i="2" s="1"/>
  <c r="K1481" i="2"/>
  <c r="J1481" i="2" s="1"/>
  <c r="K1482" i="2"/>
  <c r="J1482" i="2" s="1"/>
  <c r="K1483" i="2"/>
  <c r="J1483" i="2" s="1"/>
  <c r="K1484" i="2"/>
  <c r="J1484" i="2" s="1"/>
  <c r="K1485" i="2"/>
  <c r="J1485" i="2" s="1"/>
  <c r="K1486" i="2"/>
  <c r="J1486" i="2" s="1"/>
  <c r="K1487" i="2"/>
  <c r="J1487" i="2" s="1"/>
  <c r="K1488" i="2"/>
  <c r="J1488" i="2" s="1"/>
  <c r="K1489" i="2"/>
  <c r="J1489" i="2" s="1"/>
  <c r="K1490" i="2"/>
  <c r="J1490" i="2" s="1"/>
  <c r="K1491" i="2"/>
  <c r="J1491" i="2" s="1"/>
  <c r="K1492" i="2"/>
  <c r="J1492" i="2" s="1"/>
  <c r="K1493" i="2"/>
  <c r="J1493" i="2" s="1"/>
  <c r="K1494" i="2"/>
  <c r="J1494" i="2" s="1"/>
  <c r="K1495" i="2"/>
  <c r="J1495" i="2" s="1"/>
  <c r="K1496" i="2"/>
  <c r="J1496" i="2" s="1"/>
  <c r="K1497" i="2"/>
  <c r="J1497" i="2" s="1"/>
  <c r="K1498" i="2"/>
  <c r="J1498" i="2" s="1"/>
  <c r="K1499" i="2"/>
  <c r="J1499" i="2" s="1"/>
  <c r="K1500" i="2"/>
  <c r="J1500" i="2" s="1"/>
  <c r="K1501" i="2"/>
  <c r="J1501" i="2" s="1"/>
  <c r="K1502" i="2"/>
  <c r="J1502" i="2" s="1"/>
  <c r="K1503" i="2"/>
  <c r="J1503" i="2" s="1"/>
  <c r="K1504" i="2"/>
  <c r="J1504" i="2" s="1"/>
  <c r="K1505" i="2"/>
  <c r="J1505" i="2" s="1"/>
  <c r="K1506" i="2"/>
  <c r="J1506" i="2" s="1"/>
  <c r="K1507" i="2"/>
  <c r="J1507" i="2" s="1"/>
  <c r="K1508" i="2"/>
  <c r="J1508" i="2" s="1"/>
  <c r="K1509" i="2"/>
  <c r="J1509" i="2" s="1"/>
  <c r="K1510" i="2"/>
  <c r="J1510" i="2" s="1"/>
  <c r="K1511" i="2"/>
  <c r="J1511" i="2" s="1"/>
  <c r="K1512" i="2"/>
  <c r="J1512" i="2" s="1"/>
  <c r="K1513" i="2"/>
  <c r="J1513" i="2" s="1"/>
  <c r="K1514" i="2"/>
  <c r="J1514" i="2" s="1"/>
  <c r="K1515" i="2"/>
  <c r="J1515" i="2" s="1"/>
  <c r="K1516" i="2"/>
  <c r="J1516" i="2" s="1"/>
  <c r="K1517" i="2"/>
  <c r="J1517" i="2" s="1"/>
  <c r="K1518" i="2"/>
  <c r="J1518" i="2" s="1"/>
  <c r="K1519" i="2"/>
  <c r="J1519" i="2" s="1"/>
  <c r="K1520" i="2"/>
  <c r="J1520" i="2" s="1"/>
  <c r="K1521" i="2"/>
  <c r="J1521" i="2" s="1"/>
  <c r="K1522" i="2"/>
  <c r="J1522" i="2" s="1"/>
  <c r="K1523" i="2"/>
  <c r="J1523" i="2" s="1"/>
  <c r="K1524" i="2"/>
  <c r="J1524" i="2" s="1"/>
  <c r="K1525" i="2"/>
  <c r="J1525" i="2" s="1"/>
  <c r="K1526" i="2"/>
  <c r="J1526" i="2" s="1"/>
  <c r="K1527" i="2"/>
  <c r="J1527" i="2" s="1"/>
  <c r="K1528" i="2"/>
  <c r="J1528" i="2" s="1"/>
  <c r="K1529" i="2"/>
  <c r="J1529" i="2" s="1"/>
  <c r="K1530" i="2"/>
  <c r="J1530" i="2" s="1"/>
  <c r="K1531" i="2"/>
  <c r="J1531" i="2" s="1"/>
  <c r="K1532" i="2"/>
  <c r="J1532" i="2" s="1"/>
  <c r="K1533" i="2"/>
  <c r="J1533" i="2" s="1"/>
  <c r="K1534" i="2"/>
  <c r="J1534" i="2" s="1"/>
  <c r="K1535" i="2"/>
  <c r="J1535" i="2" s="1"/>
  <c r="K1536" i="2"/>
  <c r="J1536" i="2" s="1"/>
  <c r="K1537" i="2"/>
  <c r="J1537" i="2" s="1"/>
  <c r="K1538" i="2"/>
  <c r="J1538" i="2" s="1"/>
  <c r="K1539" i="2"/>
  <c r="J1539" i="2" s="1"/>
  <c r="K1540" i="2"/>
  <c r="J1540" i="2" s="1"/>
  <c r="K1541" i="2"/>
  <c r="J1541" i="2" s="1"/>
  <c r="K1542" i="2"/>
  <c r="J1542" i="2" s="1"/>
  <c r="K1543" i="2"/>
  <c r="J1543" i="2" s="1"/>
  <c r="K1544" i="2"/>
  <c r="J1544" i="2" s="1"/>
  <c r="K1545" i="2"/>
  <c r="J1545" i="2" s="1"/>
  <c r="K1546" i="2"/>
  <c r="J1546" i="2" s="1"/>
  <c r="K1547" i="2"/>
  <c r="J1547" i="2" s="1"/>
  <c r="K1548" i="2"/>
  <c r="J1548" i="2" s="1"/>
  <c r="K1549" i="2"/>
  <c r="J1549" i="2" s="1"/>
  <c r="K1550" i="2"/>
  <c r="J1550" i="2" s="1"/>
  <c r="K1551" i="2"/>
  <c r="J1551" i="2" s="1"/>
  <c r="K1552" i="2"/>
  <c r="J1552" i="2" s="1"/>
  <c r="K1553" i="2"/>
  <c r="J1553" i="2" s="1"/>
  <c r="K1554" i="2"/>
  <c r="J1554" i="2" s="1"/>
  <c r="K1555" i="2"/>
  <c r="J1555" i="2" s="1"/>
  <c r="K1556" i="2"/>
  <c r="J1556" i="2" s="1"/>
  <c r="K1557" i="2"/>
  <c r="J1557" i="2" s="1"/>
  <c r="K1558" i="2"/>
  <c r="J1558" i="2" s="1"/>
  <c r="K1559" i="2"/>
  <c r="J1559" i="2" s="1"/>
  <c r="K1560" i="2"/>
  <c r="J1560" i="2" s="1"/>
  <c r="K1561" i="2"/>
  <c r="J1561" i="2" s="1"/>
  <c r="K1562" i="2"/>
  <c r="J1562" i="2" s="1"/>
  <c r="K1563" i="2"/>
  <c r="J1563" i="2" s="1"/>
  <c r="K1564" i="2"/>
  <c r="J1564" i="2" s="1"/>
  <c r="K1565" i="2"/>
  <c r="J1565" i="2" s="1"/>
  <c r="K1566" i="2"/>
  <c r="J1566" i="2" s="1"/>
  <c r="K1567" i="2"/>
  <c r="J1567" i="2" s="1"/>
  <c r="K1568" i="2"/>
  <c r="J1568" i="2" s="1"/>
  <c r="K1569" i="2"/>
  <c r="J1569" i="2" s="1"/>
  <c r="K1570" i="2"/>
  <c r="J1570" i="2" s="1"/>
  <c r="K1571" i="2"/>
  <c r="J1571" i="2" s="1"/>
  <c r="K1572" i="2"/>
  <c r="J1572" i="2" s="1"/>
  <c r="K1573" i="2"/>
  <c r="J1573" i="2" s="1"/>
  <c r="K1574" i="2"/>
  <c r="J1574" i="2" s="1"/>
  <c r="K1575" i="2"/>
  <c r="J1575" i="2" s="1"/>
  <c r="K1576" i="2"/>
  <c r="J1576" i="2" s="1"/>
  <c r="K1577" i="2"/>
  <c r="J1577" i="2" s="1"/>
  <c r="K1578" i="2"/>
  <c r="J1578" i="2" s="1"/>
  <c r="K1579" i="2"/>
  <c r="J1579" i="2" s="1"/>
  <c r="K1580" i="2"/>
  <c r="J1580" i="2" s="1"/>
  <c r="K1581" i="2"/>
  <c r="J1581" i="2" s="1"/>
  <c r="K1582" i="2"/>
  <c r="J1582" i="2" s="1"/>
  <c r="K1583" i="2"/>
  <c r="J1583" i="2" s="1"/>
  <c r="K1584" i="2"/>
  <c r="J1584" i="2" s="1"/>
  <c r="K1585" i="2"/>
  <c r="J1585" i="2" s="1"/>
  <c r="K1586" i="2"/>
  <c r="J1586" i="2" s="1"/>
  <c r="K1587" i="2"/>
  <c r="J1587" i="2" s="1"/>
  <c r="K1588" i="2"/>
  <c r="J1588" i="2" s="1"/>
  <c r="K1589" i="2"/>
  <c r="J1589" i="2" s="1"/>
  <c r="K1590" i="2"/>
  <c r="J1590" i="2" s="1"/>
  <c r="K1591" i="2"/>
  <c r="J1591" i="2" s="1"/>
  <c r="K1592" i="2"/>
  <c r="J1592" i="2" s="1"/>
  <c r="K1593" i="2"/>
  <c r="J1593" i="2" s="1"/>
  <c r="K1594" i="2"/>
  <c r="J1594" i="2" s="1"/>
  <c r="K1595" i="2"/>
  <c r="J1595" i="2" s="1"/>
  <c r="K1596" i="2"/>
  <c r="J1596" i="2" s="1"/>
  <c r="K1597" i="2"/>
  <c r="J1597" i="2" s="1"/>
  <c r="K1598" i="2"/>
  <c r="J1598" i="2" s="1"/>
  <c r="K1599" i="2"/>
  <c r="J1599" i="2" s="1"/>
  <c r="K1600" i="2"/>
  <c r="J1600" i="2" s="1"/>
  <c r="K1601" i="2"/>
  <c r="J1601" i="2" s="1"/>
  <c r="K1602" i="2"/>
  <c r="J1602" i="2" s="1"/>
  <c r="K1603" i="2"/>
  <c r="J1603" i="2" s="1"/>
  <c r="K1604" i="2"/>
  <c r="J1604" i="2" s="1"/>
  <c r="K1605" i="2"/>
  <c r="J1605" i="2" s="1"/>
  <c r="K1606" i="2"/>
  <c r="J1606" i="2" s="1"/>
  <c r="K1607" i="2"/>
  <c r="J1607" i="2" s="1"/>
  <c r="K1608" i="2"/>
  <c r="J1608" i="2" s="1"/>
  <c r="K1609" i="2"/>
  <c r="J1609" i="2" s="1"/>
  <c r="K1610" i="2"/>
  <c r="J1610" i="2" s="1"/>
  <c r="K1611" i="2"/>
  <c r="J1611" i="2" s="1"/>
  <c r="K1612" i="2"/>
  <c r="J1612" i="2" s="1"/>
  <c r="K1613" i="2"/>
  <c r="J1613" i="2" s="1"/>
  <c r="K1614" i="2"/>
  <c r="J1614" i="2" s="1"/>
  <c r="K1615" i="2"/>
  <c r="J1615" i="2" s="1"/>
  <c r="K1616" i="2"/>
  <c r="J1616" i="2" s="1"/>
  <c r="K1617" i="2"/>
  <c r="J1617" i="2" s="1"/>
  <c r="K1618" i="2"/>
  <c r="J1618" i="2" s="1"/>
  <c r="K1619" i="2"/>
  <c r="J1619" i="2" s="1"/>
  <c r="K1620" i="2"/>
  <c r="J1620" i="2" s="1"/>
  <c r="K1621" i="2"/>
  <c r="J1621" i="2" s="1"/>
  <c r="K1622" i="2"/>
  <c r="J1622" i="2" s="1"/>
  <c r="K1623" i="2"/>
  <c r="J1623" i="2" s="1"/>
  <c r="K1624" i="2"/>
  <c r="J1624" i="2" s="1"/>
  <c r="K1625" i="2"/>
  <c r="J1625" i="2" s="1"/>
  <c r="K1626" i="2"/>
  <c r="J1626" i="2" s="1"/>
  <c r="K1627" i="2"/>
  <c r="J1627" i="2" s="1"/>
  <c r="K1628" i="2"/>
  <c r="J1628" i="2" s="1"/>
  <c r="K1629" i="2"/>
  <c r="J1629" i="2" s="1"/>
  <c r="K1630" i="2"/>
  <c r="J1630" i="2" s="1"/>
  <c r="K1631" i="2"/>
  <c r="J1631" i="2" s="1"/>
  <c r="K1632" i="2"/>
  <c r="J1632" i="2" s="1"/>
  <c r="K1633" i="2"/>
  <c r="J1633" i="2" s="1"/>
  <c r="K1634" i="2"/>
  <c r="J1634" i="2" s="1"/>
  <c r="K1635" i="2"/>
  <c r="J1635" i="2" s="1"/>
  <c r="K1636" i="2"/>
  <c r="J1636" i="2" s="1"/>
  <c r="K1637" i="2"/>
  <c r="J1637" i="2" s="1"/>
  <c r="K1638" i="2"/>
  <c r="J1638" i="2" s="1"/>
  <c r="K1639" i="2"/>
  <c r="J1639" i="2" s="1"/>
  <c r="K1640" i="2"/>
  <c r="J1640" i="2" s="1"/>
  <c r="K1641" i="2"/>
  <c r="J1641" i="2" s="1"/>
  <c r="K1642" i="2"/>
  <c r="J1642" i="2" s="1"/>
  <c r="K1643" i="2"/>
  <c r="J1643" i="2" s="1"/>
  <c r="K1644" i="2"/>
  <c r="J1644" i="2" s="1"/>
  <c r="K1645" i="2"/>
  <c r="J1645" i="2" s="1"/>
  <c r="K1646" i="2"/>
  <c r="J1646" i="2" s="1"/>
  <c r="K1647" i="2"/>
  <c r="J1647" i="2" s="1"/>
  <c r="K1648" i="2"/>
  <c r="J1648" i="2" s="1"/>
  <c r="K1649" i="2"/>
  <c r="J1649" i="2" s="1"/>
  <c r="K1650" i="2"/>
  <c r="J1650" i="2" s="1"/>
  <c r="K1651" i="2"/>
  <c r="J1651" i="2" s="1"/>
  <c r="K1652" i="2"/>
  <c r="J1652" i="2" s="1"/>
  <c r="K1653" i="2"/>
  <c r="J1653" i="2" s="1"/>
  <c r="K1654" i="2"/>
  <c r="J1654" i="2" s="1"/>
  <c r="K1655" i="2"/>
  <c r="J1655" i="2" s="1"/>
  <c r="K1656" i="2"/>
  <c r="J1656" i="2" s="1"/>
  <c r="K1657" i="2"/>
  <c r="J1657" i="2" s="1"/>
  <c r="K1658" i="2"/>
  <c r="J1658" i="2" s="1"/>
  <c r="K1659" i="2"/>
  <c r="J1659" i="2" s="1"/>
  <c r="K1660" i="2"/>
  <c r="J1660" i="2" s="1"/>
  <c r="K1661" i="2"/>
  <c r="J1661" i="2" s="1"/>
  <c r="K1662" i="2"/>
  <c r="J1662" i="2" s="1"/>
  <c r="K1663" i="2"/>
  <c r="J1663" i="2" s="1"/>
  <c r="K1664" i="2"/>
  <c r="J1664" i="2" s="1"/>
  <c r="K1665" i="2"/>
  <c r="J1665" i="2" s="1"/>
  <c r="K1666" i="2"/>
  <c r="J1666" i="2" s="1"/>
  <c r="K1667" i="2"/>
  <c r="J1667" i="2" s="1"/>
  <c r="K1668" i="2"/>
  <c r="J1668" i="2" s="1"/>
  <c r="K1669" i="2"/>
  <c r="J1669" i="2" s="1"/>
  <c r="K1670" i="2"/>
  <c r="J1670" i="2" s="1"/>
  <c r="K1671" i="2"/>
  <c r="J1671" i="2" s="1"/>
  <c r="K1672" i="2"/>
  <c r="J1672" i="2" s="1"/>
  <c r="K1673" i="2"/>
  <c r="J1673" i="2" s="1"/>
  <c r="K1674" i="2"/>
  <c r="J1674" i="2" s="1"/>
  <c r="K1675" i="2"/>
  <c r="J1675" i="2" s="1"/>
  <c r="K1676" i="2"/>
  <c r="J1676" i="2" s="1"/>
  <c r="K1677" i="2"/>
  <c r="J1677" i="2" s="1"/>
  <c r="K1678" i="2"/>
  <c r="J1678" i="2" s="1"/>
  <c r="K1679" i="2"/>
  <c r="J1679" i="2" s="1"/>
  <c r="K1680" i="2"/>
  <c r="J1680" i="2" s="1"/>
  <c r="K1681" i="2"/>
  <c r="J1681" i="2" s="1"/>
  <c r="K1682" i="2"/>
  <c r="J1682" i="2" s="1"/>
  <c r="K1683" i="2"/>
  <c r="J1683" i="2" s="1"/>
  <c r="K1684" i="2"/>
  <c r="J1684" i="2" s="1"/>
  <c r="K1685" i="2"/>
  <c r="J1685" i="2" s="1"/>
  <c r="K1686" i="2"/>
  <c r="J1686" i="2" s="1"/>
  <c r="K1687" i="2"/>
  <c r="J1687" i="2" s="1"/>
  <c r="K1688" i="2"/>
  <c r="J1688" i="2" s="1"/>
  <c r="K1689" i="2"/>
  <c r="J1689" i="2" s="1"/>
  <c r="K1690" i="2"/>
  <c r="J1690" i="2" s="1"/>
  <c r="K1691" i="2"/>
  <c r="J1691" i="2" s="1"/>
  <c r="K1692" i="2"/>
  <c r="J1692" i="2" s="1"/>
  <c r="K1693" i="2"/>
  <c r="J1693" i="2" s="1"/>
  <c r="K1694" i="2"/>
  <c r="J1694" i="2" s="1"/>
  <c r="K1695" i="2"/>
  <c r="J1695" i="2" s="1"/>
  <c r="K1696" i="2"/>
  <c r="J1696" i="2" s="1"/>
  <c r="K1697" i="2"/>
  <c r="J1697" i="2" s="1"/>
  <c r="K1698" i="2"/>
  <c r="J1698" i="2" s="1"/>
  <c r="K1699" i="2"/>
  <c r="J1699" i="2" s="1"/>
  <c r="K1700" i="2"/>
  <c r="J1700" i="2" s="1"/>
  <c r="K1701" i="2"/>
  <c r="J1701" i="2" s="1"/>
  <c r="K1702" i="2"/>
  <c r="J1702" i="2" s="1"/>
  <c r="K1703" i="2"/>
  <c r="J1703" i="2" s="1"/>
  <c r="K1704" i="2"/>
  <c r="J1704" i="2" s="1"/>
  <c r="K1705" i="2"/>
  <c r="J1705" i="2" s="1"/>
  <c r="K1706" i="2"/>
  <c r="J1706" i="2" s="1"/>
  <c r="K1707" i="2"/>
  <c r="J1707" i="2" s="1"/>
  <c r="K1708" i="2"/>
  <c r="J1708" i="2" s="1"/>
  <c r="K1709" i="2"/>
  <c r="J1709" i="2" s="1"/>
  <c r="K1710" i="2"/>
  <c r="J1710" i="2" s="1"/>
  <c r="K1711" i="2"/>
  <c r="J1711" i="2" s="1"/>
  <c r="K1712" i="2"/>
  <c r="J1712" i="2" s="1"/>
  <c r="K1713" i="2"/>
  <c r="J1713" i="2" s="1"/>
  <c r="K1714" i="2"/>
  <c r="J1714" i="2" s="1"/>
  <c r="K1715" i="2"/>
  <c r="J1715" i="2" s="1"/>
  <c r="K1716" i="2"/>
  <c r="J1716" i="2" s="1"/>
  <c r="K1717" i="2"/>
  <c r="J1717" i="2" s="1"/>
  <c r="K1718" i="2"/>
  <c r="J1718" i="2" s="1"/>
  <c r="K1719" i="2"/>
  <c r="J1719" i="2" s="1"/>
  <c r="K1720" i="2"/>
  <c r="J1720" i="2" s="1"/>
  <c r="K1721" i="2"/>
  <c r="J1721" i="2" s="1"/>
  <c r="K1722" i="2"/>
  <c r="J1722" i="2" s="1"/>
  <c r="K1723" i="2"/>
  <c r="J1723" i="2" s="1"/>
  <c r="K1724" i="2"/>
  <c r="J1724" i="2" s="1"/>
  <c r="K1725" i="2"/>
  <c r="J1725" i="2" s="1"/>
  <c r="K1726" i="2"/>
  <c r="J1726" i="2" s="1"/>
  <c r="K1727" i="2"/>
  <c r="K1728" i="2"/>
  <c r="J1728" i="2" s="1"/>
  <c r="K1729" i="2"/>
  <c r="J1729" i="2" s="1"/>
  <c r="K1730" i="2"/>
  <c r="J1730" i="2" s="1"/>
  <c r="K1731" i="2"/>
  <c r="J1731" i="2" s="1"/>
  <c r="K1732" i="2"/>
  <c r="J1732" i="2" s="1"/>
  <c r="K1733" i="2"/>
  <c r="J1733" i="2" s="1"/>
  <c r="K1734" i="2"/>
  <c r="J1734" i="2" s="1"/>
  <c r="K1735" i="2"/>
  <c r="J1735" i="2" s="1"/>
  <c r="K1736" i="2"/>
  <c r="J1736" i="2" s="1"/>
  <c r="K1737" i="2"/>
  <c r="J1737" i="2" s="1"/>
  <c r="K1738" i="2"/>
  <c r="J1738" i="2" s="1"/>
  <c r="K1739" i="2"/>
  <c r="J1739" i="2" s="1"/>
  <c r="K1740" i="2"/>
  <c r="J1740" i="2" s="1"/>
  <c r="K1741" i="2"/>
  <c r="J1741" i="2" s="1"/>
  <c r="K1742" i="2"/>
  <c r="J1742" i="2" s="1"/>
  <c r="K1743" i="2"/>
  <c r="J1743" i="2" s="1"/>
  <c r="K1744" i="2"/>
  <c r="J1744" i="2" s="1"/>
  <c r="K1745" i="2"/>
  <c r="J1745" i="2" s="1"/>
  <c r="K1746" i="2"/>
  <c r="J1746" i="2" s="1"/>
  <c r="K1747" i="2"/>
  <c r="J1747" i="2" s="1"/>
  <c r="K1748" i="2"/>
  <c r="J1748" i="2" s="1"/>
  <c r="K1749" i="2"/>
  <c r="J1749" i="2" s="1"/>
  <c r="K1750" i="2"/>
  <c r="J1750" i="2" s="1"/>
  <c r="K1751" i="2"/>
  <c r="J1751" i="2" s="1"/>
  <c r="K1752" i="2"/>
  <c r="J1752" i="2" s="1"/>
  <c r="K1753" i="2"/>
  <c r="J1753" i="2" s="1"/>
  <c r="K1754" i="2"/>
  <c r="J1754" i="2" s="1"/>
  <c r="K1755" i="2"/>
  <c r="J1755" i="2" s="1"/>
  <c r="K1756" i="2"/>
  <c r="J1756" i="2" s="1"/>
  <c r="K1757" i="2"/>
  <c r="J1757" i="2" s="1"/>
  <c r="K1758" i="2"/>
  <c r="J1758" i="2" s="1"/>
  <c r="K1759" i="2"/>
  <c r="J1759" i="2" s="1"/>
  <c r="K1760" i="2"/>
  <c r="J1760" i="2" s="1"/>
  <c r="K1761" i="2"/>
  <c r="J1761" i="2" s="1"/>
  <c r="K1762" i="2"/>
  <c r="J1762" i="2" s="1"/>
  <c r="K1763" i="2"/>
  <c r="J1763" i="2" s="1"/>
  <c r="K1764" i="2"/>
  <c r="J1764" i="2" s="1"/>
  <c r="K1765" i="2"/>
  <c r="J1765" i="2" s="1"/>
  <c r="K1766" i="2"/>
  <c r="J1766" i="2" s="1"/>
  <c r="K1767" i="2"/>
  <c r="J1767" i="2" s="1"/>
  <c r="K1768" i="2"/>
  <c r="J1768" i="2" s="1"/>
  <c r="K1769" i="2"/>
  <c r="J1769" i="2" s="1"/>
  <c r="K1770" i="2"/>
  <c r="J1770" i="2" s="1"/>
  <c r="K1771" i="2"/>
  <c r="J1771" i="2" s="1"/>
  <c r="K1772" i="2"/>
  <c r="J1772" i="2" s="1"/>
  <c r="K1773" i="2"/>
  <c r="J1773" i="2" s="1"/>
  <c r="K1774" i="2"/>
  <c r="J1774" i="2" s="1"/>
  <c r="K1775" i="2"/>
  <c r="J1775" i="2" s="1"/>
  <c r="K1776" i="2"/>
  <c r="J1776" i="2" s="1"/>
  <c r="K1777" i="2"/>
  <c r="J1777" i="2" s="1"/>
  <c r="K1778" i="2"/>
  <c r="J1778" i="2" s="1"/>
  <c r="K1779" i="2"/>
  <c r="J1779" i="2" s="1"/>
  <c r="K1780" i="2"/>
  <c r="J1780" i="2" s="1"/>
  <c r="K1781" i="2"/>
  <c r="J1781" i="2" s="1"/>
  <c r="K1782" i="2"/>
  <c r="J1782" i="2" s="1"/>
  <c r="K1783" i="2"/>
  <c r="J1783" i="2" s="1"/>
  <c r="K1784" i="2"/>
  <c r="J1784" i="2" s="1"/>
  <c r="K1785" i="2"/>
  <c r="J1785" i="2" s="1"/>
  <c r="K1786" i="2"/>
  <c r="J1786" i="2" s="1"/>
  <c r="K1787" i="2"/>
  <c r="J1787" i="2" s="1"/>
  <c r="K1788" i="2"/>
  <c r="J1788" i="2" s="1"/>
  <c r="K1789" i="2"/>
  <c r="J1789" i="2" s="1"/>
  <c r="K1790" i="2"/>
  <c r="J1790" i="2" s="1"/>
  <c r="K1791" i="2"/>
  <c r="J1791" i="2" s="1"/>
  <c r="K1792" i="2"/>
  <c r="J1792" i="2" s="1"/>
  <c r="K1793" i="2"/>
  <c r="J1793" i="2" s="1"/>
  <c r="K1794" i="2"/>
  <c r="J1794" i="2" s="1"/>
  <c r="K1795" i="2"/>
  <c r="J1795" i="2" s="1"/>
  <c r="K1796" i="2"/>
  <c r="J1796" i="2" s="1"/>
  <c r="K1797" i="2"/>
  <c r="J1797" i="2" s="1"/>
  <c r="K1798" i="2"/>
  <c r="J1798" i="2" s="1"/>
  <c r="K1799" i="2"/>
  <c r="J1799" i="2" s="1"/>
  <c r="K1800" i="2"/>
  <c r="J1800" i="2" s="1"/>
  <c r="K1801" i="2"/>
  <c r="J1801" i="2" s="1"/>
  <c r="K1802" i="2"/>
  <c r="J1802" i="2" s="1"/>
  <c r="K1803" i="2"/>
  <c r="J1803" i="2" s="1"/>
  <c r="K1804" i="2"/>
  <c r="J1804" i="2" s="1"/>
  <c r="K1805" i="2"/>
  <c r="J1805" i="2" s="1"/>
  <c r="K1806" i="2"/>
  <c r="J1806" i="2" s="1"/>
  <c r="K1807" i="2"/>
  <c r="J1807" i="2" s="1"/>
  <c r="K1808" i="2"/>
  <c r="J1808" i="2" s="1"/>
  <c r="K1809" i="2"/>
  <c r="J1809" i="2" s="1"/>
  <c r="K1810" i="2"/>
  <c r="J1810" i="2" s="1"/>
  <c r="K1811" i="2"/>
  <c r="J1811" i="2" s="1"/>
  <c r="K1812" i="2"/>
  <c r="J1812" i="2" s="1"/>
  <c r="K1813" i="2"/>
  <c r="J1813" i="2" s="1"/>
  <c r="K1814" i="2"/>
  <c r="J1814" i="2" s="1"/>
  <c r="K1815" i="2"/>
  <c r="J1815" i="2" s="1"/>
  <c r="K1816" i="2"/>
  <c r="J1816" i="2" s="1"/>
  <c r="K1817" i="2"/>
  <c r="J1817" i="2" s="1"/>
  <c r="K1818" i="2"/>
  <c r="J1818" i="2" s="1"/>
  <c r="K1819" i="2"/>
  <c r="J1819" i="2" s="1"/>
  <c r="K1820" i="2"/>
  <c r="J1820" i="2" s="1"/>
  <c r="K1821" i="2"/>
  <c r="J1821" i="2" s="1"/>
  <c r="K1822" i="2"/>
  <c r="J1822" i="2" s="1"/>
  <c r="K1823" i="2"/>
  <c r="J1823" i="2" s="1"/>
  <c r="K1824" i="2"/>
  <c r="J1824" i="2" s="1"/>
  <c r="K1825" i="2"/>
  <c r="J1825" i="2" s="1"/>
  <c r="K1826" i="2"/>
  <c r="J1826" i="2" s="1"/>
  <c r="K1827" i="2"/>
  <c r="J1827" i="2" s="1"/>
  <c r="K1828" i="2"/>
  <c r="J1828" i="2" s="1"/>
  <c r="K1829" i="2"/>
  <c r="J1829" i="2" s="1"/>
  <c r="K1830" i="2"/>
  <c r="J1830" i="2" s="1"/>
  <c r="K1831" i="2"/>
  <c r="J1831" i="2" s="1"/>
  <c r="K1832" i="2"/>
  <c r="J1832" i="2" s="1"/>
  <c r="K1833" i="2"/>
  <c r="J1833" i="2" s="1"/>
  <c r="K1834" i="2"/>
  <c r="J1834" i="2" s="1"/>
  <c r="K1835" i="2"/>
  <c r="K1836" i="2"/>
  <c r="J1836" i="2" s="1"/>
  <c r="K1837" i="2"/>
  <c r="J1837" i="2" s="1"/>
  <c r="K1838" i="2"/>
  <c r="J1838" i="2" s="1"/>
  <c r="K1839" i="2"/>
  <c r="J1839" i="2" s="1"/>
  <c r="K1840" i="2"/>
  <c r="J1840" i="2" s="1"/>
  <c r="K1841" i="2"/>
  <c r="J1841" i="2" s="1"/>
  <c r="K1842" i="2"/>
  <c r="J1842" i="2" s="1"/>
  <c r="K1843" i="2"/>
  <c r="J1843" i="2" s="1"/>
  <c r="K1844" i="2"/>
  <c r="J1844" i="2" s="1"/>
  <c r="K1845" i="2"/>
  <c r="J1845" i="2" s="1"/>
  <c r="K1846" i="2"/>
  <c r="J1846" i="2" s="1"/>
  <c r="K1847" i="2"/>
  <c r="J1847" i="2" s="1"/>
  <c r="K1848" i="2"/>
  <c r="J1848" i="2" s="1"/>
  <c r="K1849" i="2"/>
  <c r="J1849" i="2" s="1"/>
  <c r="K1850" i="2"/>
  <c r="J1850" i="2" s="1"/>
  <c r="K1851" i="2"/>
  <c r="J1851" i="2" s="1"/>
  <c r="K1852" i="2"/>
  <c r="J1852" i="2" s="1"/>
  <c r="K1853" i="2"/>
  <c r="J1853" i="2" s="1"/>
  <c r="K1854" i="2"/>
  <c r="J1854" i="2" s="1"/>
  <c r="K1855" i="2"/>
  <c r="J1855" i="2" s="1"/>
  <c r="K1856" i="2"/>
  <c r="J1856" i="2" s="1"/>
  <c r="K1857" i="2"/>
  <c r="J1857" i="2" s="1"/>
  <c r="K1858" i="2"/>
  <c r="J1858" i="2" s="1"/>
  <c r="K1859" i="2"/>
  <c r="J1859" i="2" s="1"/>
  <c r="K1860" i="2"/>
  <c r="J1860" i="2" s="1"/>
  <c r="K1861" i="2"/>
  <c r="J1861" i="2" s="1"/>
  <c r="K1862" i="2"/>
  <c r="J1862" i="2" s="1"/>
  <c r="K1863" i="2"/>
  <c r="J1863" i="2" s="1"/>
  <c r="K1864" i="2"/>
  <c r="J1864" i="2" s="1"/>
  <c r="K1865" i="2"/>
  <c r="J1865" i="2" s="1"/>
  <c r="K1866" i="2"/>
  <c r="J1866" i="2" s="1"/>
  <c r="K1867" i="2"/>
  <c r="J1867" i="2" s="1"/>
  <c r="K1868" i="2"/>
  <c r="J1868" i="2" s="1"/>
  <c r="K1869" i="2"/>
  <c r="J1869" i="2" s="1"/>
  <c r="K1870" i="2"/>
  <c r="J1870" i="2" s="1"/>
  <c r="K1871" i="2"/>
  <c r="J1871" i="2" s="1"/>
  <c r="K1872" i="2"/>
  <c r="J1872" i="2" s="1"/>
  <c r="K1873" i="2"/>
  <c r="J1873" i="2" s="1"/>
  <c r="K1874" i="2"/>
  <c r="J1874" i="2" s="1"/>
  <c r="K1875" i="2"/>
  <c r="J1875" i="2" s="1"/>
  <c r="K1876" i="2"/>
  <c r="J1876" i="2" s="1"/>
  <c r="K1877" i="2"/>
  <c r="J1877" i="2" s="1"/>
  <c r="K1878" i="2"/>
  <c r="J1878" i="2" s="1"/>
  <c r="K1879" i="2"/>
  <c r="J1879" i="2" s="1"/>
  <c r="K1880" i="2"/>
  <c r="J1880" i="2" s="1"/>
  <c r="K1881" i="2"/>
  <c r="J1881" i="2" s="1"/>
  <c r="K1882" i="2"/>
  <c r="J1882" i="2" s="1"/>
  <c r="K1883" i="2"/>
  <c r="J1883" i="2" s="1"/>
  <c r="K1884" i="2"/>
  <c r="J1884" i="2" s="1"/>
  <c r="K1885" i="2"/>
  <c r="J1885" i="2" s="1"/>
  <c r="K1886" i="2"/>
  <c r="J1886" i="2" s="1"/>
  <c r="K1887" i="2"/>
  <c r="J1887" i="2" s="1"/>
  <c r="K1888" i="2"/>
  <c r="J1888" i="2" s="1"/>
  <c r="K1889" i="2"/>
  <c r="J1889" i="2" s="1"/>
  <c r="K1890" i="2"/>
  <c r="J1890" i="2" s="1"/>
  <c r="K1891" i="2"/>
  <c r="J1891" i="2" s="1"/>
  <c r="K1892" i="2"/>
  <c r="J1892" i="2" s="1"/>
  <c r="K1893" i="2"/>
  <c r="J1893" i="2" s="1"/>
  <c r="K1894" i="2"/>
  <c r="J1894" i="2" s="1"/>
  <c r="K1895" i="2"/>
  <c r="J1895" i="2" s="1"/>
  <c r="K1896" i="2"/>
  <c r="J1896" i="2" s="1"/>
  <c r="K1897" i="2"/>
  <c r="J1897" i="2" s="1"/>
  <c r="K1898" i="2"/>
  <c r="J1898" i="2" s="1"/>
  <c r="K1899" i="2"/>
  <c r="J1899" i="2" s="1"/>
  <c r="K1900" i="2"/>
  <c r="J1900" i="2" s="1"/>
  <c r="K1901" i="2"/>
  <c r="J1901" i="2" s="1"/>
  <c r="K1902" i="2"/>
  <c r="J1902" i="2" s="1"/>
  <c r="K1903" i="2"/>
  <c r="J1903" i="2" s="1"/>
  <c r="K1904" i="2"/>
  <c r="J1904" i="2" s="1"/>
  <c r="K1905" i="2"/>
  <c r="J1905" i="2" s="1"/>
  <c r="K1906" i="2"/>
  <c r="J1906" i="2" s="1"/>
  <c r="K1907" i="2"/>
  <c r="J1907" i="2" s="1"/>
  <c r="K1908" i="2"/>
  <c r="J1908" i="2" s="1"/>
  <c r="K1909" i="2"/>
  <c r="J1909" i="2" s="1"/>
  <c r="K1910" i="2"/>
  <c r="J1910" i="2" s="1"/>
  <c r="K1911" i="2"/>
  <c r="J1911" i="2" s="1"/>
  <c r="K1912" i="2"/>
  <c r="J1912" i="2" s="1"/>
  <c r="K1913" i="2"/>
  <c r="J1913" i="2" s="1"/>
  <c r="K1914" i="2"/>
  <c r="J1914" i="2" s="1"/>
  <c r="K1915" i="2"/>
  <c r="J1915" i="2" s="1"/>
  <c r="K1916" i="2"/>
  <c r="J1916" i="2" s="1"/>
  <c r="K1917" i="2"/>
  <c r="J1917" i="2" s="1"/>
  <c r="K1918" i="2"/>
  <c r="J1918" i="2" s="1"/>
  <c r="K1919" i="2"/>
  <c r="J1919" i="2" s="1"/>
  <c r="K1920" i="2"/>
  <c r="J1920" i="2" s="1"/>
  <c r="K1921" i="2"/>
  <c r="J1921" i="2" s="1"/>
  <c r="K1922" i="2"/>
  <c r="J1922" i="2" s="1"/>
  <c r="K1923" i="2"/>
  <c r="J1923" i="2" s="1"/>
  <c r="K1924" i="2"/>
  <c r="J1924" i="2" s="1"/>
  <c r="K1925" i="2"/>
  <c r="J1925" i="2" s="1"/>
  <c r="K1926" i="2"/>
  <c r="J1926" i="2" s="1"/>
  <c r="K1927" i="2"/>
  <c r="J1927" i="2" s="1"/>
  <c r="K1928" i="2"/>
  <c r="J1928" i="2" s="1"/>
  <c r="K1929" i="2"/>
  <c r="J1929" i="2" s="1"/>
  <c r="K1930" i="2"/>
  <c r="J1930" i="2" s="1"/>
  <c r="K1931" i="2"/>
  <c r="J1931" i="2" s="1"/>
  <c r="K1932" i="2"/>
  <c r="J1932" i="2" s="1"/>
  <c r="K1933" i="2"/>
  <c r="J1933" i="2" s="1"/>
  <c r="K1934" i="2"/>
  <c r="J1934" i="2" s="1"/>
  <c r="K1935" i="2"/>
  <c r="J1935" i="2" s="1"/>
  <c r="K1936" i="2"/>
  <c r="J1936" i="2" s="1"/>
  <c r="K1937" i="2"/>
  <c r="J1937" i="2" s="1"/>
  <c r="K1938" i="2"/>
  <c r="J1938" i="2" s="1"/>
  <c r="K1939" i="2"/>
  <c r="J1939" i="2" s="1"/>
  <c r="K1940" i="2"/>
  <c r="J1940" i="2" s="1"/>
  <c r="K1941" i="2"/>
  <c r="J1941" i="2" s="1"/>
  <c r="K1942" i="2"/>
  <c r="J1942" i="2" s="1"/>
  <c r="K1943" i="2"/>
  <c r="K1944" i="2"/>
  <c r="J1944" i="2" s="1"/>
  <c r="K1945" i="2"/>
  <c r="J1945" i="2" s="1"/>
  <c r="K1946" i="2"/>
  <c r="J1946" i="2" s="1"/>
  <c r="K1947" i="2"/>
  <c r="J1947" i="2" s="1"/>
  <c r="K1948" i="2"/>
  <c r="J1948" i="2" s="1"/>
  <c r="K1949" i="2"/>
  <c r="J1949" i="2" s="1"/>
  <c r="K1950" i="2"/>
  <c r="J1950" i="2" s="1"/>
  <c r="K1951" i="2"/>
  <c r="J1951" i="2" s="1"/>
  <c r="K1952" i="2"/>
  <c r="J1952" i="2" s="1"/>
  <c r="K1953" i="2"/>
  <c r="J1953" i="2" s="1"/>
  <c r="K1954" i="2"/>
  <c r="J1954" i="2" s="1"/>
  <c r="K1955" i="2"/>
  <c r="J1955" i="2" s="1"/>
  <c r="K1956" i="2"/>
  <c r="J1956" i="2" s="1"/>
  <c r="K1957" i="2"/>
  <c r="J1957" i="2" s="1"/>
  <c r="K1958" i="2"/>
  <c r="J1958" i="2" s="1"/>
  <c r="K1959" i="2"/>
  <c r="J1959" i="2" s="1"/>
  <c r="K1960" i="2"/>
  <c r="J1960" i="2" s="1"/>
  <c r="K1961" i="2"/>
  <c r="J1961" i="2" s="1"/>
  <c r="K1962" i="2"/>
  <c r="J1962" i="2" s="1"/>
  <c r="K1963" i="2"/>
  <c r="J1963" i="2" s="1"/>
  <c r="K1964" i="2"/>
  <c r="J1964" i="2" s="1"/>
  <c r="K1965" i="2"/>
  <c r="J1965" i="2" s="1"/>
  <c r="K1966" i="2"/>
  <c r="J1966" i="2" s="1"/>
  <c r="K1967" i="2"/>
  <c r="J1967" i="2" s="1"/>
  <c r="K1968" i="2"/>
  <c r="J1968" i="2" s="1"/>
  <c r="K1969" i="2"/>
  <c r="J1969" i="2" s="1"/>
  <c r="K1970" i="2"/>
  <c r="J1970" i="2" s="1"/>
  <c r="K1971" i="2"/>
  <c r="J1971" i="2" s="1"/>
  <c r="K1972" i="2"/>
  <c r="J1972" i="2" s="1"/>
  <c r="K1973" i="2"/>
  <c r="J1973" i="2" s="1"/>
  <c r="K1974" i="2"/>
  <c r="J1974" i="2" s="1"/>
  <c r="K1975" i="2"/>
  <c r="J1975" i="2" s="1"/>
  <c r="K1976" i="2"/>
  <c r="J1976" i="2" s="1"/>
  <c r="K1977" i="2"/>
  <c r="J1977" i="2" s="1"/>
  <c r="K1978" i="2"/>
  <c r="J1978" i="2" s="1"/>
  <c r="K1979" i="2"/>
  <c r="J1979" i="2" s="1"/>
  <c r="K1980" i="2"/>
  <c r="J1980" i="2" s="1"/>
  <c r="K1981" i="2"/>
  <c r="J1981" i="2" s="1"/>
  <c r="K1982" i="2"/>
  <c r="J1982" i="2" s="1"/>
  <c r="K1983" i="2"/>
  <c r="J1983" i="2" s="1"/>
  <c r="K1984" i="2"/>
  <c r="J1984" i="2" s="1"/>
  <c r="K1985" i="2"/>
  <c r="J1985" i="2" s="1"/>
  <c r="K1986" i="2"/>
  <c r="J1986" i="2" s="1"/>
  <c r="K1987" i="2"/>
  <c r="J1987" i="2" s="1"/>
  <c r="K1988" i="2"/>
  <c r="J1988" i="2" s="1"/>
  <c r="K1989" i="2"/>
  <c r="J1989" i="2" s="1"/>
  <c r="K1990" i="2"/>
  <c r="J1990" i="2" s="1"/>
  <c r="K1991" i="2"/>
  <c r="J1991" i="2" s="1"/>
  <c r="K1992" i="2"/>
  <c r="J1992" i="2" s="1"/>
  <c r="K1993" i="2"/>
  <c r="J1993" i="2" s="1"/>
  <c r="K1994" i="2"/>
  <c r="J1994" i="2" s="1"/>
  <c r="K1995" i="2"/>
  <c r="J1995" i="2" s="1"/>
  <c r="K1996" i="2"/>
  <c r="J1996" i="2" s="1"/>
  <c r="K1997" i="2"/>
  <c r="J1997" i="2" s="1"/>
  <c r="K1998" i="2"/>
  <c r="J1998" i="2" s="1"/>
  <c r="K1999" i="2"/>
  <c r="J1999" i="2" s="1"/>
  <c r="K2000" i="2"/>
  <c r="J2000" i="2" s="1"/>
  <c r="K2001" i="2"/>
  <c r="J20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744F02-B9AD-4F84-BE68-D36153B3DB1B}"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<sst xmlns="http://schemas.openxmlformats.org/spreadsheetml/2006/main" count="10062" uniqueCount="45">
  <si>
    <t>Date</t>
  </si>
  <si>
    <t>Marketing Channel</t>
  </si>
  <si>
    <t>Service Type</t>
  </si>
  <si>
    <t>Customer Type</t>
  </si>
  <si>
    <t>Revenue</t>
  </si>
  <si>
    <t>Ad Spend</t>
  </si>
  <si>
    <t>Conversions</t>
  </si>
  <si>
    <t>Category</t>
  </si>
  <si>
    <t>Month</t>
  </si>
  <si>
    <t>Season</t>
  </si>
  <si>
    <t>AOV</t>
  </si>
  <si>
    <t>In-store Promo</t>
  </si>
  <si>
    <t>Premium</t>
  </si>
  <si>
    <t>Returning</t>
  </si>
  <si>
    <t>Service</t>
  </si>
  <si>
    <t>Winter</t>
  </si>
  <si>
    <t>Instagram</t>
  </si>
  <si>
    <t>Promo</t>
  </si>
  <si>
    <t>New</t>
  </si>
  <si>
    <t>Spring</t>
  </si>
  <si>
    <t>Referral</t>
  </si>
  <si>
    <t>Standard</t>
  </si>
  <si>
    <t>Product</t>
  </si>
  <si>
    <t>Google Ads</t>
  </si>
  <si>
    <t>Flyer</t>
  </si>
  <si>
    <t>Profit</t>
  </si>
  <si>
    <t>Off-Peak</t>
  </si>
  <si>
    <t>Return on Investment</t>
  </si>
  <si>
    <t>Month_Revenue</t>
  </si>
  <si>
    <t>Row Labels</t>
  </si>
  <si>
    <t>Grand Total</t>
  </si>
  <si>
    <t>Sum of Revenue</t>
  </si>
  <si>
    <t>Sum of Profit</t>
  </si>
  <si>
    <t>Average of Return on Investment</t>
  </si>
  <si>
    <t>(All)</t>
  </si>
  <si>
    <t>Count of Conversions</t>
  </si>
  <si>
    <t> Total Revenue</t>
  </si>
  <si>
    <t>Total Profit</t>
  </si>
  <si>
    <t>Average AOV</t>
  </si>
  <si>
    <t>Total Conversions</t>
  </si>
  <si>
    <t>Sum of Ad Spend</t>
  </si>
  <si>
    <t>Recommendations:</t>
  </si>
  <si>
    <t>1. Focus on Instagram &amp; Flyers – highest ROI channels.</t>
  </si>
  <si>
    <t>2. Promo service type delivered highest profit per ad spend.</t>
  </si>
  <si>
    <t>3. New customer acquisition is strong; consider retention strategies for returning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</si>
</sst>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8"/>
      <color theme="1"/>
      <name val="Calibri"/>
      <family val="2"/>
      <scheme val="minor"/>
    </font>
    <font>
      <b/>
      <sz val="26"/>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3" borderId="0" xfId="0" applyFont="1" applyFill="1" applyAlignment="1">
      <alignment horizontal="center" vertical="center"/>
    </xf>
    <xf numFmtId="0" fontId="1" fillId="2" borderId="0" xfId="0" applyFont="1" applyFill="1" applyAlignment="1">
      <alignment vertical="center"/>
    </xf>
    <xf numFmtId="0" fontId="0" fillId="2" borderId="0" xfId="0" applyFill="1" applyAlignment="1">
      <alignment vertical="top"/>
    </xf>
    <xf numFmtId="0" fontId="2" fillId="2" borderId="0" xfId="0" applyFont="1" applyFill="1" applyAlignment="1">
      <alignment vertical="top"/>
    </xf>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colors>
    <mruColors>
      <color rgb="FF5988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[fashionboutiqueanalysis.xlsx]Channels_analysis!PivotTable1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Channels_analysis!$B$3</c:f>
              <c:strCache>
                <c:ptCount val="1"/>
                <c:pt idx="0">
                  <c:v>Sum of 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Channels_analysis!$A$4:$A$9</c:f>
              <c:strCache>
                <c:ptCount val="5"/>
                <c:pt idx="0">
                  <c:v>Flyer</c:v>
                </c:pt>
                <c:pt idx="1">
                  <c:v>Google Ads</c:v>
                </c:pt>
                <c:pt idx="2">
                  <c:v>Instagram</c:v>
                </c:pt>
                <c:pt idx="3">
                  <c:v>In-store Promo</c:v>
                </c:pt>
                <c:pt idx="4">
                  <c:v>Referral</c:v>
                </c:pt>
              </c:strCache>
            </c:strRef>
          </c:cat>
          <c:val>
            <c:numRef>
              <c:f>Channels_analysis!$B$4:$B$9</c:f>
              <c:numCache>
                <c:formatCode>General</c:formatCode>
                <c:ptCount val="5"/>
                <c:pt idx="0">
                  <c:v>45723.240000000005</c:v>
                </c:pt>
                <c:pt idx="1">
                  <c:v>44946.310000000005</c:v>
                </c:pt>
                <c:pt idx="2">
                  <c:v>43320.840000000026</c:v>
                </c:pt>
                <c:pt idx="3">
                  <c:v>44415.70999999997</c:v>
                </c:pt>
                <c:pt idx="4">
                  <c:v>44775.94000000001</c:v>
                </c:pt>
              </c:numCache>
            </c:numRef>
          </c:val>
          <c:extLst>
            <c:ext xmlns:c16="http://schemas.microsoft.com/office/drawing/2014/chart" uri="{C3380CC4-5D6E-409C-BE32-E72D297353CC}">
              <c16:uniqueId val="{00000000-1225-4319-8F58-5D48B004A54F}"/>
            </c:ext>
          </c:extLst>
        </c:ser>
        <c:ser>
          <c:idx val="1"/>
          <c:order val="1"/>
          <c:tx>
            <c:strRef>
              <c:f>Channels_analysis!$C$3</c:f>
              <c:strCache>
                <c:ptCount val="1"/>
                <c:pt idx="0">
                  <c:v>Sum of Profit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Channels_analysis!$A$4:$A$9</c:f>
              <c:strCache>
                <c:ptCount val="5"/>
                <c:pt idx="0">
                  <c:v>Flyer</c:v>
                </c:pt>
                <c:pt idx="1">
                  <c:v>Google Ads</c:v>
                </c:pt>
                <c:pt idx="2">
                  <c:v>Instagram</c:v>
                </c:pt>
                <c:pt idx="3">
                  <c:v>In-store Promo</c:v>
                </c:pt>
                <c:pt idx="4">
                  <c:v>Referral</c:v>
                </c:pt>
              </c:strCache>
            </c:strRef>
          </c:cat>
          <c:val>
            <c:numRef>
              <c:f>Channels_analysis!$C$4:$C$9</c:f>
              <c:numCache>
                <c:formatCode>General</c:formatCode>
                <c:ptCount val="5"/>
                <c:pt idx="0">
                  <c:v>35545.469999999994</c:v>
                </c:pt>
                <c:pt idx="1">
                  <c:v>34704.03</c:v>
                </c:pt>
                <c:pt idx="2">
                  <c:v>33911.460000000021</c:v>
                </c:pt>
                <c:pt idx="3">
                  <c:v>34221.929999999986</c:v>
                </c:pt>
                <c:pt idx="4">
                  <c:v>34271.51</c:v>
                </c:pt>
              </c:numCache>
            </c:numRef>
          </c:val>
          <c:extLst>
            <c:ext xmlns:c16="http://schemas.microsoft.com/office/drawing/2014/chart" uri="{C3380CC4-5D6E-409C-BE32-E72D297353CC}">
              <c16:uniqueId val="{00000001-1225-4319-8F58-5D48B004A54F}"/>
            </c:ext>
          </c:extLst>
        </c:ser>
        <c:ser>
          <c:idx val="2"/>
          <c:order val="2"/>
          <c:tx>
            <c:strRef>
              <c:f>Channels_analysis!$D$3</c:f>
              <c:strCache>
                <c:ptCount val="1"/>
                <c:pt idx="0">
                  <c:v>Average of Return on Investment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Channels_analysis!$A$4:$A$9</c:f>
              <c:strCache>
                <c:ptCount val="5"/>
                <c:pt idx="0">
                  <c:v>Flyer</c:v>
                </c:pt>
                <c:pt idx="1">
                  <c:v>Google Ads</c:v>
                </c:pt>
                <c:pt idx="2">
                  <c:v>Instagram</c:v>
                </c:pt>
                <c:pt idx="3">
                  <c:v>In-store Promo</c:v>
                </c:pt>
                <c:pt idx="4">
                  <c:v>Referral</c:v>
                </c:pt>
              </c:strCache>
            </c:strRef>
          </c:cat>
          <c:val>
            <c:numRef>
              <c:f>Channels_analysis!$D$4:$D$9</c:f>
              <c:numCache>
                <c:formatCode>General</c:formatCode>
                <c:ptCount val="5"/>
                <c:pt idx="0">
                  <c:v>14.298662893546821</c:v>
                </c:pt>
                <c:pt idx="1">
                  <c:v>10.178244759885663</c:v>
                </c:pt>
                <c:pt idx="2">
                  <c:v>15.696434751427379</c:v>
                </c:pt>
                <c:pt idx="3">
                  <c:v>8.1227839461838869</c:v>
                </c:pt>
                <c:pt idx="4">
                  <c:v>11.277437996435594</c:v>
                </c:pt>
              </c:numCache>
            </c:numRef>
          </c:val>
          <c:extLst>
            <c:ext xmlns:c16="http://schemas.microsoft.com/office/drawing/2014/chart" uri="{C3380CC4-5D6E-409C-BE32-E72D297353CC}">
              <c16:uniqueId val="{00000002-1225-4319-8F58-5D48B004A54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[fashionboutiqueanalysis.xlsx]OffPeak_analysis!PivotTable2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OffPeak_analysis!$B$3</c:f>
              <c:strCache>
                <c:ptCount val="1"/>
                <c:pt idx="0">
                  <c:v>Sum of Revenue</c:v>
                </c:pt>
              </c:strCache>
            </c:strRef>
          </c:tx>
          <c:spPr>
            <a:solidFill>
              <a:schemeClr val="accent1"/>
            </a:solidFill>
            <a:ln>
              <a:noFill/>
            </a:ln>
            <a:effectLst/>
          </c:spPr>
          <c:invertIfNegative val="0"/>
          <c:cat>
            <c:strRef>
              <c:f>OffPeak_analysis!$A$4:$A$6</c:f>
              <c:strCache>
                <c:ptCount val="2"/>
                <c:pt idx="0">
                  <c:v>Product</c:v>
                </c:pt>
                <c:pt idx="1">
                  <c:v>Service</c:v>
                </c:pt>
              </c:strCache>
            </c:strRef>
          </c:cat>
          <c:val>
            <c:numRef>
              <c:f>OffPeak_analysis!$B$4:$B$6</c:f>
              <c:numCache>
                <c:formatCode>General</c:formatCode>
                <c:ptCount val="2"/>
                <c:pt idx="0">
                  <c:v>112620.29999999993</c:v>
                </c:pt>
                <c:pt idx="1">
                  <c:v>110561.74000000011</c:v>
                </c:pt>
              </c:numCache>
            </c:numRef>
          </c:val>
          <c:extLst>
            <c:ext xmlns:c16="http://schemas.microsoft.com/office/drawing/2014/chart" uri="{C3380CC4-5D6E-409C-BE32-E72D297353CC}">
              <c16:uniqueId val="{00000000-F915-4FBB-892B-0DAFA56784CD}"/>
            </c:ext>
          </c:extLst>
        </c:ser>
        <c:ser>
          <c:idx val="1"/>
          <c:order val="1"/>
          <c:tx>
            <c:strRef>
              <c:f>OffPeak_analysis!$C$3</c:f>
              <c:strCache>
                <c:ptCount val="1"/>
                <c:pt idx="0">
                  <c:v>Sum of Profit</c:v>
                </c:pt>
              </c:strCache>
            </c:strRef>
          </c:tx>
          <c:spPr>
            <a:solidFill>
              <a:schemeClr val="accent2"/>
            </a:solidFill>
            <a:ln>
              <a:noFill/>
            </a:ln>
            <a:effectLst/>
          </c:spPr>
          <c:invertIfNegative val="0"/>
          <c:cat>
            <c:strRef>
              <c:f>OffPeak_analysis!$A$4:$A$6</c:f>
              <c:strCache>
                <c:ptCount val="2"/>
                <c:pt idx="0">
                  <c:v>Product</c:v>
                </c:pt>
                <c:pt idx="1">
                  <c:v>Service</c:v>
                </c:pt>
              </c:strCache>
            </c:strRef>
          </c:cat>
          <c:val>
            <c:numRef>
              <c:f>OffPeak_analysis!$C$4:$C$6</c:f>
              <c:numCache>
                <c:formatCode>General</c:formatCode>
                <c:ptCount val="2"/>
                <c:pt idx="0">
                  <c:v>87589.220000000118</c:v>
                </c:pt>
                <c:pt idx="1">
                  <c:v>85065.179999999964</c:v>
                </c:pt>
              </c:numCache>
            </c:numRef>
          </c:val>
          <c:extLst>
            <c:ext xmlns:c16="http://schemas.microsoft.com/office/drawing/2014/chart" uri="{C3380CC4-5D6E-409C-BE32-E72D297353CC}">
              <c16:uniqueId val="{00000001-F915-4FBB-892B-0DAFA56784CD}"/>
            </c:ext>
          </c:extLst>
        </c:ser>
        <c:dLbls>
          <c:showLegendKey val="0"/>
          <c:showVal val="0"/>
          <c:showCatName val="0"/>
          <c:showSerName val="0"/>
          <c:showPercent val="0"/>
          <c:showBubbleSize val="0"/>
        </c:dLbls>
        <c:gapWidth val="150"/>
        <c:axId val="1852021072"/>
        <c:axId val="1852017712"/>
      </c:barChart>
      <c:catAx>
        <c:axId val="1852021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17712"/>
        <c:crosses val="autoZero"/>
        <c:auto val="1"/>
        <c:lblAlgn val="ctr"/>
        <c:lblOffset val="100"/>
        <c:noMultiLvlLbl val="0"/>
      </c:catAx>
      <c:valAx>
        <c:axId val="1852017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2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[fashionboutiqueanalysis.xlsx]ServiseAOV_analysis!PivotTable3</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ServiseAOV_analysis!$B$3</c:f>
              <c:strCache>
                <c:ptCount val="1"/>
                <c:pt idx="0">
                  <c:v>Sum of Ad Spend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ServiseAOV_analysis!$A$4:$A$7</c:f>
              <c:strCache>
                <c:ptCount val="3"/>
                <c:pt idx="0">
                  <c:v>Premium</c:v>
                </c:pt>
                <c:pt idx="1">
                  <c:v>Promo</c:v>
                </c:pt>
                <c:pt idx="2">
                  <c:v>Standard</c:v>
                </c:pt>
              </c:strCache>
            </c:strRef>
          </c:cat>
          <c:val>
            <c:numRef>
              <c:f>ServiseAOV_analysis!$B$4:$B$7</c:f>
              <c:numCache>
                <c:formatCode>General</c:formatCode>
                <c:ptCount val="3"/>
                <c:pt idx="0">
                  <c:v>16958.050000000007</c:v>
                </c:pt>
                <c:pt idx="1">
                  <c:v>17121.239999999998</c:v>
                </c:pt>
                <c:pt idx="2">
                  <c:v>16448.349999999995</c:v>
                </c:pt>
              </c:numCache>
            </c:numRef>
          </c:val>
          <c:extLst>
            <c:ext xmlns:c16="http://schemas.microsoft.com/office/drawing/2014/chart" uri="{C3380CC4-5D6E-409C-BE32-E72D297353CC}">
              <c16:uniqueId val="{00000002-975B-4F4E-8EDF-08680AD2415E}"/>
            </c:ext>
          </c:extLst>
        </c:ser>
        <c:ser>
          <c:idx val="1"/>
          <c:order val="1"/>
          <c:tx>
            <c:strRef>
              <c:f>ServiseAOV_analysis!$C$3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ServiseAOV_analysis!$A$4:$A$7</c:f>
              <c:strCache>
                <c:ptCount val="3"/>
                <c:pt idx="0">
                  <c:v>Premium</c:v>
                </c:pt>
                <c:pt idx="1">
                  <c:v>Promo</c:v>
                </c:pt>
                <c:pt idx="2">
                  <c:v>Standard</c:v>
                </c:pt>
              </c:strCache>
            </c:strRef>
          </c:cat>
          <c:val>
            <c:numRef>
              <c:f>ServiseAOV_analysis!$C$4:$C$7</c:f>
              <c:numCache>
                <c:formatCode>General</c:formatCode>
                <c:ptCount val="3"/>
                <c:pt idx="0">
                  <c:v>56301.549999999988</c:v>
                </c:pt>
                <c:pt idx="1">
                  <c:v>59350.429999999986</c:v>
                </c:pt>
                <c:pt idx="2">
                  <c:v>57002.420000000107</c:v>
                </c:pt>
              </c:numCache>
            </c:numRef>
          </c:val>
          <c:extLst>
            <c:ext xmlns:c16="http://schemas.microsoft.com/office/drawing/2014/chart" uri="{C3380CC4-5D6E-409C-BE32-E72D297353CC}">
              <c16:uniqueId val="{00000003-975B-4F4E-8EDF-08680AD2415E}"/>
            </c:ext>
          </c:extLst>
        </c:ser>
        <c:dLbls>
          <c:showLegendKey val="0"/>
          <c:showVal val="0"/>
          <c:showCatName val="0"/>
          <c:showSerName val="0"/>
          <c:showPercent val="0"/>
          <c:showBubbleSize val="0"/>
        </c:dLbls>
        <c:gapWidth val="100"/>
        <c:overlap val="-24"/>
        <c:axId val="45423199"/>
        <c:axId val="45422719"/>
      </c:barChart>
      <c:catAx>
        <c:axId val="454231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22719"/>
        <c:crosses val="autoZero"/>
        <c:auto val="1"/>
        <c:lblAlgn val="ctr"/>
        <c:lblOffset val="100"/>
        <c:noMultiLvlLbl val="0"/>
      </c:catAx>
      <c:valAx>
        <c:axId val="4542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2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[fashionboutiqueanalysis.xlsx]Customer_type_analysis!PivotTable4</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Customer_type_analysis!$B$3</c:f>
              <c:strCache>
                <c:ptCount val="1"/>
                <c:pt idx="0">
                  <c:v>Sum of Revenue</c:v>
                </c:pt>
              </c:strCache>
            </c:strRef>
          </c:tx>
          <c:spPr>
            <a:solidFill>
              <a:schemeClr val="accent1"/>
            </a:solidFill>
            <a:ln>
              <a:noFill/>
            </a:ln>
            <a:effectLst/>
          </c:spPr>
          <c:invertIfNegative val="0"/>
          <c:cat>
            <c:strRef>
              <c:f>Customer_type_analysis!$A$4:$A$6</c:f>
              <c:strCache>
                <c:ptCount val="2"/>
                <c:pt idx="0">
                  <c:v>New</c:v>
                </c:pt>
                <c:pt idx="1">
                  <c:v>Returning</c:v>
                </c:pt>
              </c:strCache>
            </c:strRef>
          </c:cat>
          <c:val>
            <c:numRef>
              <c:f>Customer_type_analysis!$B$4:$B$6</c:f>
              <c:numCache>
                <c:formatCode>General</c:formatCode>
                <c:ptCount val="2"/>
                <c:pt idx="0">
                  <c:v>118239.10999999991</c:v>
                </c:pt>
                <c:pt idx="1">
                  <c:v>104942.93000000012</c:v>
                </c:pt>
              </c:numCache>
            </c:numRef>
          </c:val>
          <c:extLst>
            <c:ext xmlns:c16="http://schemas.microsoft.com/office/drawing/2014/chart" uri="{C3380CC4-5D6E-409C-BE32-E72D297353CC}">
              <c16:uniqueId val="{00000000-455E-44F3-A2AF-01756CC1700B}"/>
            </c:ext>
          </c:extLst>
        </c:ser>
        <c:ser>
          <c:idx val="1"/>
          <c:order val="1"/>
          <c:tx>
            <c:strRef>
              <c:f>Customer_type_analysis!$C$3</c:f>
              <c:strCache>
                <c:ptCount val="1"/>
                <c:pt idx="0">
                  <c:v>Count of Conversions</c:v>
                </c:pt>
              </c:strCache>
            </c:strRef>
          </c:tx>
          <c:spPr>
            <a:solidFill>
              <a:schemeClr val="accent2"/>
            </a:solidFill>
            <a:ln>
              <a:noFill/>
            </a:ln>
            <a:effectLst/>
          </c:spPr>
          <c:invertIfNegative val="0"/>
          <c:cat>
            <c:strRef>
              <c:f>Customer_type_analysis!$A$4:$A$6</c:f>
              <c:strCache>
                <c:ptCount val="2"/>
                <c:pt idx="0">
                  <c:v>New</c:v>
                </c:pt>
                <c:pt idx="1">
                  <c:v>Returning</c:v>
                </c:pt>
              </c:strCache>
            </c:strRef>
          </c:cat>
          <c:val>
            <c:numRef>
              <c:f>Customer_type_analysis!$C$4:$C$6</c:f>
              <c:numCache>
                <c:formatCode>General</c:formatCode>
                <c:ptCount val="2"/>
                <c:pt idx="0">
                  <c:v>1071</c:v>
                </c:pt>
                <c:pt idx="1">
                  <c:v>929</c:v>
                </c:pt>
              </c:numCache>
            </c:numRef>
          </c:val>
          <c:extLst>
            <c:ext xmlns:c16="http://schemas.microsoft.com/office/drawing/2014/chart" uri="{C3380CC4-5D6E-409C-BE32-E72D297353CC}">
              <c16:uniqueId val="{00000001-455E-44F3-A2AF-01756CC1700B}"/>
            </c:ext>
          </c:extLst>
        </c:ser>
        <c:dLbls>
          <c:showLegendKey val="0"/>
          <c:showVal val="0"/>
          <c:showCatName val="0"/>
          <c:showSerName val="0"/>
          <c:showPercent val="0"/>
          <c:showBubbleSize val="0"/>
        </c:dLbls>
        <c:gapWidth val="150"/>
        <c:overlap val="100"/>
        <c:axId val="45412159"/>
        <c:axId val="45412639"/>
      </c:barChart>
      <c:catAx>
        <c:axId val="45412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12639"/>
        <c:crosses val="autoZero"/>
        <c:auto val="1"/>
        <c:lblAlgn val="ctr"/>
        <c:lblOffset val="100"/>
        <c:noMultiLvlLbl val="0"/>
      </c:catAx>
      <c:valAx>
        <c:axId val="45412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1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[fashionboutiqueanalysis.xlsx]Channels_analysis!PivotTable1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w="9525">
              <a:solidFill>
                <a:schemeClr val="accent1">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Channels_analysis!$B$3</c:f>
              <c:strCache>
                <c:ptCount val="1"/>
                <c:pt idx="0">
                  <c:v>Sum of Revenue</c:v>
                </c:pt>
              </c:strCache>
            </c:strRef>
          </c:tx>
          <c:spPr>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cat>
            <c:strRef>
              <c:f>Channels_analysis!$A$4:$A$9</c:f>
              <c:strCache>
                <c:ptCount val="5"/>
                <c:pt idx="0">
                  <c:v>Flyer</c:v>
                </c:pt>
                <c:pt idx="1">
                  <c:v>Google Ads</c:v>
                </c:pt>
                <c:pt idx="2">
                  <c:v>Instagram</c:v>
                </c:pt>
                <c:pt idx="3">
                  <c:v>In-store Promo</c:v>
                </c:pt>
                <c:pt idx="4">
                  <c:v>Referral</c:v>
                </c:pt>
              </c:strCache>
            </c:strRef>
          </c:cat>
          <c:val>
            <c:numRef>
              <c:f>Channels_analysis!$B$4:$B$9</c:f>
              <c:numCache>
                <c:formatCode>General</c:formatCode>
                <c:ptCount val="5"/>
                <c:pt idx="0">
                  <c:v>45723.240000000005</c:v>
                </c:pt>
                <c:pt idx="1">
                  <c:v>44946.310000000005</c:v>
                </c:pt>
                <c:pt idx="2">
                  <c:v>43320.840000000026</c:v>
                </c:pt>
                <c:pt idx="3">
                  <c:v>44415.70999999997</c:v>
                </c:pt>
                <c:pt idx="4">
                  <c:v>44775.94000000001</c:v>
                </c:pt>
              </c:numCache>
            </c:numRef>
          </c:val>
          <c:smooth val="0"/>
          <c:extLst>
            <c:ext xmlns:c16="http://schemas.microsoft.com/office/drawing/2014/chart" uri="{C3380CC4-5D6E-409C-BE32-E72D297353CC}">
              <c16:uniqueId val="{00000000-0F2D-4469-9E08-7B22774678E3}"/>
            </c:ext>
          </c:extLst>
        </c:ser>
        <c:ser>
          <c:idx val="1"/>
          <c:order val="1"/>
          <c:tx>
            <c:strRef>
              <c:f>Channels_analysis!$C$3</c:f>
              <c:strCache>
                <c:ptCount val="1"/>
                <c:pt idx="0">
                  <c:v>Sum of Profit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Channels_analysis!$A$4:$A$9</c:f>
              <c:strCache>
                <c:ptCount val="5"/>
                <c:pt idx="0">
                  <c:v>Flyer</c:v>
                </c:pt>
                <c:pt idx="1">
                  <c:v>Google Ads</c:v>
                </c:pt>
                <c:pt idx="2">
                  <c:v>Instagram</c:v>
                </c:pt>
                <c:pt idx="3">
                  <c:v>In-store Promo</c:v>
                </c:pt>
                <c:pt idx="4">
                  <c:v>Referral</c:v>
                </c:pt>
              </c:strCache>
            </c:strRef>
          </c:cat>
          <c:val>
            <c:numRef>
              <c:f>Channels_analysis!$C$4:$C$9</c:f>
              <c:numCache>
                <c:formatCode>General</c:formatCode>
                <c:ptCount val="5"/>
                <c:pt idx="0">
                  <c:v>35545.469999999994</c:v>
                </c:pt>
                <c:pt idx="1">
                  <c:v>34704.03</c:v>
                </c:pt>
                <c:pt idx="2">
                  <c:v>33911.460000000021</c:v>
                </c:pt>
                <c:pt idx="3">
                  <c:v>34221.929999999986</c:v>
                </c:pt>
                <c:pt idx="4">
                  <c:v>34271.51</c:v>
                </c:pt>
              </c:numCache>
            </c:numRef>
          </c:val>
          <c:smooth val="0"/>
          <c:extLst>
            <c:ext xmlns:c16="http://schemas.microsoft.com/office/drawing/2014/chart" uri="{C3380CC4-5D6E-409C-BE32-E72D297353CC}">
              <c16:uniqueId val="{00000001-0F2D-4469-9E08-7B22774678E3}"/>
            </c:ext>
          </c:extLst>
        </c:ser>
        <c:ser>
          <c:idx val="2"/>
          <c:order val="2"/>
          <c:tx>
            <c:strRef>
              <c:f>Channels_analysis!$D$3</c:f>
              <c:strCache>
                <c:ptCount val="1"/>
                <c:pt idx="0">
                  <c:v>Average of Return on Investment</c:v>
                </c:pt>
              </c:strCache>
            </c:strRef>
          </c:tx>
          <c:spPr>
            <a:ln w="34925" cap="rnd">
              <a:solidFill>
                <a:schemeClr val="accent1">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w="9525">
                <a:solidFill>
                  <a:schemeClr val="accent1">
                    <a:shade val="65000"/>
                  </a:schemeClr>
                </a:solidFill>
                <a:round/>
              </a:ln>
              <a:effectLst>
                <a:outerShdw blurRad="57150" dist="19050" dir="5400000" algn="ctr" rotWithShape="0">
                  <a:srgbClr val="000000">
                    <a:alpha val="63000"/>
                  </a:srgbClr>
                </a:outerShdw>
              </a:effectLst>
            </c:spPr>
          </c:marker>
          <c:cat>
            <c:strRef>
              <c:f>Channels_analysis!$A$4:$A$9</c:f>
              <c:strCache>
                <c:ptCount val="5"/>
                <c:pt idx="0">
                  <c:v>Flyer</c:v>
                </c:pt>
                <c:pt idx="1">
                  <c:v>Google Ads</c:v>
                </c:pt>
                <c:pt idx="2">
                  <c:v>Instagram</c:v>
                </c:pt>
                <c:pt idx="3">
                  <c:v>In-store Promo</c:v>
                </c:pt>
                <c:pt idx="4">
                  <c:v>Referral</c:v>
                </c:pt>
              </c:strCache>
            </c:strRef>
          </c:cat>
          <c:val>
            <c:numRef>
              <c:f>Channels_analysis!$D$4:$D$9</c:f>
              <c:numCache>
                <c:formatCode>General</c:formatCode>
                <c:ptCount val="5"/>
                <c:pt idx="0">
                  <c:v>14.298662893546821</c:v>
                </c:pt>
                <c:pt idx="1">
                  <c:v>10.178244759885663</c:v>
                </c:pt>
                <c:pt idx="2">
                  <c:v>15.696434751427379</c:v>
                </c:pt>
                <c:pt idx="3">
                  <c:v>8.1227839461838869</c:v>
                </c:pt>
                <c:pt idx="4">
                  <c:v>11.277437996435594</c:v>
                </c:pt>
              </c:numCache>
            </c:numRef>
          </c:val>
          <c:smooth val="0"/>
          <c:extLst>
            <c:ext xmlns:c16="http://schemas.microsoft.com/office/drawing/2014/chart" uri="{C3380CC4-5D6E-409C-BE32-E72D297353CC}">
              <c16:uniqueId val="{00000002-0F2D-4469-9E08-7B22774678E3}"/>
            </c:ext>
          </c:extLst>
        </c:ser>
        <c:dLbls>
          <c:showLegendKey val="0"/>
          <c:showVal val="0"/>
          <c:showCatName val="0"/>
          <c:showSerName val="0"/>
          <c:showPercent val="0"/>
          <c:showBubbleSize val="0"/>
        </c:dLbls>
        <c:marker val="1"/>
        <c:smooth val="0"/>
        <c:axId val="560654208"/>
        <c:axId val="560638368"/>
      </c:lineChart>
      <c:catAx>
        <c:axId val="5606542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638368"/>
        <c:crosses val="autoZero"/>
        <c:auto val="1"/>
        <c:lblAlgn val="ctr"/>
        <c:lblOffset val="100"/>
        <c:noMultiLvlLbl val="0"/>
      </c:catAx>
      <c:valAx>
        <c:axId val="56063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65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[fashionboutiqueanalysis.xlsx]Sheet7!PivotTable5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Sheet7!$B$3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3C2-4741-8D13-2F7AEBBFA167}"/>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3C2-4741-8D13-2F7AEBBFA167}"/>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3C2-4741-8D13-2F7AEBBFA167}"/>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3C2-4741-8D13-2F7AEBBFA167}"/>
              </c:ext>
            </c:extLst>
          </c:dPt>
          <c:dPt>
            <c:idx val="4"/>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3C2-4741-8D13-2F7AEBBFA16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Sheet7!$A$4:$A$9</c:f>
              <c:strCache>
                <c:ptCount val="5"/>
                <c:pt idx="0">
                  <c:v>Flyer</c:v>
                </c:pt>
                <c:pt idx="1">
                  <c:v>Google Ads</c:v>
                </c:pt>
                <c:pt idx="2">
                  <c:v>Instagram</c:v>
                </c:pt>
                <c:pt idx="3">
                  <c:v>In-store Promo</c:v>
                </c:pt>
                <c:pt idx="4">
                  <c:v>Referral</c:v>
                </c:pt>
              </c:strCache>
            </c:strRef>
          </c:cat>
          <c:val>
            <c:numRef>
              <c:f>Sheet7!$B$4:$B$9</c:f>
              <c:numCache>
                <c:formatCode>General</c:formatCode>
                <c:ptCount val="5"/>
                <c:pt idx="0">
                  <c:v>14.298662893546821</c:v>
                </c:pt>
                <c:pt idx="1">
                  <c:v>10.178244759885663</c:v>
                </c:pt>
                <c:pt idx="2">
                  <c:v>15.696434751427379</c:v>
                </c:pt>
                <c:pt idx="3">
                  <c:v>8.1227839461838869</c:v>
                </c:pt>
                <c:pt idx="4">
                  <c:v>11.277437996435594</c:v>
                </c:pt>
              </c:numCache>
            </c:numRef>
          </c:val>
          <c:extLst>
            <c:ext xmlns:c16="http://schemas.microsoft.com/office/drawing/2014/chart" uri="{C3380CC4-5D6E-409C-BE32-E72D297353CC}">
              <c16:uniqueId val="{0000000A-33C2-4741-8D13-2F7AEBBFA16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[fashionboutiqueanalysis.xlsx]OffPeak_analysis!PivotTable2</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OffPeak_analysis!$B$3</c:f>
              <c:strCache>
                <c:ptCount val="1"/>
                <c:pt idx="0">
                  <c:v>Sum of Revenue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OffPeak_analysis!$A$4:$A$6</c:f>
              <c:strCache>
                <c:ptCount val="2"/>
                <c:pt idx="0">
                  <c:v>Product</c:v>
                </c:pt>
                <c:pt idx="1">
                  <c:v>Service</c:v>
                </c:pt>
              </c:strCache>
            </c:strRef>
          </c:cat>
          <c:val>
            <c:numRef>
              <c:f>OffPeak_analysis!$B$4:$B$6</c:f>
              <c:numCache>
                <c:formatCode>General</c:formatCode>
                <c:ptCount val="2"/>
                <c:pt idx="0">
                  <c:v>112620.29999999993</c:v>
                </c:pt>
                <c:pt idx="1">
                  <c:v>110561.74000000011</c:v>
                </c:pt>
              </c:numCache>
            </c:numRef>
          </c:val>
          <c:extLst>
            <c:ext xmlns:c16="http://schemas.microsoft.com/office/drawing/2014/chart" uri="{C3380CC4-5D6E-409C-BE32-E72D297353CC}">
              <c16:uniqueId val="{00000000-7DE9-437F-9F7F-2F66120DA619}"/>
            </c:ext>
          </c:extLst>
        </c:ser>
        <c:ser>
          <c:idx val="1"/>
          <c:order val="1"/>
          <c:tx>
            <c:strRef>
              <c:f>OffPeak_analysis!$C$3</c:f>
              <c:strCache>
                <c:ptCount val="1"/>
                <c:pt idx="0">
                  <c:v>Sum of Profit</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OffPeak_analysis!$A$4:$A$6</c:f>
              <c:strCache>
                <c:ptCount val="2"/>
                <c:pt idx="0">
                  <c:v>Product</c:v>
                </c:pt>
                <c:pt idx="1">
                  <c:v>Service</c:v>
                </c:pt>
              </c:strCache>
            </c:strRef>
          </c:cat>
          <c:val>
            <c:numRef>
              <c:f>OffPeak_analysis!$C$4:$C$6</c:f>
              <c:numCache>
                <c:formatCode>General</c:formatCode>
                <c:ptCount val="2"/>
                <c:pt idx="0">
                  <c:v>87589.220000000118</c:v>
                </c:pt>
                <c:pt idx="1">
                  <c:v>85065.179999999964</c:v>
                </c:pt>
              </c:numCache>
            </c:numRef>
          </c:val>
          <c:extLst>
            <c:ext xmlns:c16="http://schemas.microsoft.com/office/drawing/2014/chart" uri="{C3380CC4-5D6E-409C-BE32-E72D297353CC}">
              <c16:uniqueId val="{00000001-7DE9-437F-9F7F-2F66120DA619}"/>
            </c:ext>
          </c:extLst>
        </c:ser>
        <c:dLbls>
          <c:showLegendKey val="0"/>
          <c:showVal val="0"/>
          <c:showCatName val="0"/>
          <c:showSerName val="0"/>
          <c:showPercent val="0"/>
          <c:showBubbleSize val="0"/>
        </c:dLbls>
        <c:gapWidth val="115"/>
        <c:overlap val="-20"/>
        <c:axId val="1852021072"/>
        <c:axId val="1852017712"/>
      </c:barChart>
      <c:catAx>
        <c:axId val="18520210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17712"/>
        <c:crosses val="autoZero"/>
        <c:auto val="1"/>
        <c:lblAlgn val="ctr"/>
        <c:lblOffset val="100"/>
        <c:noMultiLvlLbl val="0"/>
      </c:catAx>
      <c:valAx>
        <c:axId val="1852017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2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[fashionboutiqueanalysis.xlsx]ServiseAOV_analysis!PivotTable3</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ServiseAOV_analysis!$B$3</c:f>
              <c:strCache>
                <c:ptCount val="1"/>
                <c:pt idx="0">
                  <c:v>Sum of Ad Spend</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ServiseAOV_analysis!$A$4:$A$7</c:f>
              <c:strCache>
                <c:ptCount val="3"/>
                <c:pt idx="0">
                  <c:v>Premium</c:v>
                </c:pt>
                <c:pt idx="1">
                  <c:v>Promo</c:v>
                </c:pt>
                <c:pt idx="2">
                  <c:v>Standard</c:v>
                </c:pt>
              </c:strCache>
            </c:strRef>
          </c:cat>
          <c:val>
            <c:numRef>
              <c:f>ServiseAOV_analysis!$B$4:$B$7</c:f>
              <c:numCache>
                <c:formatCode>General</c:formatCode>
                <c:ptCount val="3"/>
                <c:pt idx="0">
                  <c:v>16958.050000000007</c:v>
                </c:pt>
                <c:pt idx="1">
                  <c:v>17121.239999999998</c:v>
                </c:pt>
                <c:pt idx="2">
                  <c:v>16448.349999999995</c:v>
                </c:pt>
              </c:numCache>
            </c:numRef>
          </c:val>
          <c:extLst>
            <c:ext xmlns:c16="http://schemas.microsoft.com/office/drawing/2014/chart" uri="{C3380CC4-5D6E-409C-BE32-E72D297353CC}">
              <c16:uniqueId val="{00000000-067E-4E3F-BA16-632A9CC23973}"/>
            </c:ext>
          </c:extLst>
        </c:ser>
        <c:ser>
          <c:idx val="1"/>
          <c:order val="1"/>
          <c:tx>
            <c:strRef>
              <c:f>ServiseAOV_analysis!$C$3</c:f>
              <c:strCache>
                <c:ptCount val="1"/>
                <c:pt idx="0">
                  <c:v>Sum of Profit</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ServiseAOV_analysis!$A$4:$A$7</c:f>
              <c:strCache>
                <c:ptCount val="3"/>
                <c:pt idx="0">
                  <c:v>Premium</c:v>
                </c:pt>
                <c:pt idx="1">
                  <c:v>Promo</c:v>
                </c:pt>
                <c:pt idx="2">
                  <c:v>Standard</c:v>
                </c:pt>
              </c:strCache>
            </c:strRef>
          </c:cat>
          <c:val>
            <c:numRef>
              <c:f>ServiseAOV_analysis!$C$4:$C$7</c:f>
              <c:numCache>
                <c:formatCode>General</c:formatCode>
                <c:ptCount val="3"/>
                <c:pt idx="0">
                  <c:v>56301.549999999988</c:v>
                </c:pt>
                <c:pt idx="1">
                  <c:v>59350.429999999986</c:v>
                </c:pt>
                <c:pt idx="2">
                  <c:v>57002.420000000107</c:v>
                </c:pt>
              </c:numCache>
            </c:numRef>
          </c:val>
          <c:extLst>
            <c:ext xmlns:c16="http://schemas.microsoft.com/office/drawing/2014/chart" uri="{C3380CC4-5D6E-409C-BE32-E72D297353CC}">
              <c16:uniqueId val="{00000001-067E-4E3F-BA16-632A9CC23973}"/>
            </c:ext>
          </c:extLst>
        </c:ser>
        <c:dLbls>
          <c:showLegendKey val="0"/>
          <c:showVal val="0"/>
          <c:showCatName val="0"/>
          <c:showSerName val="0"/>
          <c:showPercent val="0"/>
          <c:showBubbleSize val="0"/>
        </c:dLbls>
        <c:gapWidth val="100"/>
        <c:overlap val="-24"/>
        <c:axId val="45423199"/>
        <c:axId val="45422719"/>
      </c:barChart>
      <c:catAx>
        <c:axId val="454231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22719"/>
        <c:crosses val="autoZero"/>
        <c:auto val="1"/>
        <c:lblAlgn val="ctr"/>
        <c:lblOffset val="100"/>
        <c:noMultiLvlLbl val="0"/>
      </c:catAx>
      <c:valAx>
        <c:axId val="4542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2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[fashionboutiqueanalysis.xlsx]Customer_type_analysis!PivotTable4</c:name>
    <c:fmtId val="1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Customer_type_analysis!$B$3</c:f>
              <c:strCache>
                <c:ptCount val="1"/>
                <c:pt idx="0">
                  <c:v>Sum of Revenue</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Customer_type_analysis!$A$4:$A$6</c:f>
              <c:strCache>
                <c:ptCount val="2"/>
                <c:pt idx="0">
                  <c:v>New</c:v>
                </c:pt>
                <c:pt idx="1">
                  <c:v>Returning</c:v>
                </c:pt>
              </c:strCache>
            </c:strRef>
          </c:cat>
          <c:val>
            <c:numRef>
              <c:f>Customer_type_analysis!$B$4:$B$6</c:f>
              <c:numCache>
                <c:formatCode>General</c:formatCode>
                <c:ptCount val="2"/>
                <c:pt idx="0">
                  <c:v>118239.10999999991</c:v>
                </c:pt>
                <c:pt idx="1">
                  <c:v>104942.93000000012</c:v>
                </c:pt>
              </c:numCache>
            </c:numRef>
          </c:val>
          <c:extLst>
            <c:ext xmlns:c16="http://schemas.microsoft.com/office/drawing/2014/chart" uri="{C3380CC4-5D6E-409C-BE32-E72D297353CC}">
              <c16:uniqueId val="{00000000-EC44-4E75-8C3C-ABEB63CA3D33}"/>
            </c:ext>
          </c:extLst>
        </c:ser>
        <c:ser>
          <c:idx val="1"/>
          <c:order val="1"/>
          <c:tx>
            <c:strRef>
              <c:f>Customer_type_analysis!$C$3</c:f>
              <c:strCache>
                <c:ptCount val="1"/>
                <c:pt idx="0">
                  <c:v>Count of Conversions</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Customer_type_analysis!$A$4:$A$6</c:f>
              <c:strCache>
                <c:ptCount val="2"/>
                <c:pt idx="0">
                  <c:v>New</c:v>
                </c:pt>
                <c:pt idx="1">
                  <c:v>Returning</c:v>
                </c:pt>
              </c:strCache>
            </c:strRef>
          </c:cat>
          <c:val>
            <c:numRef>
              <c:f>Customer_type_analysis!$C$4:$C$6</c:f>
              <c:numCache>
                <c:formatCode>General</c:formatCode>
                <c:ptCount val="2"/>
                <c:pt idx="0">
                  <c:v>1071</c:v>
                </c:pt>
                <c:pt idx="1">
                  <c:v>929</c:v>
                </c:pt>
              </c:numCache>
            </c:numRef>
          </c:val>
          <c:extLst>
            <c:ext xmlns:c16="http://schemas.microsoft.com/office/drawing/2014/chart" uri="{C3380CC4-5D6E-409C-BE32-E72D297353CC}">
              <c16:uniqueId val="{00000001-EC44-4E75-8C3C-ABEB63CA3D33}"/>
            </c:ext>
          </c:extLst>
        </c:ser>
        <c:dLbls>
          <c:showLegendKey val="0"/>
          <c:showVal val="0"/>
          <c:showCatName val="0"/>
          <c:showSerName val="0"/>
          <c:showPercent val="0"/>
          <c:showBubbleSize val="0"/>
        </c:dLbls>
        <c:gapWidth val="150"/>
        <c:overlap val="100"/>
        <c:axId val="45412159"/>
        <c:axId val="45412639"/>
      </c:barChart>
      <c:catAx>
        <c:axId val="454121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12639"/>
        <c:crosses val="autoZero"/>
        <c:auto val="1"/>
        <c:lblAlgn val="ctr"/>
        <c:lblOffset val="100"/>
        <c:noMultiLvlLbl val="0"/>
      </c:catAx>
      <c:valAx>
        <c:axId val="45412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1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[fashionboutiqueanalysis.xlsx]Sheet7!PivotTable5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Sheet7!$A$4:$A$9</c:f>
              <c:strCache>
                <c:ptCount val="5"/>
                <c:pt idx="0">
                  <c:v>Flyer</c:v>
                </c:pt>
                <c:pt idx="1">
                  <c:v>Google Ads</c:v>
                </c:pt>
                <c:pt idx="2">
                  <c:v>Instagram</c:v>
                </c:pt>
                <c:pt idx="3">
                  <c:v>In-store Promo</c:v>
                </c:pt>
                <c:pt idx="4">
                  <c:v>Referral</c:v>
                </c:pt>
              </c:strCache>
            </c:strRef>
          </c:cat>
          <c:val>
            <c:numRef>
              <c:f>Sheet7!$B$4:$B$9</c:f>
              <c:numCache>
                <c:formatCode>General</c:formatCode>
                <c:ptCount val="5"/>
                <c:pt idx="0">
                  <c:v>14.298662893546821</c:v>
                </c:pt>
                <c:pt idx="1">
                  <c:v>10.178244759885663</c:v>
                </c:pt>
                <c:pt idx="2">
                  <c:v>15.696434751427379</c:v>
                </c:pt>
                <c:pt idx="3">
                  <c:v>8.1227839461838869</c:v>
                </c:pt>
                <c:pt idx="4">
                  <c:v>11.277437996435594</c:v>
                </c:pt>
              </c:numCache>
            </c:numRef>
          </c:val>
          <c:extLst>
            <c:ext xmlns:c16="http://schemas.microsoft.com/office/drawing/2014/chart" uri="{C3380CC4-5D6E-409C-BE32-E72D297353CC}">
              <c16:uniqueId val="{00000002-86F4-4CCE-B5A4-568B5C9435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297180</xdr:colOff>
      <xdr:row>11</xdr:row>
      <xdr:rowOff>60960</xdr:rowOff>
    </xdr:from>
    <xdr:to>
      <xdr:col>7</xdr:col>
      <xdr:colOff>198120</xdr:colOff>
      <xdr:row>26</xdr:row>
      <xdr:rowOff>60960</xdr:rowOff>
    </xdr:to>
    <xdr:graphicFrame macro="">
      <xdr:nvGraphicFramePr>
        <xdr:cNvPr id="3" name="Chart 2">
          <a:extLst>
            <a:ext uri="{FF2B5EF4-FFF2-40B4-BE49-F238E27FC236}">
              <a16:creationId xmlns:a16="http://schemas.microsoft.com/office/drawing/2014/main" id="{1B01C344-C11A-7297-25FB-E4200ADB0B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228600</xdr:colOff>
      <xdr:row>6</xdr:row>
      <xdr:rowOff>41910</xdr:rowOff>
    </xdr:from>
    <xdr:to>
      <xdr:col>10</xdr:col>
      <xdr:colOff>533400</xdr:colOff>
      <xdr:row>21</xdr:row>
      <xdr:rowOff>41910</xdr:rowOff>
    </xdr:to>
    <xdr:graphicFrame macro="">
      <xdr:nvGraphicFramePr>
        <xdr:cNvPr id="2" name="Chart 1">
          <a:extLst>
            <a:ext uri="{FF2B5EF4-FFF2-40B4-BE49-F238E27FC236}">
              <a16:creationId xmlns:a16="http://schemas.microsoft.com/office/drawing/2014/main" id="{CA4DDB07-BFDF-773C-1027-8C6F76B6A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480060</xdr:colOff>
      <xdr:row>6</xdr:row>
      <xdr:rowOff>41910</xdr:rowOff>
    </xdr:from>
    <xdr:to>
      <xdr:col>11</xdr:col>
      <xdr:colOff>175260</xdr:colOff>
      <xdr:row>21</xdr:row>
      <xdr:rowOff>41910</xdr:rowOff>
    </xdr:to>
    <xdr:graphicFrame macro="">
      <xdr:nvGraphicFramePr>
        <xdr:cNvPr id="2" name="Chart 1">
          <a:extLst>
            <a:ext uri="{FF2B5EF4-FFF2-40B4-BE49-F238E27FC236}">
              <a16:creationId xmlns:a16="http://schemas.microsoft.com/office/drawing/2014/main" id="{735CAE41-78B4-D074-4986-A91881C46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1059180</xdr:colOff>
      <xdr:row>6</xdr:row>
      <xdr:rowOff>41910</xdr:rowOff>
    </xdr:from>
    <xdr:to>
      <xdr:col>9</xdr:col>
      <xdr:colOff>274320</xdr:colOff>
      <xdr:row>21</xdr:row>
      <xdr:rowOff>41910</xdr:rowOff>
    </xdr:to>
    <xdr:graphicFrame macro="">
      <xdr:nvGraphicFramePr>
        <xdr:cNvPr id="2" name="Chart 1">
          <a:extLst>
            <a:ext uri="{FF2B5EF4-FFF2-40B4-BE49-F238E27FC236}">
              <a16:creationId xmlns:a16="http://schemas.microsoft.com/office/drawing/2014/main" id="{60F5A15C-B4B3-8418-FE92-8CA90B8C2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1833564</xdr:colOff>
      <xdr:row>5</xdr:row>
      <xdr:rowOff>166688</xdr:rowOff>
    </xdr:from>
    <xdr:to>
      <xdr:col>5</xdr:col>
      <xdr:colOff>500570</xdr:colOff>
      <xdr:row>18</xdr:row>
      <xdr:rowOff>87154</xdr:rowOff>
    </xdr:to>
    <xdr:graphicFrame macro="">
      <xdr:nvGraphicFramePr>
        <xdr:cNvPr id="2" name="Chart 1">
          <a:extLst>
            <a:ext uri="{FF2B5EF4-FFF2-40B4-BE49-F238E27FC236}">
              <a16:creationId xmlns:a16="http://schemas.microsoft.com/office/drawing/2014/main" id="{52AA5E55-CCC0-4922-BD84-6D9DB4568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18005</xdr:colOff>
      <xdr:row>5</xdr:row>
      <xdr:rowOff>131920</xdr:rowOff>
    </xdr:from>
    <xdr:to>
      <xdr:col>10</xdr:col>
      <xdr:colOff>680945</xdr:colOff>
      <xdr:row>18</xdr:row>
      <xdr:rowOff>86200</xdr:rowOff>
    </xdr:to>
    <xdr:graphicFrame macro="">
      <xdr:nvGraphicFramePr>
        <xdr:cNvPr id="4" name="Chart 3">
          <a:extLst>
            <a:ext uri="{FF2B5EF4-FFF2-40B4-BE49-F238E27FC236}">
              <a16:creationId xmlns:a16="http://schemas.microsoft.com/office/drawing/2014/main" id="{59EC00BD-C977-438B-856E-759E960BE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891677</xdr:colOff>
      <xdr:row>5</xdr:row>
      <xdr:rowOff>119062</xdr:rowOff>
    </xdr:from>
    <xdr:to>
      <xdr:col>17</xdr:col>
      <xdr:colOff>23812</xdr:colOff>
      <xdr:row>18</xdr:row>
      <xdr:rowOff>45918</xdr:rowOff>
    </xdr:to>
    <xdr:graphicFrame macro="">
      <xdr:nvGraphicFramePr>
        <xdr:cNvPr id="5" name="Chart 4">
          <a:extLst>
            <a:ext uri="{FF2B5EF4-FFF2-40B4-BE49-F238E27FC236}">
              <a16:creationId xmlns:a16="http://schemas.microsoft.com/office/drawing/2014/main" id="{BE572CBB-DB07-4AC5-B9B3-887C3C04A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1797845</xdr:colOff>
      <xdr:row>19</xdr:row>
      <xdr:rowOff>23813</xdr:rowOff>
    </xdr:from>
    <xdr:to>
      <xdr:col>5</xdr:col>
      <xdr:colOff>71439</xdr:colOff>
      <xdr:row>36</xdr:row>
      <xdr:rowOff>35719</xdr:rowOff>
    </xdr:to>
    <xdr:graphicFrame macro="">
      <xdr:nvGraphicFramePr>
        <xdr:cNvPr id="6" name="Chart 5">
          <a:extLst>
            <a:ext uri="{FF2B5EF4-FFF2-40B4-BE49-F238E27FC236}">
              <a16:creationId xmlns:a16="http://schemas.microsoft.com/office/drawing/2014/main" id="{530058A7-EF97-446C-AEEE-D44CF0696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333375</xdr:colOff>
      <xdr:row>19</xdr:row>
      <xdr:rowOff>71437</xdr:rowOff>
    </xdr:from>
    <xdr:to>
      <xdr:col>15</xdr:col>
      <xdr:colOff>95251</xdr:colOff>
      <xdr:row>36</xdr:row>
      <xdr:rowOff>35718</xdr:rowOff>
    </xdr:to>
    <xdr:graphicFrame macro="">
      <xdr:nvGraphicFramePr>
        <xdr:cNvPr id="7" name="Chart 6">
          <a:extLst>
            <a:ext uri="{FF2B5EF4-FFF2-40B4-BE49-F238E27FC236}">
              <a16:creationId xmlns:a16="http://schemas.microsoft.com/office/drawing/2014/main" id="{26975B61-74A0-484F-BD2E-658A0B277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7</xdr:row>
      <xdr:rowOff>47624</xdr:rowOff>
    </xdr:from>
    <xdr:to>
      <xdr:col>0</xdr:col>
      <xdr:colOff>1619250</xdr:colOff>
      <xdr:row>15</xdr:row>
      <xdr:rowOff>107156</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E74F8C88-DDDD-4508-B3EC-8A175AF5C34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1535905"/>
              <a:ext cx="1619250" cy="1488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154782</xdr:rowOff>
    </xdr:from>
    <xdr:to>
      <xdr:col>0</xdr:col>
      <xdr:colOff>1643063</xdr:colOff>
      <xdr:row>20</xdr:row>
      <xdr:rowOff>160973</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46390112-C673-4EA6-BDD0-2D78B989CFD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3071813"/>
              <a:ext cx="1643063" cy="89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11906</xdr:rowOff>
    </xdr:from>
    <xdr:to>
      <xdr:col>0</xdr:col>
      <xdr:colOff>1607344</xdr:colOff>
      <xdr:row>30</xdr:row>
      <xdr:rowOff>111442</xdr:rowOff>
    </xdr:to>
    <mc:AlternateContent xmlns:mc="http://schemas.openxmlformats.org/markup-compatibility/2006">
      <mc:Choice xmlns:a14="http://schemas.microsoft.com/office/drawing/2010/main" Requires="a14">
        <xdr:graphicFrame macro="">
          <xdr:nvGraphicFramePr>
            <xdr:cNvPr id="10" name="Marketing Channel">
              <a:extLst>
                <a:ext uri="{FF2B5EF4-FFF2-40B4-BE49-F238E27FC236}">
                  <a16:creationId xmlns:a16="http://schemas.microsoft.com/office/drawing/2014/main" id="{2AED3C78-FBC0-4F5E-A370-FC4E6C6E58B6}"/>
                </a:ext>
              </a:extLst>
            </xdr:cNvPr>
            <xdr:cNvGraphicFramePr/>
          </xdr:nvGraphicFramePr>
          <xdr:xfrm>
            <a:off x="0" y="0"/>
            <a:ext cx="0" cy="0"/>
          </xdr:xfrm>
          <a:graphic>
            <a:graphicData uri="http://schemas.microsoft.com/office/drawing/2010/slicer">
              <sle:slicer xmlns:sle="http://schemas.microsoft.com/office/drawing/2010/slicer" name="Marketing Channel"/>
            </a:graphicData>
          </a:graphic>
        </xdr:graphicFrame>
      </mc:Choice>
      <mc:Fallback>
        <xdr:sp macro="" textlink="">
          <xdr:nvSpPr>
            <xdr:cNvPr id="0" name=""/>
            <xdr:cNvSpPr>
              <a:spLocks noTextEdit="1"/>
            </xdr:cNvSpPr>
          </xdr:nvSpPr>
          <xdr:spPr>
            <a:xfrm>
              <a:off x="0" y="4000500"/>
              <a:ext cx="1607344"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166686</xdr:rowOff>
    </xdr:from>
    <xdr:to>
      <xdr:col>0</xdr:col>
      <xdr:colOff>1619250</xdr:colOff>
      <xdr:row>35</xdr:row>
      <xdr:rowOff>172878</xdr:rowOff>
    </xdr:to>
    <mc:AlternateContent xmlns:mc="http://schemas.openxmlformats.org/markup-compatibility/2006">
      <mc:Choice xmlns:a14="http://schemas.microsoft.com/office/drawing/2010/main" Requires="a14">
        <xdr:graphicFrame macro="">
          <xdr:nvGraphicFramePr>
            <xdr:cNvPr id="11" name="Customer Type">
              <a:extLst>
                <a:ext uri="{FF2B5EF4-FFF2-40B4-BE49-F238E27FC236}">
                  <a16:creationId xmlns:a16="http://schemas.microsoft.com/office/drawing/2014/main" id="{0D20ED7D-31F7-49BF-9B0D-7D0CB2BF603C}"/>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0" y="5762624"/>
              <a:ext cx="1619250" cy="89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35718</xdr:rowOff>
    </xdr:from>
    <xdr:to>
      <xdr:col>0</xdr:col>
      <xdr:colOff>1571625</xdr:colOff>
      <xdr:row>6</xdr:row>
      <xdr:rowOff>123823</xdr:rowOff>
    </xdr:to>
    <mc:AlternateContent xmlns:mc="http://schemas.openxmlformats.org/markup-compatibility/2006">
      <mc:Choice xmlns:a14="http://schemas.microsoft.com/office/drawing/2010/main" Requires="a14">
        <xdr:graphicFrame macro="">
          <xdr:nvGraphicFramePr>
            <xdr:cNvPr id="12" name="Service Type">
              <a:extLst>
                <a:ext uri="{FF2B5EF4-FFF2-40B4-BE49-F238E27FC236}">
                  <a16:creationId xmlns:a16="http://schemas.microsoft.com/office/drawing/2014/main" id="{2A86B437-2AD3-4F25-A777-C838CC59FC59}"/>
                </a:ext>
              </a:extLst>
            </xdr:cNvPr>
            <xdr:cNvGraphicFramePr/>
          </xdr:nvGraphicFramePr>
          <xdr:xfrm>
            <a:off x="0" y="0"/>
            <a:ext cx="0" cy="0"/>
          </xdr:xfrm>
          <a:graphic>
            <a:graphicData uri="http://schemas.microsoft.com/office/drawing/2010/slicer">
              <sle:slicer xmlns:sle="http://schemas.microsoft.com/office/drawing/2010/slicer" name="Service Type"/>
            </a:graphicData>
          </a:graphic>
        </xdr:graphicFrame>
      </mc:Choice>
      <mc:Fallback>
        <xdr:sp macro="" textlink="">
          <xdr:nvSpPr>
            <xdr:cNvPr id="0" name=""/>
            <xdr:cNvSpPr>
              <a:spLocks noTextEdit="1"/>
            </xdr:cNvSpPr>
          </xdr:nvSpPr>
          <xdr:spPr>
            <a:xfrm>
              <a:off x="0" y="214312"/>
              <a:ext cx="1571625"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228600</xdr:colOff>
      <xdr:row>6</xdr:row>
      <xdr:rowOff>41910</xdr:rowOff>
    </xdr:from>
    <xdr:to>
      <xdr:col>12</xdr:col>
      <xdr:colOff>198120</xdr:colOff>
      <xdr:row>21</xdr:row>
      <xdr:rowOff>41910</xdr:rowOff>
    </xdr:to>
    <xdr:graphicFrame macro="">
      <xdr:nvGraphicFramePr>
        <xdr:cNvPr id="2" name="Chart 1">
          <a:extLst>
            <a:ext uri="{FF2B5EF4-FFF2-40B4-BE49-F238E27FC236}">
              <a16:creationId xmlns:a16="http://schemas.microsoft.com/office/drawing/2014/main" id="{9EC86F6E-01C6-9DDB-8736-F59483E460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siba hamdy" refreshedDate="45992.978650231482" createdVersion="8" refreshedVersion="8" minRefreshableVersion="3" recordCount="2000" xr:uid="{B7BDF5BA-DFBC-4BCD-85DE-31C7C296592C}">
  <cacheSource type="worksheet">
    <worksheetSource name="Sheet1"/>
  </cacheSource>
  <cacheFields count="15">
    <cacheField name="Date" numFmtId="14">
      <sharedItems containsSemiMixedTypes="0" containsNonDate="0" containsDate="1" containsString="0" minDate="2024-01-01T00:00:00" maxDate="2024-05-01T00:00:00"/>
    </cacheField>
    <cacheField name="Marketing Channel" numFmtId="0">
      <sharedItems count="5">
        <s v="In-store Promo"/>
        <s v="Instagram"/>
        <s v="Referral"/>
        <s v="Google Ads"/>
        <s v="Flyer"/>
      </sharedItems>
    </cacheField>
    <cacheField name="Service Type" numFmtId="0">
      <sharedItems count="3">
        <s v="Premium"/>
        <s v="Promo"/>
        <s v="Standard"/>
      </sharedItems>
    </cacheField>
    <cacheField name="Customer Type" numFmtId="0">
      <sharedItems count="2">
        <s v="Returning"/>
        <s v="New"/>
      </sharedItems>
    </cacheField>
    <cacheField name="Revenue" numFmtId="0">
      <sharedItems containsSemiMixedTypes="0" containsString="0" containsNumber="1" minValue="20" maxValue="199.93"/>
    </cacheField>
    <cacheField name="Ad Spend" numFmtId="0">
      <sharedItems containsSemiMixedTypes="0" containsString="0" containsNumber="1" minValue="0.13" maxValue="49.96"/>
    </cacheField>
    <cacheField name="Conversions" numFmtId="0">
      <sharedItems containsSemiMixedTypes="0" containsString="0" containsNumber="1" containsInteger="1" minValue="0" maxValue="3"/>
    </cacheField>
    <cacheField name="Month_Revenue" numFmtId="0">
      <sharedItems containsSemiMixedTypes="0" containsString="0" containsNumber="1" minValue="48675.899999999936" maxValue="61207.979999999989"/>
    </cacheField>
    <cacheField name="Off-Peak" numFmtId="0">
      <sharedItems count="2">
        <s v="Off-Peak"/>
        <s v="Peak"/>
      </sharedItems>
    </cacheField>
    <cacheField name="Return on Investment" numFmtId="0">
      <sharedItems containsSemiMixedTypes="0" containsString="0" containsNumber="1" minValue="-0.57445948676500302" maxValue="983.15384615384619"/>
    </cacheField>
    <cacheField name="Profit" numFmtId="0">
      <sharedItems containsSemiMixedTypes="0" containsString="0" containsNumber="1" minValue="-28.430000000000003" maxValue="197.97" count="1959">
        <n v="155.35999999999999"/>
        <n v="55.89"/>
        <n v="73.78"/>
        <n v="143.70000000000002"/>
        <n v="4.3800000000000026"/>
        <n v="67.25"/>
        <n v="115.53"/>
        <n v="138.62"/>
        <n v="83.74"/>
        <n v="39.879999999999995"/>
        <n v="53.88"/>
        <n v="83.93"/>
        <n v="117.57000000000002"/>
        <n v="108.16"/>
        <n v="60.13"/>
        <n v="89.35"/>
        <n v="9.1899999999999977"/>
        <n v="168.93"/>
        <n v="154.26999999999998"/>
        <n v="167.95"/>
        <n v="175.07"/>
        <n v="74.199999999999989"/>
        <n v="144.06"/>
        <n v="135.60999999999999"/>
        <n v="156.15"/>
        <n v="36.690000000000005"/>
        <n v="84.06"/>
        <n v="55.7"/>
        <n v="63.120000000000005"/>
        <n v="51.1"/>
        <n v="177.13"/>
        <n v="140.75"/>
        <n v="121.84"/>
        <n v="19.96"/>
        <n v="84.48"/>
        <n v="58.8"/>
        <n v="70.179999999999993"/>
        <n v="138.63"/>
        <n v="87.07"/>
        <n v="-4.129999999999999"/>
        <n v="24.470000000000002"/>
        <n v="147.19999999999999"/>
        <n v="22.68"/>
        <n v="148.35000000000002"/>
        <n v="154.03"/>
        <n v="81.430000000000007"/>
        <n v="163.69"/>
        <n v="108.13"/>
        <n v="-21.01"/>
        <n v="115.18"/>
        <n v="-0.79999999999999716"/>
        <n v="54.739999999999995"/>
        <n v="130.94"/>
        <n v="150.19"/>
        <n v="124.13"/>
        <n v="62.94"/>
        <n v="25.909999999999997"/>
        <n v="63.539999999999992"/>
        <n v="62"/>
        <n v="153.54000000000002"/>
        <n v="24.84"/>
        <n v="70.78"/>
        <n v="19.410000000000004"/>
        <n v="69.67"/>
        <n v="160.35"/>
        <n v="25.599999999999994"/>
        <n v="72.400000000000006"/>
        <n v="65.84"/>
        <n v="51.910000000000004"/>
        <n v="-14.060000000000002"/>
        <n v="164.87"/>
        <n v="63.14"/>
        <n v="36.589999999999996"/>
        <n v="144.46"/>
        <n v="114.52000000000001"/>
        <n v="115.70000000000002"/>
        <n v="157.42000000000002"/>
        <n v="127.97"/>
        <n v="14.11"/>
        <n v="115.04000000000002"/>
        <n v="71.069999999999993"/>
        <n v="30.740000000000002"/>
        <n v="149.59"/>
        <n v="186.62"/>
        <n v="105.07"/>
        <n v="89.81"/>
        <n v="175.96"/>
        <n v="132.75"/>
        <n v="88.240000000000009"/>
        <n v="189.23999999999998"/>
        <n v="105.25"/>
        <n v="70.12"/>
        <n v="52.6"/>
        <n v="37.509999999999991"/>
        <n v="36.409999999999997"/>
        <n v="34.409999999999997"/>
        <n v="79.83"/>
        <n v="182.7"/>
        <n v="50.589999999999996"/>
        <n v="27.91"/>
        <n v="66.089999999999989"/>
        <n v="44.78"/>
        <n v="49.35"/>
        <n v="88.76"/>
        <n v="100.19"/>
        <n v="5.009999999999998"/>
        <n v="63.24"/>
        <n v="114.71000000000001"/>
        <n v="114.83000000000001"/>
        <n v="32.18"/>
        <n v="23.16"/>
        <n v="4.5900000000000034"/>
        <n v="96.539999999999992"/>
        <n v="-1.0899999999999963"/>
        <n v="45.600000000000009"/>
        <n v="100.38"/>
        <n v="61.559999999999995"/>
        <n v="128.13999999999999"/>
        <n v="62.459999999999994"/>
        <n v="120.27"/>
        <n v="173.84"/>
        <n v="103.21"/>
        <n v="33.090000000000003"/>
        <n v="47.16"/>
        <n v="139.59"/>
        <n v="65.570000000000007"/>
        <n v="31.379999999999995"/>
        <n v="80.81"/>
        <n v="92.05"/>
        <n v="34.679999999999993"/>
        <n v="184.12"/>
        <n v="35.67"/>
        <n v="101.44"/>
        <n v="62.179999999999993"/>
        <n v="77.05"/>
        <n v="19.850000000000001"/>
        <n v="162.75"/>
        <n v="130"/>
        <n v="19.149999999999999"/>
        <n v="130.69999999999999"/>
        <n v="122.83999999999999"/>
        <n v="28.89"/>
        <n v="29.509999999999998"/>
        <n v="25.809999999999995"/>
        <n v="38.64"/>
        <n v="28.62"/>
        <n v="84.64"/>
        <n v="50.14"/>
        <n v="99.56"/>
        <n v="41.67"/>
        <n v="120.65"/>
        <n v="151.85999999999999"/>
        <n v="171.19"/>
        <n v="149.30000000000001"/>
        <n v="36.280000000000008"/>
        <n v="167.2"/>
        <n v="126.10000000000001"/>
        <n v="73"/>
        <n v="29.779999999999994"/>
        <n v="26.35"/>
        <n v="73.330000000000013"/>
        <n v="36.47"/>
        <n v="30.830000000000005"/>
        <n v="27.790000000000003"/>
        <n v="126.78"/>
        <n v="129.48999999999998"/>
        <n v="-9.0599999999999987"/>
        <n v="23.629999999999995"/>
        <n v="112.5"/>
        <n v="169.41000000000003"/>
        <n v="18.07"/>
        <n v="39.629999999999995"/>
        <n v="45.68"/>
        <n v="152.29999999999998"/>
        <n v="150.79000000000002"/>
        <n v="20.43"/>
        <n v="88.57"/>
        <n v="177.27"/>
        <n v="29.300000000000004"/>
        <n v="55.940000000000005"/>
        <n v="173.91"/>
        <n v="161.73999999999998"/>
        <n v="153.82"/>
        <n v="150.77000000000001"/>
        <n v="82.17"/>
        <n v="155.27000000000001"/>
        <n v="16.489999999999995"/>
        <n v="137.47999999999999"/>
        <n v="105.33999999999999"/>
        <n v="87.789999999999992"/>
        <n v="146.81"/>
        <n v="10.27"/>
        <n v="88.669999999999987"/>
        <n v="35.4"/>
        <n v="61.78"/>
        <n v="68.7"/>
        <n v="54.9"/>
        <n v="49.47"/>
        <n v="156.08000000000001"/>
        <n v="130.09"/>
        <n v="5.5299999999999976"/>
        <n v="164.79"/>
        <n v="145.32"/>
        <n v="30.1"/>
        <n v="129.22"/>
        <n v="51.929999999999993"/>
        <n v="136.93"/>
        <n v="26"/>
        <n v="132.20999999999998"/>
        <n v="60.4"/>
        <n v="180.98000000000002"/>
        <n v="56.49"/>
        <n v="15.839999999999996"/>
        <n v="50.669999999999995"/>
        <n v="109.15"/>
        <n v="119.19"/>
        <n v="-10.199999999999996"/>
        <n v="143.01"/>
        <n v="-19.23"/>
        <n v="120.4"/>
        <n v="139.22"/>
        <n v="163.26"/>
        <n v="61.519999999999996"/>
        <n v="123.95"/>
        <n v="160.68"/>
        <n v="5.25"/>
        <n v="44.23"/>
        <n v="82.06"/>
        <n v="29.15"/>
        <n v="83.54"/>
        <n v="126.86999999999999"/>
        <n v="101.84"/>
        <n v="64.22999999999999"/>
        <n v="176.37"/>
        <n v="87.28"/>
        <n v="99.4"/>
        <n v="57.16"/>
        <n v="-9.2799999999999976"/>
        <n v="63.260000000000005"/>
        <n v="146.24"/>
        <n v="83.670000000000016"/>
        <n v="45.730000000000004"/>
        <n v="178.37"/>
        <n v="64.289999999999992"/>
        <n v="129.66"/>
        <n v="83.800000000000011"/>
        <n v="18.14"/>
        <n v="11.910000000000004"/>
        <n v="104.99000000000001"/>
        <n v="73.61"/>
        <n v="93.700000000000017"/>
        <n v="44.8"/>
        <n v="24.879999999999995"/>
        <n v="27.130000000000003"/>
        <n v="122.96"/>
        <n v="-14.080000000000002"/>
        <n v="63.150000000000006"/>
        <n v="69.59"/>
        <n v="66.709999999999994"/>
        <n v="100.21000000000001"/>
        <n v="152.66999999999999"/>
        <n v="68.39"/>
        <n v="38.22999999999999"/>
        <n v="150.47999999999999"/>
        <n v="4.2899999999999991"/>
        <n v="-4.59"/>
        <n v="84.859999999999985"/>
        <n v="124.93"/>
        <n v="162.02000000000001"/>
        <n v="-12.16"/>
        <n v="128.66999999999999"/>
        <n v="124.74999999999999"/>
        <n v="113.28999999999999"/>
        <n v="158.25"/>
        <n v="123.41000000000001"/>
        <n v="10.759999999999998"/>
        <n v="84.75"/>
        <n v="71.02000000000001"/>
        <n v="71.94"/>
        <n v="186.77"/>
        <n v="60.05"/>
        <n v="173.54"/>
        <n v="157.86000000000001"/>
        <n v="126.15"/>
        <n v="149.28"/>
        <n v="114.46000000000001"/>
        <n v="-12.989999999999998"/>
        <n v="92.22"/>
        <n v="128.57999999999998"/>
        <n v="46.480000000000004"/>
        <n v="122.17"/>
        <n v="60.469999999999992"/>
        <n v="49.94"/>
        <n v="51.599999999999994"/>
        <n v="74.16"/>
        <n v="14.510000000000005"/>
        <n v="95.05"/>
        <n v="122.03999999999999"/>
        <n v="8.259999999999998"/>
        <n v="25.82"/>
        <n v="1.4400000000000048"/>
        <n v="87.550000000000011"/>
        <n v="78.759999999999991"/>
        <n v="172.52"/>
        <n v="123.74999999999999"/>
        <n v="100.61"/>
        <n v="15.619999999999997"/>
        <n v="162.72999999999999"/>
        <n v="19.759999999999998"/>
        <n v="64.87"/>
        <n v="100.17999999999999"/>
        <n v="82.070000000000007"/>
        <n v="127.07"/>
        <n v="74.86"/>
        <n v="134.54999999999998"/>
        <n v="194.20000000000002"/>
        <n v="78.889999999999986"/>
        <n v="40.850000000000009"/>
        <n v="136.07999999999998"/>
        <n v="96.2"/>
        <n v="159.35"/>
        <n v="17.849999999999998"/>
        <n v="94.62"/>
        <n v="78.87"/>
        <n v="97.02"/>
        <n v="91.04"/>
        <n v="120.24000000000001"/>
        <n v="29.270000000000003"/>
        <n v="142.06"/>
        <n v="-14.899999999999995"/>
        <n v="33.309999999999995"/>
        <n v="123.17000000000002"/>
        <n v="50.650000000000006"/>
        <n v="106.82000000000001"/>
        <n v="93.559999999999988"/>
        <n v="47.050000000000004"/>
        <n v="68.03"/>
        <n v="21.69"/>
        <n v="91.309999999999988"/>
        <n v="161.32999999999998"/>
        <n v="13.369999999999997"/>
        <n v="175.79000000000002"/>
        <n v="-8.11"/>
        <n v="147.09"/>
        <n v="61.99"/>
        <n v="164.56"/>
        <n v="159.12"/>
        <n v="48.71"/>
        <n v="186.36"/>
        <n v="178.29000000000002"/>
        <n v="157.29000000000002"/>
        <n v="155.32000000000002"/>
        <n v="155.82"/>
        <n v="24.94"/>
        <n v="135.98000000000002"/>
        <n v="114.81"/>
        <n v="32.350000000000009"/>
        <n v="-19.8"/>
        <n v="54.019999999999996"/>
        <n v="193.60999999999999"/>
        <n v="65.789999999999992"/>
        <n v="-11.299999999999997"/>
        <n v="187.22"/>
        <n v="46.76"/>
        <n v="143.5"/>
        <n v="136.36000000000001"/>
        <n v="20.779999999999998"/>
        <n v="138.43"/>
        <n v="135.26"/>
        <n v="30.36"/>
        <n v="78.81"/>
        <n v="42.019999999999996"/>
        <n v="69.52000000000001"/>
        <n v="156.36000000000001"/>
        <n v="128.29999999999998"/>
        <n v="53.58"/>
        <n v="137.76"/>
        <n v="-3.7999999999999972"/>
        <n v="54.1"/>
        <n v="25.689999999999998"/>
        <n v="99.26"/>
        <n v="164.76999999999998"/>
        <n v="56.650000000000006"/>
        <n v="5.73"/>
        <n v="144.81"/>
        <n v="43.940000000000005"/>
        <n v="10.57"/>
        <n v="118.84"/>
        <n v="31.16"/>
        <n v="46.940000000000005"/>
        <n v="108.77000000000001"/>
        <n v="89.03"/>
        <n v="98.199999999999989"/>
        <n v="15.910000000000004"/>
        <n v="34.279999999999994"/>
        <n v="20.82"/>
        <n v="62.339999999999996"/>
        <n v="91.84"/>
        <n v="38.69"/>
        <n v="111.64"/>
        <n v="11.43"/>
        <n v="38.270000000000003"/>
        <n v="132.71"/>
        <n v="173.04999999999998"/>
        <n v="137.95000000000002"/>
        <n v="183.77999999999997"/>
        <n v="30.869999999999997"/>
        <n v="97.720000000000013"/>
        <n v="17.84"/>
        <n v="129.82999999999998"/>
        <n v="56.350000000000009"/>
        <n v="115.71"/>
        <n v="132.69999999999999"/>
        <n v="-11.320000000000004"/>
        <n v="110.78999999999999"/>
        <n v="142.89000000000001"/>
        <n v="75.080000000000013"/>
        <n v="170.61"/>
        <n v="82.929999999999993"/>
        <n v="-7.8500000000000014"/>
        <n v="180.03"/>
        <n v="140.83000000000001"/>
        <n v="83.06"/>
        <n v="6.769999999999996"/>
        <n v="114.23000000000002"/>
        <n v="113.08999999999999"/>
        <n v="41"/>
        <n v="40.819999999999993"/>
        <n v="132.64000000000001"/>
        <n v="69.110000000000014"/>
        <n v="105.50000000000001"/>
        <n v="85.09"/>
        <n v="1.620000000000001"/>
        <n v="3.4199999999999982"/>
        <n v="162.62"/>
        <n v="30.82"/>
        <n v="182.3"/>
        <n v="44.28"/>
        <n v="179.06"/>
        <n v="62.62"/>
        <n v="35.68"/>
        <n v="157.31"/>
        <n v="64.699999999999989"/>
        <n v="-1.7999999999999972"/>
        <n v="147.47"/>
        <n v="78.510000000000005"/>
        <n v="122.17999999999999"/>
        <n v="44.480000000000004"/>
        <n v="145.72000000000003"/>
        <n v="153.09"/>
        <n v="111.43"/>
        <n v="42.730000000000004"/>
        <n v="152.44999999999999"/>
        <n v="77.289999999999992"/>
        <n v="-13.399999999999999"/>
        <n v="151.47"/>
        <n v="69.86999999999999"/>
        <n v="119.83"/>
        <n v="54.489999999999995"/>
        <n v="103.44"/>
        <n v="66.430000000000007"/>
        <n v="120.75999999999999"/>
        <n v="103.92"/>
        <n v="132.77000000000001"/>
        <n v="86.86"/>
        <n v="170.97"/>
        <n v="8.5899999999999981"/>
        <n v="16.630000000000003"/>
        <n v="48.67"/>
        <n v="84.21"/>
        <n v="112.63999999999999"/>
        <n v="123.63999999999999"/>
        <n v="13.409999999999997"/>
        <n v="49.99"/>
        <n v="87.19"/>
        <n v="162.97999999999999"/>
        <n v="45.589999999999996"/>
        <n v="144.16999999999999"/>
        <n v="-2.9800000000000004"/>
        <n v="150.76"/>
        <n v="153.41"/>
        <n v="170.07999999999998"/>
        <n v="102.47000000000001"/>
        <n v="97.009999999999991"/>
        <n v="62.6"/>
        <n v="74.25"/>
        <n v="34.229999999999997"/>
        <n v="100.39999999999999"/>
        <n v="156.56"/>
        <n v="172.82000000000002"/>
        <n v="31.75"/>
        <n v="106.3"/>
        <n v="111.27"/>
        <n v="102.74000000000001"/>
        <n v="98.53"/>
        <n v="87.330000000000013"/>
        <n v="-16.690000000000001"/>
        <n v="41.160000000000004"/>
        <n v="126.82"/>
        <n v="87.4"/>
        <n v="47.629999999999995"/>
        <n v="101.64999999999999"/>
        <n v="39.490000000000009"/>
        <n v="53.57"/>
        <n v="54.849999999999994"/>
        <n v="146.99"/>
        <n v="42.230000000000004"/>
        <n v="-13.61"/>
        <n v="164.47"/>
        <n v="143.06"/>
        <n v="49.239999999999995"/>
        <n v="110.27000000000001"/>
        <n v="149.43"/>
        <n v="60.22"/>
        <n v="5.23"/>
        <n v="169.26"/>
        <n v="88.15"/>
        <n v="22.11"/>
        <n v="-13.09"/>
        <n v="151.19999999999999"/>
        <n v="35.17"/>
        <n v="164.35000000000002"/>
        <n v="25.98"/>
        <n v="76.839999999999989"/>
        <n v="46.89"/>
        <n v="105.09"/>
        <n v="91.639999999999986"/>
        <n v="151.98999999999998"/>
        <n v="127.81"/>
        <n v="24.300000000000004"/>
        <n v="156.74"/>
        <n v="169.91"/>
        <n v="123.10000000000001"/>
        <n v="50"/>
        <n v="116.63"/>
        <n v="173.01"/>
        <n v="120.54"/>
        <n v="160.20000000000002"/>
        <n v="132.26"/>
        <n v="71.05"/>
        <n v="81.639999999999986"/>
        <n v="91.699999999999989"/>
        <n v="49.620000000000005"/>
        <n v="43.81"/>
        <n v="100.8"/>
        <n v="162.15"/>
        <n v="-3.0200000000000031"/>
        <n v="-12.869999999999997"/>
        <n v="16.760000000000005"/>
        <n v="39.22"/>
        <n v="51.11"/>
        <n v="86.929999999999993"/>
        <n v="160.13999999999999"/>
        <n v="47.91"/>
        <n v="11.290000000000003"/>
        <n v="75.680000000000007"/>
        <n v="143.30000000000001"/>
        <n v="163.13"/>
        <n v="100.44"/>
        <n v="17.819999999999997"/>
        <n v="72.16"/>
        <n v="53.83"/>
        <n v="10.629999999999995"/>
        <n v="169.29999999999998"/>
        <n v="183.41"/>
        <n v="164.27"/>
        <n v="115.78999999999999"/>
        <n v="99.920000000000016"/>
        <n v="23.22"/>
        <n v="37.589999999999996"/>
        <n v="39.79"/>
        <n v="129.74"/>
        <n v="142.63999999999999"/>
        <n v="20.21"/>
        <n v="86.39"/>
        <n v="165.07"/>
        <n v="-8.3500000000000014"/>
        <n v="36.919999999999995"/>
        <n v="111.92"/>
        <n v="27.7"/>
        <n v="151.35999999999999"/>
        <n v="143.89000000000001"/>
        <n v="9.0400000000000063"/>
        <n v="142.94"/>
        <n v="-8.6600000000000037"/>
        <n v="80.319999999999993"/>
        <n v="143.21"/>
        <n v="11.589999999999996"/>
        <n v="144.41"/>
        <n v="22.49"/>
        <n v="115.80000000000001"/>
        <n v="37.82"/>
        <n v="45.820000000000007"/>
        <n v="62.599999999999994"/>
        <n v="88.97"/>
        <n v="20.53"/>
        <n v="169.47"/>
        <n v="-2.5"/>
        <n v="0.10000000000000142"/>
        <n v="147.82"/>
        <n v="19.529999999999998"/>
        <n v="131.97"/>
        <n v="111.56"/>
        <n v="137.78"/>
        <n v="18.629999999999995"/>
        <n v="20.47"/>
        <n v="161.82"/>
        <n v="152.9"/>
        <n v="53.87"/>
        <n v="98.83"/>
        <n v="164.67"/>
        <n v="132.91999999999999"/>
        <n v="113.03999999999999"/>
        <n v="97.4"/>
        <n v="143.1"/>
        <n v="163.98"/>
        <n v="107.31"/>
        <n v="158.01"/>
        <n v="26.099999999999994"/>
        <n v="34.19"/>
        <n v="153.74"/>
        <n v="36.889999999999993"/>
        <n v="90.85"/>
        <n v="21.139999999999997"/>
        <n v="130.12"/>
        <n v="52.309999999999995"/>
        <n v="73.97"/>
        <n v="111.57000000000001"/>
        <n v="107.54"/>
        <n v="8.5100000000000051"/>
        <n v="32.909999999999997"/>
        <n v="-8.0999999999999943"/>
        <n v="85.97"/>
        <n v="146.11000000000001"/>
        <n v="27.049999999999997"/>
        <n v="12.330000000000005"/>
        <n v="164.49"/>
        <n v="81.89"/>
        <n v="85.11999999999999"/>
        <n v="132.73999999999998"/>
        <n v="79.930000000000007"/>
        <n v="45.760000000000005"/>
        <n v="127.45"/>
        <n v="143.43"/>
        <n v="157.67000000000002"/>
        <n v="-28.16"/>
        <n v="177.76"/>
        <n v="54.199999999999996"/>
        <n v="36.379999999999995"/>
        <n v="33.070000000000007"/>
        <n v="185.82000000000002"/>
        <n v="93.16"/>
        <n v="46.679999999999993"/>
        <n v="33.72"/>
        <n v="170.34"/>
        <n v="48.469999999999992"/>
        <n v="179.77"/>
        <n v="15.86"/>
        <n v="134.95000000000002"/>
        <n v="92.04"/>
        <n v="84"/>
        <n v="171.47"/>
        <n v="140.39999999999998"/>
        <n v="24.29"/>
        <n v="57.080000000000005"/>
        <n v="145.53"/>
        <n v="18.810000000000002"/>
        <n v="90.389999999999986"/>
        <n v="8.6800000000000033"/>
        <n v="5.1899999999999977"/>
        <n v="123.49999999999999"/>
        <n v="86.51"/>
        <n v="-5.2899999999999991"/>
        <n v="51.58"/>
        <n v="114.94"/>
        <n v="-16.18"/>
        <n v="-2.1899999999999977"/>
        <n v="147.75"/>
        <n v="61.25"/>
        <n v="15.61"/>
        <n v="35.42"/>
        <n v="129.65"/>
        <n v="-28.430000000000003"/>
        <n v="121.41"/>
        <n v="113.57000000000001"/>
        <n v="135.93"/>
        <n v="162.47999999999999"/>
        <n v="15.059999999999995"/>
        <n v="19.889999999999993"/>
        <n v="53.06"/>
        <n v="66.59"/>
        <n v="115.57000000000001"/>
        <n v="123.87"/>
        <n v="106.45"/>
        <n v="16.159999999999997"/>
        <n v="-20.569999999999997"/>
        <n v="109.54999999999998"/>
        <n v="167.67000000000002"/>
        <n v="112.58"/>
        <n v="160.57"/>
        <n v="126.94999999999999"/>
        <n v="197.94"/>
        <n v="136.45000000000002"/>
        <n v="77.7"/>
        <n v="-10.549999999999997"/>
        <n v="93.45"/>
        <n v="18.53"/>
        <n v="43.730000000000004"/>
        <n v="38.83"/>
        <n v="-1.8500000000000014"/>
        <n v="146.62"/>
        <n v="146.88"/>
        <n v="3.9299999999999997"/>
        <n v="133.21"/>
        <n v="170.18"/>
        <n v="109.2"/>
        <n v="95.98"/>
        <n v="14.14"/>
        <n v="114.29000000000002"/>
        <n v="170.98000000000002"/>
        <n v="72.98"/>
        <n v="80.58"/>
        <n v="139.74"/>
        <n v="34.78"/>
        <n v="16.62"/>
        <n v="45.78"/>
        <n v="152.18"/>
        <n v="73.260000000000005"/>
        <n v="51.529999999999994"/>
        <n v="108.84"/>
        <n v="163.22"/>
        <n v="53.080000000000005"/>
        <n v="94.22"/>
        <n v="126.3"/>
        <n v="71.099999999999994"/>
        <n v="140.04999999999998"/>
        <n v="66.509999999999991"/>
        <n v="109.13000000000001"/>
        <n v="96.43"/>
        <n v="72.599999999999994"/>
        <n v="110.91"/>
        <n v="127.12"/>
        <n v="16.04"/>
        <n v="18.32"/>
        <n v="153.77000000000001"/>
        <n v="141.49"/>
        <n v="141.82999999999998"/>
        <n v="31.100000000000005"/>
        <n v="126.42"/>
        <n v="90.44"/>
        <n v="109.10999999999999"/>
        <n v="67.94"/>
        <n v="68.58"/>
        <n v="31.28"/>
        <n v="-18.489999999999998"/>
        <n v="126.68"/>
        <n v="75.61"/>
        <n v="76.319999999999993"/>
        <n v="24.500000000000004"/>
        <n v="96.48"/>
        <n v="182.94"/>
        <n v="109.89999999999999"/>
        <n v="161.66000000000003"/>
        <n v="83.539999999999992"/>
        <n v="142.31"/>
        <n v="98.01"/>
        <n v="-14.900000000000002"/>
        <n v="101.94"/>
        <n v="140.31"/>
        <n v="165.51"/>
        <n v="-20.099999999999998"/>
        <n v="119.72"/>
        <n v="115.57999999999998"/>
        <n v="132.47"/>
        <n v="95.84"/>
        <n v="99.080000000000013"/>
        <n v="66.699999999999989"/>
        <n v="75.240000000000009"/>
        <n v="156.01"/>
        <n v="94.25"/>
        <n v="156.64000000000001"/>
        <n v="10.689999999999998"/>
        <n v="110.29"/>
        <n v="19.75"/>
        <n v="118.27"/>
        <n v="84.390000000000015"/>
        <n v="44.08"/>
        <n v="182.20999999999998"/>
        <n v="87.740000000000009"/>
        <n v="34.049999999999997"/>
        <n v="108.96"/>
        <n v="76.930000000000007"/>
        <n v="97.22999999999999"/>
        <n v="139.37"/>
        <n v="57.989999999999995"/>
        <n v="174.19"/>
        <n v="136.21"/>
        <n v="-23.979999999999997"/>
        <n v="144.94"/>
        <n v="73.12"/>
        <n v="21.629999999999995"/>
        <n v="176.86999999999998"/>
        <n v="109.60000000000001"/>
        <n v="50.219999999999992"/>
        <n v="-5.6899999999999977"/>
        <n v="85.94"/>
        <n v="146.17000000000002"/>
        <n v="89.56"/>
        <n v="96.740000000000009"/>
        <n v="31.14"/>
        <n v="86.59"/>
        <n v="14.090000000000003"/>
        <n v="82.39"/>
        <n v="90.3"/>
        <n v="37"/>
        <n v="8.3100000000000023"/>
        <n v="20.36"/>
        <n v="35.480000000000004"/>
        <n v="4.18"/>
        <n v="-6.0300000000000011"/>
        <n v="56.93"/>
        <n v="70.53"/>
        <n v="9.89"/>
        <n v="57.19"/>
        <n v="81.289999999999992"/>
        <n v="23.94"/>
        <n v="111.13"/>
        <n v="187.41"/>
        <n v="-17.439999999999998"/>
        <n v="112.15"/>
        <n v="20.260000000000002"/>
        <n v="153.45000000000002"/>
        <n v="114.33"/>
        <n v="143.92000000000002"/>
        <n v="21.059999999999995"/>
        <n v="71.859999999999985"/>
        <n v="175.24"/>
        <n v="9.240000000000002"/>
        <n v="167.29000000000002"/>
        <n v="86.13"/>
        <n v="13.949999999999996"/>
        <n v="76.820000000000007"/>
        <n v="21.900000000000002"/>
        <n v="133.06"/>
        <n v="47.05"/>
        <n v="39.54"/>
        <n v="62.739999999999995"/>
        <n v="66.650000000000006"/>
        <n v="146.02000000000001"/>
        <n v="10.959999999999994"/>
        <n v="40.880000000000003"/>
        <n v="150.94"/>
        <n v="63.849999999999994"/>
        <n v="128.09"/>
        <n v="87.58"/>
        <n v="120.98000000000002"/>
        <n v="165.95999999999998"/>
        <n v="74.58"/>
        <n v="177.06"/>
        <n v="33.19"/>
        <n v="3.7300000000000004"/>
        <n v="112.2"/>
        <n v="119.64000000000001"/>
        <n v="186.53"/>
        <n v="120.31"/>
        <n v="121.8"/>
        <n v="19.800000000000004"/>
        <n v="20.9"/>
        <n v="142.82999999999998"/>
        <n v="26.89"/>
        <n v="105.58"/>
        <n v="113.12"/>
        <n v="21.22"/>
        <n v="97.86999999999999"/>
        <n v="33.270000000000003"/>
        <n v="161.12"/>
        <n v="39.83"/>
        <n v="108.65"/>
        <n v="136.01000000000002"/>
        <n v="21.36"/>
        <n v="67.509999999999991"/>
        <n v="8.11"/>
        <n v="82.08"/>
        <n v="92.27000000000001"/>
        <n v="86.41"/>
        <n v="124.25"/>
        <n v="102.35000000000001"/>
        <n v="179.48"/>
        <n v="2.990000000000002"/>
        <n v="0.38000000000000256"/>
        <n v="104.16000000000001"/>
        <n v="64.320000000000007"/>
        <n v="147.63999999999999"/>
        <n v="145.35"/>
        <n v="147.73999999999998"/>
        <n v="18.139999999999993"/>
        <n v="46.65"/>
        <n v="83.02"/>
        <n v="152.84"/>
        <n v="95.940000000000012"/>
        <n v="113.00999999999999"/>
        <n v="36.46"/>
        <n v="-16.690000000000005"/>
        <n v="65.02000000000001"/>
        <n v="98.34"/>
        <n v="48.550000000000004"/>
        <n v="114.14"/>
        <n v="91.56"/>
        <n v="179.04999999999998"/>
        <n v="134.12"/>
        <n v="89.46"/>
        <n v="-7.2800000000000011"/>
        <n v="151.20000000000002"/>
        <n v="83.18"/>
        <n v="62.89"/>
        <n v="133.04000000000002"/>
        <n v="144.83000000000001"/>
        <n v="132.80000000000001"/>
        <n v="140.76000000000002"/>
        <n v="73.84"/>
        <n v="144.56"/>
        <n v="-20.94"/>
        <n v="54.52"/>
        <n v="71.97999999999999"/>
        <n v="41.460000000000008"/>
        <n v="-0.55999999999999517"/>
        <n v="83.239999999999981"/>
        <n v="21.280000000000008"/>
        <n v="88.009999999999991"/>
        <n v="129.19"/>
        <n v="114.88"/>
        <n v="101.30000000000001"/>
        <n v="65.550000000000011"/>
        <n v="17.43"/>
        <n v="99.78"/>
        <n v="90.54"/>
        <n v="36.559999999999995"/>
        <n v="99.75"/>
        <n v="161.31"/>
        <n v="153.54"/>
        <n v="-16.990000000000002"/>
        <n v="147.01"/>
        <n v="72.640000000000015"/>
        <n v="30.65"/>
        <n v="43.74"/>
        <n v="84.8"/>
        <n v="169.02"/>
        <n v="80.460000000000008"/>
        <n v="61.730000000000004"/>
        <n v="104.14"/>
        <n v="17.310000000000002"/>
        <n v="81.31"/>
        <n v="17.360000000000003"/>
        <n v="105.39"/>
        <n v="26.400000000000006"/>
        <n v="28.720000000000002"/>
        <n v="128.35"/>
        <n v="54.86"/>
        <n v="155.91"/>
        <n v="109.94000000000001"/>
        <n v="115.9"/>
        <n v="75.430000000000007"/>
        <n v="134.03"/>
        <n v="8.370000000000001"/>
        <n v="130.31"/>
        <n v="135.97"/>
        <n v="141.85999999999999"/>
        <n v="83.56"/>
        <n v="87.2"/>
        <n v="103.07000000000001"/>
        <n v="94.789999999999992"/>
        <n v="20.080000000000002"/>
        <n v="18.409999999999997"/>
        <n v="137.15"/>
        <n v="134.16000000000003"/>
        <n v="48.43"/>
        <n v="76.800000000000011"/>
        <n v="125.18"/>
        <n v="56.080000000000005"/>
        <n v="42.680000000000007"/>
        <n v="47.169999999999995"/>
        <n v="118.58000000000001"/>
        <n v="-17.78"/>
        <n v="171.85999999999999"/>
        <n v="152.07"/>
        <n v="77.41"/>
        <n v="19.16"/>
        <n v="23.31"/>
        <n v="114.42999999999999"/>
        <n v="33.25"/>
        <n v="101.24000000000001"/>
        <n v="79.180000000000007"/>
        <n v="92.19"/>
        <n v="15.280000000000001"/>
        <n v="95.81"/>
        <n v="132.45999999999998"/>
        <n v="50.120000000000005"/>
        <n v="103.02"/>
        <n v="106.73999999999998"/>
        <n v="115.09"/>
        <n v="13.629999999999995"/>
        <n v="26.409999999999997"/>
        <n v="94.179999999999978"/>
        <n v="97.899999999999991"/>
        <n v="40.670000000000009"/>
        <n v="8.14"/>
        <n v="21.96"/>
        <n v="180.14000000000001"/>
        <n v="144.45999999999998"/>
        <n v="107.82000000000001"/>
        <n v="27.4"/>
        <n v="181.78"/>
        <n v="117.28"/>
        <n v="42.480000000000004"/>
        <n v="119.64999999999999"/>
        <n v="143.59"/>
        <n v="155.1"/>
        <n v="193.9"/>
        <n v="63.089999999999996"/>
        <n v="81.830000000000013"/>
        <n v="120.18"/>
        <n v="104.36000000000001"/>
        <n v="75.760000000000005"/>
        <n v="41.36"/>
        <n v="132.05000000000001"/>
        <n v="18.21"/>
        <n v="116.94"/>
        <n v="70.75"/>
        <n v="88.850000000000009"/>
        <n v="118.48"/>
        <n v="91.11"/>
        <n v="4.0600000000000023"/>
        <n v="17.199999999999996"/>
        <n v="56.399999999999991"/>
        <n v="157.44999999999999"/>
        <n v="148.13"/>
        <n v="93.59"/>
        <n v="6.57"/>
        <n v="100.11000000000001"/>
        <n v="72.91"/>
        <n v="53.29"/>
        <n v="121.68"/>
        <n v="72.03"/>
        <n v="40.89"/>
        <n v="150.33000000000001"/>
        <n v="107.83"/>
        <n v="170.6"/>
        <n v="61.19"/>
        <n v="13.910000000000004"/>
        <n v="71.37"/>
        <n v="106.64"/>
        <n v="152.19"/>
        <n v="16.199999999999996"/>
        <n v="87.63"/>
        <n v="160.44999999999999"/>
        <n v="158.4"/>
        <n v="47.97"/>
        <n v="139.67999999999998"/>
        <n v="166.97"/>
        <n v="47.41"/>
        <n v="24.38"/>
        <n v="54.14"/>
        <n v="57.539999999999992"/>
        <n v="148.54"/>
        <n v="112.42"/>
        <n v="110.74000000000001"/>
        <n v="-1.2999999999999972"/>
        <n v="34.690000000000005"/>
        <n v="42.790000000000006"/>
        <n v="118.10999999999999"/>
        <n v="76.88"/>
        <n v="128.59"/>
        <n v="7.2100000000000009"/>
        <n v="167.61"/>
        <n v="36.61"/>
        <n v="33.890000000000008"/>
        <n v="12.069999999999997"/>
        <n v="147.01999999999998"/>
        <n v="107.49000000000001"/>
        <n v="175.54"/>
        <n v="-0.50999999999999801"/>
        <n v="91.16"/>
        <n v="101.72999999999999"/>
        <n v="24.57"/>
        <n v="51.46"/>
        <n v="147.84"/>
        <n v="81.81"/>
        <n v="95.970000000000013"/>
        <n v="5.0600000000000023"/>
        <n v="156.54"/>
        <n v="153.01999999999998"/>
        <n v="10.75"/>
        <n v="21.550000000000004"/>
        <n v="13.069999999999997"/>
        <n v="38.409999999999997"/>
        <n v="125.45000000000002"/>
        <n v="80.55"/>
        <n v="86.9"/>
        <n v="76.55"/>
        <n v="141.55000000000001"/>
        <n v="76.33"/>
        <n v="132.28"/>
        <n v="139.5"/>
        <n v="57.28"/>
        <n v="75.989999999999995"/>
        <n v="98.1"/>
        <n v="49.55"/>
        <n v="136.4"/>
        <n v="3.8400000000000034"/>
        <n v="31.5"/>
        <n v="157.33000000000001"/>
        <n v="128.22"/>
        <n v="133.88999999999999"/>
        <n v="82.74"/>
        <n v="40.640000000000008"/>
        <n v="137.61000000000001"/>
        <n v="121.66000000000001"/>
        <n v="141.01"/>
        <n v="139.94999999999999"/>
        <n v="146.97999999999999"/>
        <n v="71.900000000000006"/>
        <n v="104.75"/>
        <n v="124.46000000000001"/>
        <n v="154.94"/>
        <n v="15.329999999999998"/>
        <n v="148.27000000000001"/>
        <n v="164.69"/>
        <n v="154.76"/>
        <n v="103.58"/>
        <n v="31.839999999999996"/>
        <n v="92.07"/>
        <n v="147.81"/>
        <n v="54.629999999999995"/>
        <n v="27.810000000000002"/>
        <n v="178.42"/>
        <n v="55.970000000000006"/>
        <n v="70.05"/>
        <n v="159.76"/>
        <n v="122.49000000000001"/>
        <n v="7.68"/>
        <n v="-14.500000000000004"/>
        <n v="108.86000000000001"/>
        <n v="90.429999999999993"/>
        <n v="83"/>
        <n v="67.91"/>
        <n v="62.77"/>
        <n v="67.16"/>
        <n v="156.51000000000002"/>
        <n v="87.59"/>
        <n v="34.57"/>
        <n v="104.16999999999999"/>
        <n v="34.14"/>
        <n v="37.86"/>
        <n v="15.299999999999999"/>
        <n v="-6.6900000000000048"/>
        <n v="174.73"/>
        <n v="13.3"/>
        <n v="38.58"/>
        <n v="76.03"/>
        <n v="52.19"/>
        <n v="2.7900000000000027"/>
        <n v="-19.979999999999997"/>
        <n v="117.94000000000001"/>
        <n v="13.599999999999998"/>
        <n v="143.81"/>
        <n v="41.59"/>
        <n v="62.03"/>
        <n v="112.03"/>
        <n v="157.12"/>
        <n v="133.57000000000002"/>
        <n v="109.99"/>
        <n v="89.4"/>
        <n v="131.5"/>
        <n v="140.69"/>
        <n v="42.94"/>
        <n v="-12.530000000000001"/>
        <n v="48.099999999999994"/>
        <n v="129.1"/>
        <n v="-10.930000000000003"/>
        <n v="130.4"/>
        <n v="58.94"/>
        <n v="92.39"/>
        <n v="21.740000000000002"/>
        <n v="132.96"/>
        <n v="68.539999999999992"/>
        <n v="131.91"/>
        <n v="11.36"/>
        <n v="93.42"/>
        <n v="133.62"/>
        <n v="-8.7700000000000031"/>
        <n v="154.01"/>
        <n v="55.41"/>
        <n v="150.4"/>
        <n v="142.60999999999999"/>
        <n v="108.47"/>
        <n v="0.30999999999999517"/>
        <n v="167.32"/>
        <n v="120.06000000000002"/>
        <n v="85.240000000000009"/>
        <n v="150.13"/>
        <n v="151.51"/>
        <n v="148.88"/>
        <n v="92.31"/>
        <n v="86.44"/>
        <n v="195.04000000000002"/>
        <n v="28.22"/>
        <n v="141.16999999999999"/>
        <n v="65.95"/>
        <n v="134.27000000000001"/>
        <n v="-15.159999999999997"/>
        <n v="15.299999999999997"/>
        <n v="22.18"/>
        <n v="87.48"/>
        <n v="147.93"/>
        <n v="107.81"/>
        <n v="90.9"/>
        <n v="94.169999999999987"/>
        <n v="25.75"/>
        <n v="35.270000000000003"/>
        <n v="62.78"/>
        <n v="5.68"/>
        <n v="37.629999999999995"/>
        <n v="158.53000000000003"/>
        <n v="114.67999999999999"/>
        <n v="168.01999999999998"/>
        <n v="89.210000000000008"/>
        <n v="55.4"/>
        <n v="15.759999999999998"/>
        <n v="126.19"/>
        <n v="61.019999999999996"/>
        <n v="160.24"/>
        <n v="31.000000000000007"/>
        <n v="124.57000000000001"/>
        <n v="119.67000000000002"/>
        <n v="19.849999999999998"/>
        <n v="70.639999999999986"/>
        <n v="33.51"/>
        <n v="1.3299999999999983"/>
        <n v="99.91"/>
        <n v="138.76999999999998"/>
        <n v="147.21"/>
        <n v="-2.4600000000000009"/>
        <n v="3.6899999999999977"/>
        <n v="16.97"/>
        <n v="76.47999999999999"/>
        <n v="131.33000000000001"/>
        <n v="140.88"/>
        <n v="19.649999999999999"/>
        <n v="148.57"/>
        <n v="141.78"/>
        <n v="116.41999999999999"/>
        <n v="89.13000000000001"/>
        <n v="21.83"/>
        <n v="28.519999999999996"/>
        <n v="112.09"/>
        <n v="124.96000000000001"/>
        <n v="141.61000000000001"/>
        <n v="113.29999999999998"/>
        <n v="163.83000000000001"/>
        <n v="39.370000000000005"/>
        <n v="188.47"/>
        <n v="157.98999999999998"/>
        <n v="14.980000000000004"/>
        <n v="58.360000000000007"/>
        <n v="123.52000000000001"/>
        <n v="28.42"/>
        <n v="155.07999999999998"/>
        <n v="19.729999999999997"/>
        <n v="129.13000000000002"/>
        <n v="154.36000000000001"/>
        <n v="13.290000000000003"/>
        <n v="103.41"/>
        <n v="139.09"/>
        <n v="-9.6700000000000017"/>
        <n v="140.84"/>
        <n v="163.56"/>
        <n v="127.5"/>
        <n v="118.42999999999999"/>
        <n v="82.14"/>
        <n v="-11.079999999999998"/>
        <n v="120.30000000000001"/>
        <n v="39.85"/>
        <n v="67.39"/>
        <n v="157.43"/>
        <n v="62.009999999999991"/>
        <n v="158.54000000000002"/>
        <n v="119.89999999999999"/>
        <n v="143.22"/>
        <n v="54.51"/>
        <n v="33.630000000000003"/>
        <n v="23.33"/>
        <n v="41.96"/>
        <n v="170.99"/>
        <n v="7.5"/>
        <n v="159.98999999999998"/>
        <n v="37.83"/>
        <n v="128.81"/>
        <n v="101.57000000000001"/>
        <n v="120.47"/>
        <n v="165.91000000000003"/>
        <n v="65.150000000000006"/>
        <n v="72.679999999999993"/>
        <n v="30.410000000000004"/>
        <n v="148.01000000000002"/>
        <n v="105.91"/>
        <n v="144.91999999999999"/>
        <n v="168.5"/>
        <n v="129.78"/>
        <n v="138.28"/>
        <n v="150.81"/>
        <n v="86.950000000000017"/>
        <n v="47"/>
        <n v="78.16"/>
        <n v="94.66"/>
        <n v="140.63000000000002"/>
        <n v="145.99"/>
        <n v="120.28"/>
        <n v="22.78"/>
        <n v="154.85000000000002"/>
        <n v="-15.45"/>
        <n v="37.44"/>
        <n v="101.39999999999999"/>
        <n v="121.43999999999998"/>
        <n v="25.97"/>
        <n v="163.74"/>
        <n v="142.14000000000001"/>
        <n v="84.24"/>
        <n v="144.65"/>
        <n v="132.10999999999999"/>
        <n v="118.81"/>
        <n v="55.26"/>
        <n v="42.31"/>
        <n v="133.44"/>
        <n v="26.970000000000006"/>
        <n v="181.27"/>
        <n v="174.12"/>
        <n v="111.60000000000001"/>
        <n v="78.53"/>
        <n v="103.03"/>
        <n v="98.420000000000016"/>
        <n v="65.44"/>
        <n v="71.599999999999994"/>
        <n v="21.53"/>
        <n v="79.34"/>
        <n v="149.01000000000002"/>
        <n v="120.57000000000001"/>
        <n v="131.60999999999999"/>
        <n v="54.47"/>
        <n v="1.3099999999999987"/>
        <n v="-18.310000000000002"/>
        <n v="-1.990000000000002"/>
        <n v="60.11"/>
        <n v="-19.16"/>
        <n v="117.94"/>
        <n v="95.72"/>
        <n v="146.9"/>
        <n v="26.979999999999997"/>
        <n v="184.32000000000002"/>
        <n v="102.06"/>
        <n v="30.61"/>
        <n v="46.360000000000007"/>
        <n v="60.04"/>
        <n v="69.97"/>
        <n v="112.49000000000001"/>
        <n v="114.5"/>
        <n v="151.82000000000002"/>
        <n v="149.57"/>
        <n v="75.52000000000001"/>
        <n v="23.639999999999993"/>
        <n v="126.29999999999998"/>
        <n v="-9.509999999999998"/>
        <n v="-1.1500000000000057"/>
        <n v="17.05"/>
        <n v="73.760000000000005"/>
        <n v="39.74"/>
        <n v="93.179999999999993"/>
        <n v="104.55"/>
        <n v="179.12"/>
        <n v="30.39"/>
        <n v="29.19"/>
        <n v="121.12"/>
        <n v="22.330000000000005"/>
        <n v="5.889999999999997"/>
        <n v="99.06"/>
        <n v="165.04"/>
        <n v="136.94999999999999"/>
        <n v="-12.380000000000003"/>
        <n v="46.790000000000006"/>
        <n v="67.449999999999989"/>
        <n v="14.939999999999998"/>
        <n v="184.43"/>
        <n v="83.45"/>
        <n v="135.52000000000001"/>
        <n v="1.9200000000000017"/>
        <n v="197.97"/>
        <n v="116.67000000000002"/>
        <n v="155.76000000000002"/>
        <n v="122.37"/>
        <n v="-3.129999999999999"/>
        <n v="124.59"/>
        <n v="81.97"/>
        <n v="167.19"/>
        <n v="73.62"/>
        <n v="98.28"/>
        <n v="54.160000000000004"/>
        <n v="176.45999999999998"/>
        <n v="66.849999999999994"/>
        <n v="178.83"/>
        <n v="157.19"/>
        <n v="154.13"/>
        <n v="94.75"/>
        <n v="46.93"/>
        <n v="166.06"/>
        <n v="167.65"/>
        <n v="99.68"/>
        <n v="90.22"/>
        <n v="28.47"/>
        <n v="72.23"/>
        <n v="98.05"/>
        <n v="-8.3799999999999955"/>
        <n v="91.47999999999999"/>
        <n v="85.44"/>
        <n v="-19.22"/>
        <n v="79.819999999999993"/>
        <n v="7.6999999999999993"/>
        <n v="82.200000000000017"/>
        <n v="89.259999999999991"/>
        <n v="-0.5400000000000027"/>
        <n v="-25.019999999999996"/>
        <n v="160.69"/>
        <n v="161.61000000000001"/>
        <n v="163.72"/>
        <n v="94.7"/>
        <n v="-22.9"/>
        <n v="174.14000000000001"/>
        <n v="150.66"/>
        <n v="37.519999999999996"/>
        <n v="41.11"/>
        <n v="49.06"/>
        <n v="124.52000000000001"/>
        <n v="143.49"/>
        <n v="169.65"/>
        <n v="69.77"/>
        <n v="136.35"/>
        <n v="33.819999999999993"/>
        <n v="86.67"/>
        <n v="151.31"/>
        <n v="5.3599999999999994"/>
        <n v="31.35"/>
        <n v="95.6"/>
        <n v="134.41"/>
        <n v="152.41"/>
        <n v="129.77999999999997"/>
        <n v="28.79"/>
        <n v="25.72"/>
        <n v="123.49000000000001"/>
        <n v="91.68"/>
        <n v="56.72"/>
        <n v="173.38"/>
        <n v="144.42999999999998"/>
        <n v="142.55000000000001"/>
        <n v="123.36000000000001"/>
        <n v="-6.0800000000000054"/>
        <n v="132.41999999999999"/>
        <n v="36.760000000000005"/>
        <n v="126.42000000000002"/>
        <n v="155.42000000000002"/>
        <n v="36.01"/>
        <n v="67.28"/>
        <n v="35.57"/>
        <n v="10.670000000000002"/>
        <n v="12.79"/>
        <n v="25.779999999999998"/>
        <n v="-19.779999999999998"/>
        <n v="75.11"/>
        <n v="113.74"/>
        <n v="33.36"/>
        <n v="138.63999999999999"/>
        <n v="38.669999999999995"/>
        <n v="-21.7"/>
        <n v="46.190000000000005"/>
        <n v="76.69"/>
        <n v="84.7"/>
        <n v="131.88999999999999"/>
        <n v="178.6"/>
        <n v="100.46"/>
        <n v="85.57"/>
        <n v="82.62"/>
        <n v="167.07"/>
        <n v="171.95"/>
        <n v="37.610000000000007"/>
        <n v="51.41"/>
        <n v="131.9"/>
        <n v="76.16"/>
        <n v="132.34"/>
        <n v="112.8"/>
        <n v="97.47999999999999"/>
        <n v="94.03"/>
        <n v="167.63000000000002"/>
        <n v="153.25"/>
        <n v="141.89999999999998"/>
        <n v="155.53"/>
        <n v="133.18"/>
        <n v="93.960000000000008"/>
        <n v="139.41"/>
        <n v="62.71"/>
        <n v="115.08000000000001"/>
        <n v="93.38"/>
        <n v="145.85"/>
        <n v="146.94"/>
        <n v="150.52000000000001"/>
        <n v="27.089999999999996"/>
        <n v="83.4"/>
        <n v="64.03"/>
        <n v="35.22"/>
        <n v="153.97"/>
        <n v="25.870000000000005"/>
        <n v="151.15"/>
        <n v="14.39"/>
        <n v="179.66"/>
        <n v="93.589999999999989"/>
        <n v="4.68"/>
        <n v="27.86"/>
        <n v="45.45"/>
        <n v="54.639999999999993"/>
        <n v="96.88000000000001"/>
        <n v="42.22"/>
        <n v="-13.439999999999998"/>
        <n v="55.99"/>
        <n v="22.689999999999998"/>
        <n v="10.470000000000006"/>
        <n v="130.08999999999997"/>
        <n v="154.82"/>
        <n v="145.47999999999999"/>
        <n v="157.36000000000001"/>
        <n v="68.72999999999999"/>
        <n v="55.34"/>
        <n v="14.009999999999998"/>
        <n v="21.810000000000002"/>
        <n v="66.16"/>
        <n v="-6.6400000000000006"/>
        <n v="91.61"/>
        <n v="146.73999999999998"/>
        <n v="189.45"/>
        <n v="12.180000000000003"/>
        <n v="64.81"/>
        <n v="119.52"/>
        <n v="-14.169999999999998"/>
        <n v="57.550000000000004"/>
        <n v="121.42000000000002"/>
        <n v="165.45"/>
        <n v="25.2"/>
        <n v="187.12"/>
        <n v="115.71000000000001"/>
        <n v="65.739999999999995"/>
        <n v="4.620000000000001"/>
        <n v="-5.5200000000000031"/>
        <n v="53.419999999999995"/>
        <n v="82.419999999999987"/>
        <n v="108.62"/>
        <n v="109.58"/>
        <n v="-8.4499999999999957"/>
        <n v="145.72"/>
        <n v="166.09"/>
        <n v="-15.820000000000004"/>
        <n v="136.51"/>
        <n v="113.77"/>
        <n v="115.46"/>
        <n v="120.42"/>
        <n v="98.41"/>
        <n v="88.37"/>
        <n v="158.67000000000002"/>
        <n v="127.42"/>
        <n v="31.619999999999997"/>
        <n v="8.9199999999999982"/>
        <n v="109.38"/>
        <n v="80.2"/>
        <n v="125.27000000000001"/>
        <n v="77.849999999999994"/>
        <n v="166.35999999999999"/>
        <n v="138.70000000000002"/>
        <n v="116.67"/>
        <n v="96.69"/>
        <n v="96.759999999999991"/>
        <n v="107.76000000000002"/>
        <n v="99.890000000000015"/>
        <n v="71.740000000000009"/>
        <n v="128.27000000000001"/>
        <n v="144.63"/>
        <n v="109.31"/>
        <n v="186.72"/>
        <n v="106.32000000000001"/>
        <n v="43.220000000000006"/>
        <n v="-4.1899999999999977"/>
        <n v="109.94999999999999"/>
        <n v="119.08999999999999"/>
        <n v="110.68"/>
        <n v="147.86000000000001"/>
        <n v="176.03"/>
        <n v="115.29999999999998"/>
        <n v="82.990000000000009"/>
        <n v="44.019999999999996"/>
        <n v="-17.04"/>
        <n v="24.86"/>
        <n v="73.81"/>
        <n v="44.02"/>
        <n v="83.63"/>
        <n v="32.549999999999997"/>
        <n v="24.709999999999997"/>
        <n v="139.16"/>
        <n v="159.83000000000001"/>
        <n v="52.900000000000006"/>
        <n v="36.82"/>
        <n v="111.01"/>
        <n v="41.53"/>
        <n v="45.499999999999993"/>
        <n v="63.42"/>
        <n v="108.44"/>
        <n v="91.22"/>
        <n v="163.99"/>
        <n v="145.74"/>
        <n v="38.94"/>
        <n v="169.54999999999998"/>
        <n v="170.79"/>
        <n v="33.369999999999997"/>
        <n v="-7.519999999999996"/>
        <n v="33.53"/>
        <n v="28.48"/>
        <n v="146.47"/>
        <n v="120.55000000000001"/>
        <n v="107.4"/>
        <n v="150.19999999999999"/>
        <n v="10.740000000000002"/>
        <n v="72.73"/>
        <n v="119.68999999999998"/>
        <n v="136.15"/>
        <n v="181.3"/>
        <n v="167.55999999999997"/>
        <n v="74.81"/>
        <n v="169.48"/>
        <n v="71.009999999999991"/>
        <n v="117.33999999999999"/>
        <n v="174.60000000000002"/>
        <n v="123.75"/>
        <n v="23.630000000000003"/>
        <n v="54.58"/>
        <n v="-3.7700000000000031"/>
        <n v="153.48000000000002"/>
        <n v="28.150000000000002"/>
        <n v="60.339999999999996"/>
        <n v="125.69000000000001"/>
        <n v="121.89"/>
        <n v="168.07"/>
        <n v="31.62"/>
        <n v="107.72"/>
        <n v="-26.060000000000002"/>
        <n v="168.76"/>
        <n v="14.580000000000005"/>
        <n v="23.13"/>
        <n v="77.319999999999993"/>
        <n v="-14.310000000000002"/>
        <n v="77.3"/>
        <n v="102.02"/>
        <n v="27.62"/>
        <n v="4.240000000000002"/>
        <n v="52.620000000000005"/>
        <n v="50.690000000000005"/>
        <n v="0.23999999999999844"/>
        <n v="6.6400000000000006"/>
        <n v="136.18"/>
        <n v="146.57"/>
        <n v="167.26000000000002"/>
        <n v="116.67999999999999"/>
        <n v="135.13"/>
        <n v="156.11000000000001"/>
        <n v="102.79"/>
        <n v="114.38"/>
        <n v="142.53"/>
        <n v="149.19999999999999"/>
        <n v="21.180000000000003"/>
        <n v="130.83999999999997"/>
        <n v="92.6"/>
        <n v="59.639999999999993"/>
        <n v="13.25"/>
        <n v="79.679999999999993"/>
        <n v="163.23000000000002"/>
        <n v="113.97"/>
        <n v="20.420000000000002"/>
        <n v="60.410000000000004"/>
        <n v="149.75"/>
        <n v="111.33999999999999"/>
        <n v="111.69"/>
        <n v="67.81"/>
        <n v="50.929999999999993"/>
        <n v="115.81"/>
        <n v="53.220000000000006"/>
        <n v="160.87"/>
        <n v="40.70000000000001"/>
        <n v="123.05"/>
        <n v="-2.2999999999999972"/>
        <n v="97.759999999999991"/>
        <n v="54.32"/>
        <n v="31.360000000000003"/>
        <n v="124.51000000000002"/>
        <n v="187.18"/>
        <n v="31.669999999999995"/>
        <n v="122.58999999999999"/>
        <n v="123.89999999999999"/>
        <n v="-6.759999999999998"/>
        <n v="144.92000000000002"/>
        <n v="113.88"/>
        <n v="-16.610000000000003"/>
        <n v="144.11000000000001"/>
        <n v="127.56"/>
        <n v="51.100000000000009"/>
        <n v="62.12"/>
        <n v="-11.559999999999999"/>
        <n v="114.99"/>
        <n v="152.56"/>
        <n v="167.73000000000002"/>
        <n v="40.450000000000003"/>
        <n v="53.95"/>
        <n v="119.66"/>
        <n v="75.790000000000006"/>
        <n v="135.18"/>
        <n v="35.599999999999994"/>
        <n v="68.63000000000001"/>
        <n v="97.570000000000007"/>
        <n v="162.57999999999998"/>
        <n v="4.9600000000000009"/>
        <n v="95.07"/>
        <n v="60.68"/>
        <n v="162.26999999999998"/>
        <n v="22.230000000000004"/>
        <n v="1.3800000000000026"/>
        <n v="72.95"/>
        <n v="97.82"/>
        <n v="82.88"/>
        <n v="71.72"/>
        <n v="22.74"/>
        <n v="41.81"/>
        <n v="160.89000000000001"/>
        <n v="-24.859999999999996"/>
        <n v="96.58"/>
        <n v="43.050000000000004"/>
        <n v="86.2"/>
        <n v="128.45999999999998"/>
        <n v="141.76"/>
        <n v="142"/>
        <n v="9.870000000000001"/>
        <n v="108.04"/>
        <n v="-6.2199999999999989"/>
        <n v="168.66"/>
        <n v="62.28"/>
        <n v="36.76"/>
        <n v="126.68999999999998"/>
        <n v="171.78"/>
        <n v="91.29"/>
        <n v="63.93"/>
        <n v="65.78"/>
        <n v="79.509999999999991"/>
        <n v="77.330000000000013"/>
        <n v="22.349999999999998"/>
        <n v="186.29000000000002"/>
        <n v="147.69999999999999"/>
        <n v="6.35"/>
        <n v="136.10000000000002"/>
        <n v="38.190000000000005"/>
        <n v="-4.1999999999999993"/>
        <n v="114.38000000000001"/>
        <n v="77.69"/>
        <n v="141.98000000000002"/>
        <n v="175.56"/>
        <n v="53.6"/>
        <n v="148.58000000000001"/>
        <n v="25.84"/>
        <n v="74.009999999999991"/>
        <n v="126.43"/>
        <n v="11.82"/>
        <n v="61.3"/>
        <n v="155.13"/>
        <n v="89.91"/>
        <n v="60.58"/>
        <n v="71.5"/>
        <n v="143.80000000000001"/>
        <n v="31.58"/>
        <n v="175.45"/>
        <n v="165.22"/>
        <n v="120.51000000000002"/>
        <n v="74.12"/>
        <n v="92.139999999999986"/>
        <n v="13.709999999999999"/>
        <n v="35.24"/>
        <n v="2.7299999999999969"/>
        <n v="101.88"/>
        <n v="105.45000000000002"/>
        <n v="31.69"/>
        <n v="86.26"/>
        <n v="140.01"/>
        <n v="-10.100000000000001"/>
        <n v="98.330000000000013"/>
        <n v="114.53"/>
        <n v="113.07000000000001"/>
        <n v="171.73999999999998"/>
        <n v="24.319999999999993"/>
        <n v="56.9"/>
        <n v="152.68"/>
        <n v="22.83"/>
        <n v="-3.8399999999999963"/>
        <n v="-0.35999999999999943"/>
        <n v="180.21"/>
        <n v="137.22"/>
        <n v="-5.9400000000000048"/>
        <n v="8.1000000000000014"/>
        <n v="123.19"/>
        <n v="68.580000000000013"/>
        <n v="26.67"/>
        <n v="69.63"/>
        <n v="-10.550000000000004"/>
        <n v="2.6199999999999974"/>
        <n v="54.84"/>
        <n v="100.53"/>
        <n v="87.5"/>
        <n v="166.91"/>
        <n v="45.800000000000011"/>
        <n v="83.110000000000014"/>
        <n v="49.379999999999995"/>
        <n v="66.959999999999994"/>
        <n v="71.63"/>
        <n v="152.16"/>
        <n v="64.62"/>
        <n v="25.12"/>
        <n v="150.16000000000003"/>
        <n v="129.35000000000002"/>
        <n v="81.36"/>
        <n v="87.54"/>
        <n v="26.309999999999995"/>
        <n v="105.9"/>
        <n v="28.63"/>
        <n v="146.51999999999998"/>
        <n v="8.9399999999999977"/>
        <n v="19.78"/>
        <n v="43.1"/>
        <n v="182.72000000000003"/>
        <n v="158.59"/>
        <n v="117.03"/>
        <n v="110.80000000000001"/>
        <n v="119.30999999999999"/>
        <n v="-3.6799999999999997"/>
        <n v="20.03"/>
        <n v="67.919999999999987"/>
        <n v="132.01"/>
        <n v="109.01"/>
        <n v="68.55"/>
        <n v="8.9600000000000009"/>
        <n v="16.329999999999998"/>
        <n v="107.44999999999999"/>
        <n v="-1.1999999999999993"/>
        <n v="55.14"/>
        <n v="157.69"/>
        <n v="123.47"/>
        <n v="124.36999999999999"/>
        <n v="119.92000000000002"/>
        <n v="45.43"/>
        <n v="92.96"/>
        <n v="118.29000000000002"/>
        <n v="79.06"/>
        <n v="76.72"/>
        <n v="187.71"/>
        <n v="7.9000000000000021"/>
        <n v="114.96000000000001"/>
        <n v="77.569999999999993"/>
        <n v="130.5"/>
        <n v="117.77000000000001"/>
        <n v="90.36"/>
        <n v="92.51"/>
        <n v="8.5100000000000016"/>
        <n v="114.63"/>
        <n v="1.1699999999999946"/>
        <n v="68.11"/>
        <n v="48.68"/>
        <n v="111.09"/>
        <n v="134.51000000000002"/>
        <n v="54.480000000000004"/>
        <n v="134.87"/>
        <n v="34.659999999999997"/>
        <n v="67.639999999999986"/>
        <n v="96.84"/>
        <n v="96.670000000000016"/>
        <n v="156.71999999999997"/>
        <n v="138.53"/>
        <n v="63.419999999999995"/>
        <n v="67.11"/>
        <n v="150.01999999999998"/>
        <n v="67.570000000000007"/>
        <n v="87.66"/>
        <n v="72.930000000000007"/>
        <n v="144.94999999999999"/>
        <n v="100.67"/>
        <n v="159.04"/>
        <n v="42.249999999999993"/>
        <n v="21.39"/>
        <n v="81.25"/>
        <n v="174.05"/>
        <n v="151"/>
        <n v="-7.5400000000000027"/>
        <n v="71.28"/>
        <n v="74.180000000000007"/>
        <n v="108.11000000000001"/>
        <n v="99.460000000000008"/>
        <n v="73.790000000000006"/>
        <n v="57.44"/>
        <n v="122.96999999999998"/>
        <n v="104.32000000000001"/>
        <n v="66.67"/>
        <n v="133.61000000000001"/>
        <n v="24.310000000000002"/>
        <n v="180.88"/>
        <n v="164.33"/>
        <n v="101.69999999999999"/>
        <n v="149.15"/>
        <n v="144.08000000000001"/>
        <n v="126.67"/>
        <n v="48.87"/>
        <n v="-8.07"/>
        <n v="31.759999999999998"/>
        <n v="114.91"/>
        <n v="-15.71"/>
        <n v="135.08000000000001"/>
        <n v="48.489999999999995"/>
        <n v="158.1"/>
        <n v="27.47"/>
        <n v="89.399999999999991"/>
        <n v="89.850000000000009"/>
        <n v="94.12"/>
        <n v="20.97"/>
        <n v="55.529999999999994"/>
        <n v="43.44"/>
        <n v="128.94999999999999"/>
        <n v="44.359999999999992"/>
        <n v="-16.63"/>
        <n v="98.18"/>
        <n v="93.82"/>
        <n v="98.919999999999987"/>
        <n v="35.25"/>
        <n v="84.23"/>
        <n v="160.55000000000001"/>
        <n v="103.11"/>
        <n v="96"/>
        <n v="103.43999999999998"/>
        <n v="14.77"/>
        <n v="98.07"/>
        <n v="170.02"/>
        <n v="77.28"/>
        <n v="91.59"/>
        <n v="7.1300000000000026"/>
        <n v="169.31"/>
        <n v="159.94999999999999"/>
        <n v="143.71"/>
      </sharedItems>
    </cacheField>
    <cacheField name="Category" numFmtId="0">
      <sharedItems count="2">
        <s v="Service"/>
        <s v="Product"/>
      </sharedItems>
    </cacheField>
    <cacheField name="Month" numFmtId="0">
      <sharedItems containsSemiMixedTypes="0" containsString="0" containsNumber="1" containsInteger="1" minValue="1" maxValue="4" count="4">
        <n v="2"/>
        <n v="4"/>
        <n v="1"/>
        <n v="3"/>
      </sharedItems>
    </cacheField>
    <cacheField name="Season" numFmtId="0">
      <sharedItems count="2">
        <s v="Winter"/>
        <s v="Spring"/>
      </sharedItems>
    </cacheField>
    <cacheField name="AOV" numFmtId="0">
      <sharedItems containsSemiMixedTypes="0" containsString="0" containsNumber="1" minValue="0" maxValue="198.87"/>
    </cacheField>
  </cacheFields>
  <extLst>
    <ext xmlns:x14="http://schemas.microsoft.com/office/spreadsheetml/2009/9/main" uri="{725AE2AE-9491-48be-B2B4-4EB974FC3084}">
      <x14:pivotCacheDefinition pivotCacheId="17572150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d v="2024-02-08T00:00:00"/>
    <x v="0"/>
    <x v="0"/>
    <x v="0"/>
    <n v="164.7"/>
    <n v="9.34"/>
    <n v="2"/>
    <n v="48675.899999999936"/>
    <x v="0"/>
    <n v="16.633832976445394"/>
    <x v="0"/>
    <x v="0"/>
    <x v="0"/>
    <x v="0"/>
    <n v="82.35"/>
  </r>
  <r>
    <d v="2024-04-05T00:00:00"/>
    <x v="1"/>
    <x v="1"/>
    <x v="1"/>
    <n v="90.56"/>
    <n v="34.67"/>
    <n v="1"/>
    <n v="58562.910000000018"/>
    <x v="1"/>
    <n v="1.6120565330256706"/>
    <x v="1"/>
    <x v="0"/>
    <x v="1"/>
    <x v="1"/>
    <n v="90.56"/>
  </r>
  <r>
    <d v="2024-04-21T00:00:00"/>
    <x v="2"/>
    <x v="0"/>
    <x v="0"/>
    <n v="110.04"/>
    <n v="36.26"/>
    <n v="0"/>
    <n v="58562.910000000018"/>
    <x v="1"/>
    <n v="2.0347490347490349"/>
    <x v="2"/>
    <x v="0"/>
    <x v="1"/>
    <x v="1"/>
    <n v="0"/>
  </r>
  <r>
    <d v="2024-01-05T00:00:00"/>
    <x v="0"/>
    <x v="2"/>
    <x v="1"/>
    <n v="167.05"/>
    <n v="23.35"/>
    <n v="0"/>
    <n v="61207.979999999989"/>
    <x v="1"/>
    <n v="6.1541755888650966"/>
    <x v="3"/>
    <x v="0"/>
    <x v="2"/>
    <x v="0"/>
    <n v="0"/>
  </r>
  <r>
    <d v="2024-02-14T00:00:00"/>
    <x v="2"/>
    <x v="0"/>
    <x v="1"/>
    <n v="36.81"/>
    <n v="32.43"/>
    <n v="1"/>
    <n v="48675.899999999936"/>
    <x v="0"/>
    <n v="0.1350601295097133"/>
    <x v="4"/>
    <x v="0"/>
    <x v="0"/>
    <x v="0"/>
    <n v="36.81"/>
  </r>
  <r>
    <d v="2024-03-25T00:00:00"/>
    <x v="1"/>
    <x v="2"/>
    <x v="1"/>
    <n v="114.61"/>
    <n v="47.36"/>
    <n v="0"/>
    <n v="54735.250000000029"/>
    <x v="0"/>
    <n v="1.4199746621621623"/>
    <x v="5"/>
    <x v="1"/>
    <x v="3"/>
    <x v="1"/>
    <n v="0"/>
  </r>
  <r>
    <d v="2024-04-16T00:00:00"/>
    <x v="3"/>
    <x v="1"/>
    <x v="0"/>
    <n v="160.51"/>
    <n v="44.98"/>
    <n v="0"/>
    <n v="58562.910000000018"/>
    <x v="1"/>
    <n v="2.5684748777234327"/>
    <x v="6"/>
    <x v="0"/>
    <x v="1"/>
    <x v="1"/>
    <n v="0"/>
  </r>
  <r>
    <d v="2024-03-27T00:00:00"/>
    <x v="1"/>
    <x v="2"/>
    <x v="0"/>
    <n v="159.33000000000001"/>
    <n v="20.71"/>
    <n v="3"/>
    <n v="54735.250000000029"/>
    <x v="0"/>
    <n v="6.6933848382423946"/>
    <x v="7"/>
    <x v="1"/>
    <x v="3"/>
    <x v="1"/>
    <n v="53.110000000000007"/>
  </r>
  <r>
    <d v="2024-02-26T00:00:00"/>
    <x v="3"/>
    <x v="2"/>
    <x v="1"/>
    <n v="106.57"/>
    <n v="22.83"/>
    <n v="2"/>
    <n v="48675.899999999936"/>
    <x v="0"/>
    <n v="3.6679807271134472"/>
    <x v="8"/>
    <x v="1"/>
    <x v="0"/>
    <x v="0"/>
    <n v="53.284999999999997"/>
  </r>
  <r>
    <d v="2024-04-03T00:00:00"/>
    <x v="0"/>
    <x v="1"/>
    <x v="1"/>
    <n v="62.08"/>
    <n v="22.2"/>
    <n v="2"/>
    <n v="58562.910000000018"/>
    <x v="1"/>
    <n v="1.7963963963963963"/>
    <x v="9"/>
    <x v="0"/>
    <x v="1"/>
    <x v="1"/>
    <n v="31.04"/>
  </r>
  <r>
    <d v="2024-02-11T00:00:00"/>
    <x v="0"/>
    <x v="2"/>
    <x v="1"/>
    <n v="92.95"/>
    <n v="39.07"/>
    <n v="3"/>
    <n v="48675.899999999936"/>
    <x v="0"/>
    <n v="1.3790632198617865"/>
    <x v="10"/>
    <x v="0"/>
    <x v="0"/>
    <x v="0"/>
    <n v="30.983333333333334"/>
  </r>
  <r>
    <d v="2024-04-24T00:00:00"/>
    <x v="1"/>
    <x v="1"/>
    <x v="0"/>
    <n v="103.65"/>
    <n v="19.72"/>
    <n v="2"/>
    <n v="58562.910000000018"/>
    <x v="1"/>
    <n v="4.2560851926977694"/>
    <x v="11"/>
    <x v="0"/>
    <x v="1"/>
    <x v="1"/>
    <n v="51.825000000000003"/>
  </r>
  <r>
    <d v="2024-02-03T00:00:00"/>
    <x v="0"/>
    <x v="1"/>
    <x v="0"/>
    <n v="161.08000000000001"/>
    <n v="43.51"/>
    <n v="2"/>
    <n v="48675.899999999936"/>
    <x v="0"/>
    <n v="2.7021374396690421"/>
    <x v="12"/>
    <x v="1"/>
    <x v="0"/>
    <x v="0"/>
    <n v="80.540000000000006"/>
  </r>
  <r>
    <d v="2024-03-03T00:00:00"/>
    <x v="4"/>
    <x v="1"/>
    <x v="1"/>
    <n v="111.35"/>
    <n v="3.19"/>
    <n v="1"/>
    <n v="54735.250000000029"/>
    <x v="0"/>
    <n v="33.905956112852664"/>
    <x v="13"/>
    <x v="0"/>
    <x v="3"/>
    <x v="1"/>
    <n v="111.35"/>
  </r>
  <r>
    <d v="2024-01-17T00:00:00"/>
    <x v="3"/>
    <x v="0"/>
    <x v="0"/>
    <n v="89.81"/>
    <n v="29.68"/>
    <n v="2"/>
    <n v="61207.979999999989"/>
    <x v="1"/>
    <n v="2.0259433962264151"/>
    <x v="14"/>
    <x v="1"/>
    <x v="2"/>
    <x v="0"/>
    <n v="44.905000000000001"/>
  </r>
  <r>
    <d v="2024-01-03T00:00:00"/>
    <x v="1"/>
    <x v="1"/>
    <x v="1"/>
    <n v="113.33"/>
    <n v="23.98"/>
    <n v="2"/>
    <n v="61207.979999999989"/>
    <x v="1"/>
    <n v="3.7260216847372809"/>
    <x v="15"/>
    <x v="1"/>
    <x v="2"/>
    <x v="0"/>
    <n v="56.664999999999999"/>
  </r>
  <r>
    <d v="2024-02-28T00:00:00"/>
    <x v="2"/>
    <x v="1"/>
    <x v="1"/>
    <n v="46.47"/>
    <n v="37.28"/>
    <n v="0"/>
    <n v="48675.899999999936"/>
    <x v="0"/>
    <n v="0.24651287553648063"/>
    <x v="16"/>
    <x v="0"/>
    <x v="0"/>
    <x v="0"/>
    <n v="0"/>
  </r>
  <r>
    <d v="2024-01-13T00:00:00"/>
    <x v="4"/>
    <x v="1"/>
    <x v="1"/>
    <n v="180.16"/>
    <n v="11.23"/>
    <n v="0"/>
    <n v="61207.979999999989"/>
    <x v="1"/>
    <n v="15.042742653606412"/>
    <x v="17"/>
    <x v="0"/>
    <x v="2"/>
    <x v="0"/>
    <n v="0"/>
  </r>
  <r>
    <d v="2024-01-31T00:00:00"/>
    <x v="1"/>
    <x v="2"/>
    <x v="0"/>
    <n v="173.19"/>
    <n v="18.920000000000002"/>
    <n v="1"/>
    <n v="61207.979999999989"/>
    <x v="1"/>
    <n v="8.1538054968287508"/>
    <x v="18"/>
    <x v="0"/>
    <x v="2"/>
    <x v="0"/>
    <n v="173.19"/>
  </r>
  <r>
    <d v="2024-02-11T00:00:00"/>
    <x v="0"/>
    <x v="2"/>
    <x v="1"/>
    <n v="198.79"/>
    <n v="30.84"/>
    <n v="1"/>
    <n v="48675.899999999936"/>
    <x v="0"/>
    <n v="5.4458495460440979"/>
    <x v="19"/>
    <x v="0"/>
    <x v="0"/>
    <x v="0"/>
    <n v="198.79"/>
  </r>
  <r>
    <d v="2024-04-08T00:00:00"/>
    <x v="3"/>
    <x v="1"/>
    <x v="1"/>
    <n v="192.01"/>
    <n v="16.940000000000001"/>
    <n v="1"/>
    <n v="58562.910000000018"/>
    <x v="1"/>
    <n v="10.334710743801653"/>
    <x v="20"/>
    <x v="1"/>
    <x v="1"/>
    <x v="1"/>
    <n v="192.01"/>
  </r>
  <r>
    <d v="2024-03-10T00:00:00"/>
    <x v="0"/>
    <x v="2"/>
    <x v="1"/>
    <n v="83.13"/>
    <n v="8.93"/>
    <n v="0"/>
    <n v="54735.250000000029"/>
    <x v="0"/>
    <n v="8.3090705487122047"/>
    <x v="21"/>
    <x v="1"/>
    <x v="3"/>
    <x v="1"/>
    <n v="0"/>
  </r>
  <r>
    <d v="2024-02-22T00:00:00"/>
    <x v="3"/>
    <x v="0"/>
    <x v="1"/>
    <n v="192.33"/>
    <n v="48.27"/>
    <n v="2"/>
    <n v="48675.899999999936"/>
    <x v="0"/>
    <n v="2.9844623990055932"/>
    <x v="22"/>
    <x v="0"/>
    <x v="0"/>
    <x v="0"/>
    <n v="96.165000000000006"/>
  </r>
  <r>
    <d v="2024-01-16T00:00:00"/>
    <x v="0"/>
    <x v="1"/>
    <x v="0"/>
    <n v="172.6"/>
    <n v="36.99"/>
    <n v="2"/>
    <n v="61207.979999999989"/>
    <x v="1"/>
    <n v="3.6661259799945927"/>
    <x v="23"/>
    <x v="1"/>
    <x v="2"/>
    <x v="0"/>
    <n v="86.3"/>
  </r>
  <r>
    <d v="2024-01-18T00:00:00"/>
    <x v="4"/>
    <x v="2"/>
    <x v="1"/>
    <n v="171.38"/>
    <n v="15.23"/>
    <n v="2"/>
    <n v="61207.979999999989"/>
    <x v="1"/>
    <n v="10.252790544977019"/>
    <x v="24"/>
    <x v="1"/>
    <x v="2"/>
    <x v="0"/>
    <n v="85.69"/>
  </r>
  <r>
    <d v="2024-03-19T00:00:00"/>
    <x v="2"/>
    <x v="1"/>
    <x v="1"/>
    <n v="75.98"/>
    <n v="39.29"/>
    <n v="0"/>
    <n v="54735.250000000029"/>
    <x v="0"/>
    <n v="0.93382540086536026"/>
    <x v="25"/>
    <x v="0"/>
    <x v="3"/>
    <x v="1"/>
    <n v="0"/>
  </r>
  <r>
    <d v="2024-04-29T00:00:00"/>
    <x v="3"/>
    <x v="2"/>
    <x v="1"/>
    <n v="87.88"/>
    <n v="3.82"/>
    <n v="0"/>
    <n v="58562.910000000018"/>
    <x v="1"/>
    <n v="22.005235602094242"/>
    <x v="26"/>
    <x v="0"/>
    <x v="1"/>
    <x v="1"/>
    <n v="0"/>
  </r>
  <r>
    <d v="2024-03-19T00:00:00"/>
    <x v="0"/>
    <x v="0"/>
    <x v="0"/>
    <n v="90.95"/>
    <n v="35.25"/>
    <n v="2"/>
    <n v="54735.250000000029"/>
    <x v="0"/>
    <n v="1.5801418439716313"/>
    <x v="27"/>
    <x v="1"/>
    <x v="3"/>
    <x v="1"/>
    <n v="45.475000000000001"/>
  </r>
  <r>
    <d v="2024-02-14T00:00:00"/>
    <x v="3"/>
    <x v="1"/>
    <x v="1"/>
    <n v="85.12"/>
    <n v="22"/>
    <n v="2"/>
    <n v="48675.899999999936"/>
    <x v="0"/>
    <n v="2.8690909090909091"/>
    <x v="28"/>
    <x v="1"/>
    <x v="0"/>
    <x v="0"/>
    <n v="42.56"/>
  </r>
  <r>
    <d v="2024-03-14T00:00:00"/>
    <x v="3"/>
    <x v="0"/>
    <x v="1"/>
    <n v="100.37"/>
    <n v="49.27"/>
    <n v="3"/>
    <n v="54735.250000000029"/>
    <x v="0"/>
    <n v="1.037142277247818"/>
    <x v="29"/>
    <x v="1"/>
    <x v="3"/>
    <x v="1"/>
    <n v="33.456666666666671"/>
  </r>
  <r>
    <d v="2024-01-30T00:00:00"/>
    <x v="4"/>
    <x v="2"/>
    <x v="0"/>
    <n v="191.59"/>
    <n v="14.46"/>
    <n v="1"/>
    <n v="61207.979999999989"/>
    <x v="1"/>
    <n v="12.249654218533886"/>
    <x v="30"/>
    <x v="0"/>
    <x v="2"/>
    <x v="0"/>
    <n v="191.59"/>
  </r>
  <r>
    <d v="2024-03-03T00:00:00"/>
    <x v="1"/>
    <x v="2"/>
    <x v="1"/>
    <n v="167.52"/>
    <n v="26.77"/>
    <n v="0"/>
    <n v="54735.250000000029"/>
    <x v="0"/>
    <n v="5.2577512140455731"/>
    <x v="31"/>
    <x v="1"/>
    <x v="3"/>
    <x v="1"/>
    <n v="0"/>
  </r>
  <r>
    <d v="2024-03-06T00:00:00"/>
    <x v="3"/>
    <x v="1"/>
    <x v="1"/>
    <n v="143.06"/>
    <n v="21.22"/>
    <n v="3"/>
    <n v="54735.250000000029"/>
    <x v="0"/>
    <n v="5.7417530631479741"/>
    <x v="32"/>
    <x v="0"/>
    <x v="3"/>
    <x v="1"/>
    <n v="47.686666666666667"/>
  </r>
  <r>
    <d v="2024-03-31T00:00:00"/>
    <x v="1"/>
    <x v="2"/>
    <x v="0"/>
    <n v="63.35"/>
    <n v="43.39"/>
    <n v="0"/>
    <n v="54735.250000000029"/>
    <x v="0"/>
    <n v="0.46001382807098412"/>
    <x v="33"/>
    <x v="0"/>
    <x v="3"/>
    <x v="1"/>
    <n v="0"/>
  </r>
  <r>
    <d v="2024-03-09T00:00:00"/>
    <x v="2"/>
    <x v="1"/>
    <x v="0"/>
    <n v="93.59"/>
    <n v="9.11"/>
    <n v="1"/>
    <n v="54735.250000000029"/>
    <x v="0"/>
    <n v="9.2733260153677293"/>
    <x v="34"/>
    <x v="1"/>
    <x v="3"/>
    <x v="1"/>
    <n v="93.59"/>
  </r>
  <r>
    <d v="2024-03-22T00:00:00"/>
    <x v="2"/>
    <x v="2"/>
    <x v="1"/>
    <n v="76.91"/>
    <n v="18.11"/>
    <n v="0"/>
    <n v="54735.250000000029"/>
    <x v="0"/>
    <n v="3.2468249585864162"/>
    <x v="35"/>
    <x v="1"/>
    <x v="3"/>
    <x v="1"/>
    <n v="0"/>
  </r>
  <r>
    <d v="2024-01-03T00:00:00"/>
    <x v="2"/>
    <x v="1"/>
    <x v="1"/>
    <n v="90.41"/>
    <n v="20.23"/>
    <n v="3"/>
    <n v="61207.979999999989"/>
    <x v="1"/>
    <n v="3.4691052891744927"/>
    <x v="36"/>
    <x v="1"/>
    <x v="2"/>
    <x v="0"/>
    <n v="30.136666666666667"/>
  </r>
  <r>
    <d v="2024-02-16T00:00:00"/>
    <x v="2"/>
    <x v="1"/>
    <x v="0"/>
    <n v="180.29"/>
    <n v="41.66"/>
    <n v="3"/>
    <n v="48675.899999999936"/>
    <x v="0"/>
    <n v="3.3276524243879022"/>
    <x v="37"/>
    <x v="1"/>
    <x v="0"/>
    <x v="0"/>
    <n v="60.096666666666664"/>
  </r>
  <r>
    <d v="2024-04-21T00:00:00"/>
    <x v="2"/>
    <x v="0"/>
    <x v="1"/>
    <n v="95.64"/>
    <n v="8.57"/>
    <n v="1"/>
    <n v="58562.910000000018"/>
    <x v="1"/>
    <n v="10.159859976662776"/>
    <x v="38"/>
    <x v="0"/>
    <x v="1"/>
    <x v="1"/>
    <n v="95.64"/>
  </r>
  <r>
    <d v="2024-03-08T00:00:00"/>
    <x v="0"/>
    <x v="2"/>
    <x v="0"/>
    <n v="27.3"/>
    <n v="31.43"/>
    <n v="2"/>
    <n v="54735.250000000029"/>
    <x v="0"/>
    <n v="-0.13140311804008906"/>
    <x v="39"/>
    <x v="0"/>
    <x v="3"/>
    <x v="1"/>
    <n v="13.65"/>
  </r>
  <r>
    <d v="2024-03-07T00:00:00"/>
    <x v="2"/>
    <x v="0"/>
    <x v="0"/>
    <n v="51.63"/>
    <n v="27.16"/>
    <n v="1"/>
    <n v="54735.250000000029"/>
    <x v="0"/>
    <n v="0.90095729013254799"/>
    <x v="40"/>
    <x v="1"/>
    <x v="3"/>
    <x v="1"/>
    <n v="51.63"/>
  </r>
  <r>
    <d v="2024-02-25T00:00:00"/>
    <x v="1"/>
    <x v="0"/>
    <x v="0"/>
    <n v="148.76"/>
    <n v="1.56"/>
    <n v="1"/>
    <n v="48675.899999999936"/>
    <x v="0"/>
    <n v="94.358974358974351"/>
    <x v="41"/>
    <x v="1"/>
    <x v="0"/>
    <x v="0"/>
    <n v="148.76"/>
  </r>
  <r>
    <d v="2024-02-24T00:00:00"/>
    <x v="4"/>
    <x v="1"/>
    <x v="0"/>
    <n v="42.78"/>
    <n v="20.100000000000001"/>
    <n v="3"/>
    <n v="48675.899999999936"/>
    <x v="0"/>
    <n v="1.1283582089552238"/>
    <x v="42"/>
    <x v="0"/>
    <x v="0"/>
    <x v="0"/>
    <n v="14.26"/>
  </r>
  <r>
    <d v="2024-02-08T00:00:00"/>
    <x v="1"/>
    <x v="0"/>
    <x v="0"/>
    <n v="169.52"/>
    <n v="21.17"/>
    <n v="3"/>
    <n v="48675.899999999936"/>
    <x v="0"/>
    <n v="7.0075578649031653"/>
    <x v="43"/>
    <x v="0"/>
    <x v="0"/>
    <x v="0"/>
    <n v="56.506666666666668"/>
  </r>
  <r>
    <d v="2024-03-05T00:00:00"/>
    <x v="3"/>
    <x v="1"/>
    <x v="1"/>
    <n v="160.03"/>
    <n v="6"/>
    <n v="0"/>
    <n v="54735.250000000029"/>
    <x v="0"/>
    <n v="25.671666666666667"/>
    <x v="44"/>
    <x v="1"/>
    <x v="3"/>
    <x v="1"/>
    <n v="0"/>
  </r>
  <r>
    <d v="2024-04-01T00:00:00"/>
    <x v="2"/>
    <x v="0"/>
    <x v="0"/>
    <n v="85.48"/>
    <n v="4.05"/>
    <n v="0"/>
    <n v="58562.910000000018"/>
    <x v="1"/>
    <n v="20.106172839506176"/>
    <x v="45"/>
    <x v="1"/>
    <x v="1"/>
    <x v="1"/>
    <n v="0"/>
  </r>
  <r>
    <d v="2024-01-29T00:00:00"/>
    <x v="4"/>
    <x v="2"/>
    <x v="0"/>
    <n v="172.06"/>
    <n v="8.3699999999999992"/>
    <n v="0"/>
    <n v="61207.979999999989"/>
    <x v="1"/>
    <n v="19.556750298685785"/>
    <x v="46"/>
    <x v="0"/>
    <x v="2"/>
    <x v="0"/>
    <n v="0"/>
  </r>
  <r>
    <d v="2024-03-16T00:00:00"/>
    <x v="4"/>
    <x v="1"/>
    <x v="1"/>
    <n v="148.19999999999999"/>
    <n v="40.07"/>
    <n v="3"/>
    <n v="54735.250000000029"/>
    <x v="0"/>
    <n v="2.6985275767407035"/>
    <x v="47"/>
    <x v="0"/>
    <x v="3"/>
    <x v="1"/>
    <n v="49.4"/>
  </r>
  <r>
    <d v="2024-01-23T00:00:00"/>
    <x v="0"/>
    <x v="1"/>
    <x v="1"/>
    <n v="28.12"/>
    <n v="49.13"/>
    <n v="3"/>
    <n v="61207.979999999989"/>
    <x v="1"/>
    <n v="-0.42764095257480156"/>
    <x v="48"/>
    <x v="1"/>
    <x v="2"/>
    <x v="0"/>
    <n v="9.3733333333333331"/>
  </r>
  <r>
    <d v="2024-04-18T00:00:00"/>
    <x v="0"/>
    <x v="2"/>
    <x v="1"/>
    <n v="155.91"/>
    <n v="40.729999999999997"/>
    <n v="2"/>
    <n v="58562.910000000018"/>
    <x v="1"/>
    <n v="2.8278909894426718"/>
    <x v="49"/>
    <x v="0"/>
    <x v="1"/>
    <x v="1"/>
    <n v="77.954999999999998"/>
  </r>
  <r>
    <d v="2024-03-08T00:00:00"/>
    <x v="0"/>
    <x v="2"/>
    <x v="1"/>
    <n v="46.14"/>
    <n v="46.94"/>
    <n v="0"/>
    <n v="54735.250000000029"/>
    <x v="0"/>
    <n v="-1.7043033659991418E-2"/>
    <x v="50"/>
    <x v="1"/>
    <x v="3"/>
    <x v="1"/>
    <n v="0"/>
  </r>
  <r>
    <d v="2024-03-07T00:00:00"/>
    <x v="3"/>
    <x v="1"/>
    <x v="1"/>
    <n v="61.47"/>
    <n v="6.73"/>
    <n v="3"/>
    <n v="54735.250000000029"/>
    <x v="0"/>
    <n v="8.1337295690936102"/>
    <x v="51"/>
    <x v="1"/>
    <x v="3"/>
    <x v="1"/>
    <n v="20.49"/>
  </r>
  <r>
    <d v="2024-01-14T00:00:00"/>
    <x v="1"/>
    <x v="1"/>
    <x v="0"/>
    <n v="149.6"/>
    <n v="18.66"/>
    <n v="0"/>
    <n v="61207.979999999989"/>
    <x v="1"/>
    <n v="7.017148981779207"/>
    <x v="52"/>
    <x v="0"/>
    <x v="2"/>
    <x v="0"/>
    <n v="0"/>
  </r>
  <r>
    <d v="2024-01-07T00:00:00"/>
    <x v="4"/>
    <x v="2"/>
    <x v="1"/>
    <n v="170.44"/>
    <n v="20.25"/>
    <n v="2"/>
    <n v="61207.979999999989"/>
    <x v="1"/>
    <n v="7.4167901234567903"/>
    <x v="53"/>
    <x v="1"/>
    <x v="2"/>
    <x v="0"/>
    <n v="85.22"/>
  </r>
  <r>
    <d v="2024-04-14T00:00:00"/>
    <x v="0"/>
    <x v="2"/>
    <x v="1"/>
    <n v="149.97"/>
    <n v="25.84"/>
    <n v="1"/>
    <n v="58562.910000000018"/>
    <x v="1"/>
    <n v="4.8037925696594428"/>
    <x v="54"/>
    <x v="0"/>
    <x v="1"/>
    <x v="1"/>
    <n v="149.97"/>
  </r>
  <r>
    <d v="2024-01-03T00:00:00"/>
    <x v="2"/>
    <x v="2"/>
    <x v="0"/>
    <n v="102.3"/>
    <n v="39.36"/>
    <n v="0"/>
    <n v="61207.979999999989"/>
    <x v="1"/>
    <n v="1.5990853658536586"/>
    <x v="55"/>
    <x v="0"/>
    <x v="2"/>
    <x v="0"/>
    <n v="0"/>
  </r>
  <r>
    <d v="2024-01-09T00:00:00"/>
    <x v="2"/>
    <x v="0"/>
    <x v="0"/>
    <n v="37.44"/>
    <n v="11.53"/>
    <n v="2"/>
    <n v="61207.979999999989"/>
    <x v="1"/>
    <n v="2.2471812662619253"/>
    <x v="56"/>
    <x v="1"/>
    <x v="2"/>
    <x v="0"/>
    <n v="18.72"/>
  </r>
  <r>
    <d v="2024-02-23T00:00:00"/>
    <x v="4"/>
    <x v="2"/>
    <x v="0"/>
    <n v="76.599999999999994"/>
    <n v="13.06"/>
    <n v="0"/>
    <n v="48675.899999999936"/>
    <x v="0"/>
    <n v="4.8652373660030621"/>
    <x v="57"/>
    <x v="0"/>
    <x v="0"/>
    <x v="0"/>
    <n v="0"/>
  </r>
  <r>
    <d v="2024-02-12T00:00:00"/>
    <x v="3"/>
    <x v="0"/>
    <x v="1"/>
    <n v="82.39"/>
    <n v="20.39"/>
    <n v="1"/>
    <n v="48675.899999999936"/>
    <x v="0"/>
    <n v="3.0407062285434034"/>
    <x v="58"/>
    <x v="0"/>
    <x v="0"/>
    <x v="0"/>
    <n v="82.39"/>
  </r>
  <r>
    <d v="2024-02-29T00:00:00"/>
    <x v="2"/>
    <x v="2"/>
    <x v="1"/>
    <n v="191.46"/>
    <n v="37.92"/>
    <n v="1"/>
    <n v="48675.899999999936"/>
    <x v="0"/>
    <n v="4.0490506329113929"/>
    <x v="59"/>
    <x v="0"/>
    <x v="0"/>
    <x v="0"/>
    <n v="191.46"/>
  </r>
  <r>
    <d v="2024-03-29T00:00:00"/>
    <x v="0"/>
    <x v="0"/>
    <x v="1"/>
    <n v="40.79"/>
    <n v="15.95"/>
    <n v="1"/>
    <n v="54735.250000000029"/>
    <x v="0"/>
    <n v="1.5573667711598747"/>
    <x v="60"/>
    <x v="0"/>
    <x v="3"/>
    <x v="1"/>
    <n v="40.79"/>
  </r>
  <r>
    <d v="2024-03-16T00:00:00"/>
    <x v="1"/>
    <x v="0"/>
    <x v="1"/>
    <n v="87.93"/>
    <n v="17.149999999999999"/>
    <n v="2"/>
    <n v="54735.250000000029"/>
    <x v="0"/>
    <n v="4.1271137026239071"/>
    <x v="61"/>
    <x v="1"/>
    <x v="3"/>
    <x v="1"/>
    <n v="43.965000000000003"/>
  </r>
  <r>
    <d v="2024-01-04T00:00:00"/>
    <x v="1"/>
    <x v="1"/>
    <x v="0"/>
    <n v="57.67"/>
    <n v="38.26"/>
    <n v="2"/>
    <n v="61207.979999999989"/>
    <x v="1"/>
    <n v="0.50731834814427612"/>
    <x v="62"/>
    <x v="1"/>
    <x v="2"/>
    <x v="0"/>
    <n v="28.835000000000001"/>
  </r>
  <r>
    <d v="2024-03-17T00:00:00"/>
    <x v="0"/>
    <x v="0"/>
    <x v="0"/>
    <n v="111.37"/>
    <n v="41.7"/>
    <n v="3"/>
    <n v="54735.250000000029"/>
    <x v="0"/>
    <n v="1.6707434052757792"/>
    <x v="63"/>
    <x v="1"/>
    <x v="3"/>
    <x v="1"/>
    <n v="37.123333333333335"/>
  </r>
  <r>
    <d v="2024-01-03T00:00:00"/>
    <x v="3"/>
    <x v="2"/>
    <x v="1"/>
    <n v="187.73"/>
    <n v="27.38"/>
    <n v="2"/>
    <n v="61207.979999999989"/>
    <x v="1"/>
    <n v="5.8564645726807889"/>
    <x v="64"/>
    <x v="0"/>
    <x v="2"/>
    <x v="0"/>
    <n v="93.864999999999995"/>
  </r>
  <r>
    <d v="2024-02-03T00:00:00"/>
    <x v="4"/>
    <x v="1"/>
    <x v="0"/>
    <n v="67.819999999999993"/>
    <n v="42.22"/>
    <n v="3"/>
    <n v="48675.899999999936"/>
    <x v="0"/>
    <n v="0.60634770251065839"/>
    <x v="65"/>
    <x v="0"/>
    <x v="0"/>
    <x v="0"/>
    <n v="22.606666666666666"/>
  </r>
  <r>
    <d v="2024-04-19T00:00:00"/>
    <x v="3"/>
    <x v="2"/>
    <x v="0"/>
    <n v="108.14"/>
    <n v="35.74"/>
    <n v="2"/>
    <n v="58562.910000000018"/>
    <x v="1"/>
    <n v="2.025741466144376"/>
    <x v="66"/>
    <x v="1"/>
    <x v="1"/>
    <x v="1"/>
    <n v="54.07"/>
  </r>
  <r>
    <d v="2024-01-26T00:00:00"/>
    <x v="1"/>
    <x v="1"/>
    <x v="1"/>
    <n v="97.58"/>
    <n v="31.74"/>
    <n v="1"/>
    <n v="61207.979999999989"/>
    <x v="1"/>
    <n v="2.0743541272841841"/>
    <x v="67"/>
    <x v="0"/>
    <x v="2"/>
    <x v="0"/>
    <n v="97.58"/>
  </r>
  <r>
    <d v="2024-04-13T00:00:00"/>
    <x v="1"/>
    <x v="0"/>
    <x v="0"/>
    <n v="86.89"/>
    <n v="34.979999999999997"/>
    <n v="0"/>
    <n v="58562.910000000018"/>
    <x v="1"/>
    <n v="1.4839908519153804"/>
    <x v="68"/>
    <x v="1"/>
    <x v="1"/>
    <x v="1"/>
    <n v="0"/>
  </r>
  <r>
    <d v="2024-02-14T00:00:00"/>
    <x v="0"/>
    <x v="2"/>
    <x v="1"/>
    <n v="33.82"/>
    <n v="47.88"/>
    <n v="1"/>
    <n v="48675.899999999936"/>
    <x v="0"/>
    <n v="-0.29365079365079366"/>
    <x v="69"/>
    <x v="0"/>
    <x v="0"/>
    <x v="0"/>
    <n v="33.82"/>
  </r>
  <r>
    <d v="2024-03-09T00:00:00"/>
    <x v="2"/>
    <x v="2"/>
    <x v="1"/>
    <n v="165.76"/>
    <n v="0.89"/>
    <n v="1"/>
    <n v="54735.250000000029"/>
    <x v="0"/>
    <n v="185.24719101123597"/>
    <x v="70"/>
    <x v="1"/>
    <x v="3"/>
    <x v="1"/>
    <n v="165.76"/>
  </r>
  <r>
    <d v="2024-04-29T00:00:00"/>
    <x v="1"/>
    <x v="2"/>
    <x v="1"/>
    <n v="68.83"/>
    <n v="5.69"/>
    <n v="1"/>
    <n v="58562.910000000018"/>
    <x v="1"/>
    <n v="11.096660808435852"/>
    <x v="71"/>
    <x v="0"/>
    <x v="1"/>
    <x v="1"/>
    <n v="68.83"/>
  </r>
  <r>
    <d v="2024-03-17T00:00:00"/>
    <x v="2"/>
    <x v="2"/>
    <x v="1"/>
    <n v="77.16"/>
    <n v="40.57"/>
    <n v="1"/>
    <n v="54735.250000000029"/>
    <x v="0"/>
    <n v="0.9018979541533152"/>
    <x v="72"/>
    <x v="0"/>
    <x v="3"/>
    <x v="1"/>
    <n v="77.16"/>
  </r>
  <r>
    <d v="2024-03-01T00:00:00"/>
    <x v="0"/>
    <x v="1"/>
    <x v="0"/>
    <n v="165"/>
    <n v="20.54"/>
    <n v="1"/>
    <n v="54735.250000000029"/>
    <x v="0"/>
    <n v="7.0331061343719581"/>
    <x v="73"/>
    <x v="1"/>
    <x v="3"/>
    <x v="1"/>
    <n v="165"/>
  </r>
  <r>
    <d v="2024-02-04T00:00:00"/>
    <x v="0"/>
    <x v="2"/>
    <x v="0"/>
    <n v="130.84"/>
    <n v="16.32"/>
    <n v="3"/>
    <n v="48675.899999999936"/>
    <x v="0"/>
    <n v="7.0171568627450984"/>
    <x v="74"/>
    <x v="0"/>
    <x v="0"/>
    <x v="0"/>
    <n v="43.613333333333337"/>
  </r>
  <r>
    <d v="2024-02-11T00:00:00"/>
    <x v="3"/>
    <x v="2"/>
    <x v="0"/>
    <n v="144.08000000000001"/>
    <n v="28.38"/>
    <n v="2"/>
    <n v="48675.899999999936"/>
    <x v="0"/>
    <n v="4.076814658210008"/>
    <x v="75"/>
    <x v="0"/>
    <x v="0"/>
    <x v="0"/>
    <n v="72.040000000000006"/>
  </r>
  <r>
    <d v="2024-03-28T00:00:00"/>
    <x v="3"/>
    <x v="2"/>
    <x v="0"/>
    <n v="193.46"/>
    <n v="36.04"/>
    <n v="1"/>
    <n v="54735.250000000029"/>
    <x v="0"/>
    <n v="4.367924528301887"/>
    <x v="76"/>
    <x v="0"/>
    <x v="3"/>
    <x v="1"/>
    <n v="193.46"/>
  </r>
  <r>
    <d v="2024-02-08T00:00:00"/>
    <x v="1"/>
    <x v="2"/>
    <x v="0"/>
    <n v="160.97999999999999"/>
    <n v="33.01"/>
    <n v="1"/>
    <n v="48675.899999999936"/>
    <x v="0"/>
    <n v="3.8767040290820964"/>
    <x v="77"/>
    <x v="1"/>
    <x v="0"/>
    <x v="0"/>
    <n v="160.97999999999999"/>
  </r>
  <r>
    <d v="2024-03-10T00:00:00"/>
    <x v="0"/>
    <x v="1"/>
    <x v="1"/>
    <n v="47.79"/>
    <n v="33.68"/>
    <n v="1"/>
    <n v="54735.250000000029"/>
    <x v="0"/>
    <n v="0.41894299287410924"/>
    <x v="78"/>
    <x v="1"/>
    <x v="3"/>
    <x v="1"/>
    <n v="47.79"/>
  </r>
  <r>
    <d v="2024-01-05T00:00:00"/>
    <x v="2"/>
    <x v="2"/>
    <x v="0"/>
    <n v="147.27000000000001"/>
    <n v="32.229999999999997"/>
    <n v="1"/>
    <n v="61207.979999999989"/>
    <x v="1"/>
    <n v="3.5693453304374816"/>
    <x v="79"/>
    <x v="0"/>
    <x v="2"/>
    <x v="0"/>
    <n v="147.27000000000001"/>
  </r>
  <r>
    <d v="2024-01-03T00:00:00"/>
    <x v="2"/>
    <x v="1"/>
    <x v="1"/>
    <n v="83.52"/>
    <n v="12.45"/>
    <n v="0"/>
    <n v="61207.979999999989"/>
    <x v="1"/>
    <n v="5.7084337349397591"/>
    <x v="80"/>
    <x v="1"/>
    <x v="2"/>
    <x v="0"/>
    <n v="0"/>
  </r>
  <r>
    <d v="2024-02-24T00:00:00"/>
    <x v="2"/>
    <x v="1"/>
    <x v="1"/>
    <n v="63.27"/>
    <n v="32.53"/>
    <n v="2"/>
    <n v="48675.899999999936"/>
    <x v="0"/>
    <n v="0.94497387027359359"/>
    <x v="81"/>
    <x v="1"/>
    <x v="0"/>
    <x v="0"/>
    <n v="31.635000000000002"/>
  </r>
  <r>
    <d v="2024-03-12T00:00:00"/>
    <x v="4"/>
    <x v="0"/>
    <x v="1"/>
    <n v="198.87"/>
    <n v="49.28"/>
    <n v="1"/>
    <n v="54735.250000000029"/>
    <x v="0"/>
    <n v="3.0355113636363638"/>
    <x v="82"/>
    <x v="0"/>
    <x v="3"/>
    <x v="1"/>
    <n v="198.87"/>
  </r>
  <r>
    <d v="2024-03-22T00:00:00"/>
    <x v="1"/>
    <x v="0"/>
    <x v="0"/>
    <n v="189.59"/>
    <n v="2.97"/>
    <n v="1"/>
    <n v="54735.250000000029"/>
    <x v="0"/>
    <n v="62.83501683501683"/>
    <x v="83"/>
    <x v="1"/>
    <x v="3"/>
    <x v="1"/>
    <n v="189.59"/>
  </r>
  <r>
    <d v="2024-01-06T00:00:00"/>
    <x v="1"/>
    <x v="2"/>
    <x v="0"/>
    <n v="154.76"/>
    <n v="49.69"/>
    <n v="2"/>
    <n v="61207.979999999989"/>
    <x v="1"/>
    <n v="2.1145099617629302"/>
    <x v="84"/>
    <x v="1"/>
    <x v="2"/>
    <x v="0"/>
    <n v="77.38"/>
  </r>
  <r>
    <d v="2024-02-09T00:00:00"/>
    <x v="2"/>
    <x v="0"/>
    <x v="1"/>
    <n v="121.99"/>
    <n v="32.18"/>
    <n v="0"/>
    <n v="48675.899999999936"/>
    <x v="0"/>
    <n v="2.7908638906152889"/>
    <x v="85"/>
    <x v="1"/>
    <x v="0"/>
    <x v="0"/>
    <n v="0"/>
  </r>
  <r>
    <d v="2024-04-11T00:00:00"/>
    <x v="1"/>
    <x v="2"/>
    <x v="0"/>
    <n v="182.47"/>
    <n v="6.51"/>
    <n v="0"/>
    <n v="58562.910000000018"/>
    <x v="1"/>
    <n v="27.029185867895546"/>
    <x v="86"/>
    <x v="0"/>
    <x v="1"/>
    <x v="1"/>
    <n v="0"/>
  </r>
  <r>
    <d v="2024-04-17T00:00:00"/>
    <x v="3"/>
    <x v="1"/>
    <x v="0"/>
    <n v="158.22999999999999"/>
    <n v="25.48"/>
    <n v="0"/>
    <n v="58562.910000000018"/>
    <x v="1"/>
    <n v="5.2099686028257457"/>
    <x v="87"/>
    <x v="0"/>
    <x v="1"/>
    <x v="1"/>
    <n v="0"/>
  </r>
  <r>
    <d v="2024-04-27T00:00:00"/>
    <x v="0"/>
    <x v="1"/>
    <x v="0"/>
    <n v="119.93"/>
    <n v="31.69"/>
    <n v="3"/>
    <n v="58562.910000000018"/>
    <x v="1"/>
    <n v="2.7844745976648788"/>
    <x v="88"/>
    <x v="1"/>
    <x v="1"/>
    <x v="1"/>
    <n v="39.976666666666667"/>
  </r>
  <r>
    <d v="2024-02-13T00:00:00"/>
    <x v="0"/>
    <x v="2"/>
    <x v="1"/>
    <n v="196.76"/>
    <n v="7.52"/>
    <n v="2"/>
    <n v="48675.899999999936"/>
    <x v="0"/>
    <n v="25.164893617021274"/>
    <x v="89"/>
    <x v="1"/>
    <x v="0"/>
    <x v="0"/>
    <n v="98.38"/>
  </r>
  <r>
    <d v="2024-01-08T00:00:00"/>
    <x v="2"/>
    <x v="1"/>
    <x v="1"/>
    <n v="120.28"/>
    <n v="15.03"/>
    <n v="2"/>
    <n v="61207.979999999989"/>
    <x v="1"/>
    <n v="7.0026613439787093"/>
    <x v="90"/>
    <x v="1"/>
    <x v="2"/>
    <x v="0"/>
    <n v="60.14"/>
  </r>
  <r>
    <d v="2024-02-28T00:00:00"/>
    <x v="0"/>
    <x v="2"/>
    <x v="0"/>
    <n v="99.9"/>
    <n v="29.78"/>
    <n v="0"/>
    <n v="48675.899999999936"/>
    <x v="0"/>
    <n v="2.3546004029550036"/>
    <x v="91"/>
    <x v="0"/>
    <x v="0"/>
    <x v="0"/>
    <n v="0"/>
  </r>
  <r>
    <d v="2024-04-22T00:00:00"/>
    <x v="2"/>
    <x v="2"/>
    <x v="0"/>
    <n v="54.96"/>
    <n v="2.36"/>
    <n v="0"/>
    <n v="58562.910000000018"/>
    <x v="1"/>
    <n v="22.288135593220339"/>
    <x v="92"/>
    <x v="0"/>
    <x v="1"/>
    <x v="1"/>
    <n v="0"/>
  </r>
  <r>
    <d v="2024-01-14T00:00:00"/>
    <x v="1"/>
    <x v="0"/>
    <x v="0"/>
    <n v="77.209999999999994"/>
    <n v="39.700000000000003"/>
    <n v="1"/>
    <n v="61207.979999999989"/>
    <x v="1"/>
    <n v="0.94483627204030196"/>
    <x v="93"/>
    <x v="0"/>
    <x v="2"/>
    <x v="0"/>
    <n v="77.209999999999994"/>
  </r>
  <r>
    <d v="2024-01-03T00:00:00"/>
    <x v="2"/>
    <x v="1"/>
    <x v="0"/>
    <n v="56.29"/>
    <n v="19.88"/>
    <n v="2"/>
    <n v="61207.979999999989"/>
    <x v="1"/>
    <n v="1.8314889336016096"/>
    <x v="94"/>
    <x v="1"/>
    <x v="2"/>
    <x v="0"/>
    <n v="28.145"/>
  </r>
  <r>
    <d v="2024-02-02T00:00:00"/>
    <x v="2"/>
    <x v="1"/>
    <x v="1"/>
    <n v="82.77"/>
    <n v="48.36"/>
    <n v="3"/>
    <n v="48675.899999999936"/>
    <x v="0"/>
    <n v="0.71153846153846145"/>
    <x v="95"/>
    <x v="0"/>
    <x v="0"/>
    <x v="0"/>
    <n v="27.59"/>
  </r>
  <r>
    <d v="2024-03-14T00:00:00"/>
    <x v="0"/>
    <x v="2"/>
    <x v="0"/>
    <n v="94.96"/>
    <n v="15.13"/>
    <n v="0"/>
    <n v="54735.250000000029"/>
    <x v="0"/>
    <n v="5.2762723066754784"/>
    <x v="96"/>
    <x v="0"/>
    <x v="3"/>
    <x v="1"/>
    <n v="0"/>
  </r>
  <r>
    <d v="2024-01-24T00:00:00"/>
    <x v="4"/>
    <x v="0"/>
    <x v="0"/>
    <n v="196.69"/>
    <n v="13.99"/>
    <n v="2"/>
    <n v="61207.979999999989"/>
    <x v="1"/>
    <n v="13.059328091493922"/>
    <x v="97"/>
    <x v="1"/>
    <x v="2"/>
    <x v="0"/>
    <n v="98.344999999999999"/>
  </r>
  <r>
    <d v="2024-02-15T00:00:00"/>
    <x v="2"/>
    <x v="0"/>
    <x v="1"/>
    <n v="65.33"/>
    <n v="14.74"/>
    <n v="0"/>
    <n v="48675.899999999936"/>
    <x v="0"/>
    <n v="3.4321573948439617"/>
    <x v="98"/>
    <x v="1"/>
    <x v="0"/>
    <x v="0"/>
    <n v="0"/>
  </r>
  <r>
    <d v="2024-03-31T00:00:00"/>
    <x v="1"/>
    <x v="2"/>
    <x v="1"/>
    <n v="47.18"/>
    <n v="19.27"/>
    <n v="1"/>
    <n v="54735.250000000029"/>
    <x v="0"/>
    <n v="1.448365334717177"/>
    <x v="99"/>
    <x v="0"/>
    <x v="3"/>
    <x v="1"/>
    <n v="47.18"/>
  </r>
  <r>
    <d v="2024-03-17T00:00:00"/>
    <x v="3"/>
    <x v="0"/>
    <x v="1"/>
    <n v="71.989999999999995"/>
    <n v="5.9"/>
    <n v="1"/>
    <n v="54735.250000000029"/>
    <x v="0"/>
    <n v="11.201694915254235"/>
    <x v="100"/>
    <x v="0"/>
    <x v="3"/>
    <x v="1"/>
    <n v="71.989999999999995"/>
  </r>
  <r>
    <d v="2024-01-05T00:00:00"/>
    <x v="3"/>
    <x v="2"/>
    <x v="1"/>
    <n v="89.36"/>
    <n v="44.58"/>
    <n v="3"/>
    <n v="61207.979999999989"/>
    <x v="1"/>
    <n v="1.0044863167339615"/>
    <x v="101"/>
    <x v="0"/>
    <x v="2"/>
    <x v="0"/>
    <n v="29.786666666666665"/>
  </r>
  <r>
    <d v="2024-02-05T00:00:00"/>
    <x v="1"/>
    <x v="0"/>
    <x v="0"/>
    <n v="52.67"/>
    <n v="3.32"/>
    <n v="1"/>
    <n v="48675.899999999936"/>
    <x v="0"/>
    <n v="14.864457831325302"/>
    <x v="102"/>
    <x v="1"/>
    <x v="0"/>
    <x v="0"/>
    <n v="52.67"/>
  </r>
  <r>
    <d v="2024-01-18T00:00:00"/>
    <x v="0"/>
    <x v="2"/>
    <x v="0"/>
    <n v="116.62"/>
    <n v="27.86"/>
    <n v="2"/>
    <n v="61207.979999999989"/>
    <x v="1"/>
    <n v="3.1859296482412063"/>
    <x v="103"/>
    <x v="1"/>
    <x v="2"/>
    <x v="0"/>
    <n v="58.31"/>
  </r>
  <r>
    <d v="2024-04-21T00:00:00"/>
    <x v="3"/>
    <x v="0"/>
    <x v="1"/>
    <n v="133.06"/>
    <n v="32.869999999999997"/>
    <n v="2"/>
    <n v="58562.910000000018"/>
    <x v="1"/>
    <n v="3.0480681472467297"/>
    <x v="104"/>
    <x v="1"/>
    <x v="1"/>
    <x v="1"/>
    <n v="66.53"/>
  </r>
  <r>
    <d v="2024-01-05T00:00:00"/>
    <x v="3"/>
    <x v="0"/>
    <x v="1"/>
    <n v="31.65"/>
    <n v="26.64"/>
    <n v="2"/>
    <n v="61207.979999999989"/>
    <x v="1"/>
    <n v="0.18806306306306297"/>
    <x v="105"/>
    <x v="0"/>
    <x v="2"/>
    <x v="0"/>
    <n v="15.824999999999999"/>
  </r>
  <r>
    <d v="2024-02-09T00:00:00"/>
    <x v="1"/>
    <x v="0"/>
    <x v="1"/>
    <n v="85.78"/>
    <n v="22.54"/>
    <n v="2"/>
    <n v="48675.899999999936"/>
    <x v="0"/>
    <n v="2.8056787932564333"/>
    <x v="106"/>
    <x v="1"/>
    <x v="0"/>
    <x v="0"/>
    <n v="42.89"/>
  </r>
  <r>
    <d v="2024-01-12T00:00:00"/>
    <x v="0"/>
    <x v="0"/>
    <x v="0"/>
    <n v="121.12"/>
    <n v="6.41"/>
    <n v="1"/>
    <n v="61207.979999999989"/>
    <x v="1"/>
    <n v="17.895475819032761"/>
    <x v="107"/>
    <x v="1"/>
    <x v="2"/>
    <x v="0"/>
    <n v="121.12"/>
  </r>
  <r>
    <d v="2024-03-14T00:00:00"/>
    <x v="4"/>
    <x v="2"/>
    <x v="1"/>
    <n v="139.43"/>
    <n v="24.6"/>
    <n v="3"/>
    <n v="54735.250000000029"/>
    <x v="0"/>
    <n v="4.6678861788617887"/>
    <x v="108"/>
    <x v="1"/>
    <x v="3"/>
    <x v="1"/>
    <n v="46.476666666666667"/>
  </r>
  <r>
    <d v="2024-01-11T00:00:00"/>
    <x v="1"/>
    <x v="1"/>
    <x v="0"/>
    <n v="62.6"/>
    <n v="30.42"/>
    <n v="2"/>
    <n v="61207.979999999989"/>
    <x v="1"/>
    <n v="1.0578566732412886"/>
    <x v="109"/>
    <x v="0"/>
    <x v="2"/>
    <x v="0"/>
    <n v="31.3"/>
  </r>
  <r>
    <d v="2024-04-29T00:00:00"/>
    <x v="4"/>
    <x v="0"/>
    <x v="0"/>
    <n v="47.14"/>
    <n v="23.98"/>
    <n v="1"/>
    <n v="58562.910000000018"/>
    <x v="1"/>
    <n v="0.96580483736447043"/>
    <x v="110"/>
    <x v="0"/>
    <x v="1"/>
    <x v="1"/>
    <n v="47.14"/>
  </r>
  <r>
    <d v="2024-03-21T00:00:00"/>
    <x v="4"/>
    <x v="0"/>
    <x v="0"/>
    <n v="50.88"/>
    <n v="46.29"/>
    <n v="2"/>
    <n v="54735.250000000029"/>
    <x v="0"/>
    <n v="9.915748541801693E-2"/>
    <x v="111"/>
    <x v="1"/>
    <x v="3"/>
    <x v="1"/>
    <n v="25.44"/>
  </r>
  <r>
    <d v="2024-01-29T00:00:00"/>
    <x v="2"/>
    <x v="2"/>
    <x v="1"/>
    <n v="104.55"/>
    <n v="8.01"/>
    <n v="3"/>
    <n v="61207.979999999989"/>
    <x v="1"/>
    <n v="12.052434456928838"/>
    <x v="112"/>
    <x v="1"/>
    <x v="2"/>
    <x v="0"/>
    <n v="34.85"/>
  </r>
  <r>
    <d v="2024-04-02T00:00:00"/>
    <x v="3"/>
    <x v="2"/>
    <x v="1"/>
    <n v="47.24"/>
    <n v="48.33"/>
    <n v="3"/>
    <n v="58562.910000000018"/>
    <x v="1"/>
    <n v="-2.2553279536519685E-2"/>
    <x v="113"/>
    <x v="0"/>
    <x v="1"/>
    <x v="1"/>
    <n v="15.746666666666668"/>
  </r>
  <r>
    <d v="2024-04-10T00:00:00"/>
    <x v="4"/>
    <x v="2"/>
    <x v="1"/>
    <n v="71.760000000000005"/>
    <n v="26.16"/>
    <n v="2"/>
    <n v="58562.910000000018"/>
    <x v="1"/>
    <n v="1.7431192660550461"/>
    <x v="114"/>
    <x v="1"/>
    <x v="1"/>
    <x v="1"/>
    <n v="35.880000000000003"/>
  </r>
  <r>
    <d v="2024-04-13T00:00:00"/>
    <x v="1"/>
    <x v="0"/>
    <x v="0"/>
    <n v="124.2"/>
    <n v="23.82"/>
    <n v="1"/>
    <n v="58562.910000000018"/>
    <x v="1"/>
    <n v="4.214105793450881"/>
    <x v="115"/>
    <x v="0"/>
    <x v="1"/>
    <x v="1"/>
    <n v="124.2"/>
  </r>
  <r>
    <d v="2024-03-12T00:00:00"/>
    <x v="2"/>
    <x v="0"/>
    <x v="0"/>
    <n v="76.69"/>
    <n v="15.13"/>
    <n v="3"/>
    <n v="54735.250000000029"/>
    <x v="0"/>
    <n v="4.068737607402511"/>
    <x v="116"/>
    <x v="1"/>
    <x v="3"/>
    <x v="1"/>
    <n v="25.563333333333333"/>
  </r>
  <r>
    <d v="2024-02-24T00:00:00"/>
    <x v="3"/>
    <x v="1"/>
    <x v="0"/>
    <n v="152.1"/>
    <n v="23.96"/>
    <n v="0"/>
    <n v="48675.899999999936"/>
    <x v="0"/>
    <n v="5.3480801335559258"/>
    <x v="117"/>
    <x v="1"/>
    <x v="0"/>
    <x v="0"/>
    <n v="0"/>
  </r>
  <r>
    <d v="2024-03-18T00:00:00"/>
    <x v="4"/>
    <x v="1"/>
    <x v="0"/>
    <n v="85.3"/>
    <n v="22.84"/>
    <n v="1"/>
    <n v="54735.250000000029"/>
    <x v="0"/>
    <n v="2.7346760070052536"/>
    <x v="118"/>
    <x v="1"/>
    <x v="3"/>
    <x v="1"/>
    <n v="85.3"/>
  </r>
  <r>
    <d v="2024-02-10T00:00:00"/>
    <x v="3"/>
    <x v="0"/>
    <x v="1"/>
    <n v="128.28"/>
    <n v="8.01"/>
    <n v="0"/>
    <n v="48675.899999999936"/>
    <x v="0"/>
    <n v="15.014981273408239"/>
    <x v="119"/>
    <x v="1"/>
    <x v="0"/>
    <x v="0"/>
    <n v="0"/>
  </r>
  <r>
    <d v="2024-04-18T00:00:00"/>
    <x v="0"/>
    <x v="1"/>
    <x v="1"/>
    <n v="176.5"/>
    <n v="2.66"/>
    <n v="2"/>
    <n v="58562.910000000018"/>
    <x v="1"/>
    <n v="65.353383458646618"/>
    <x v="120"/>
    <x v="0"/>
    <x v="1"/>
    <x v="1"/>
    <n v="88.25"/>
  </r>
  <r>
    <d v="2024-01-10T00:00:00"/>
    <x v="3"/>
    <x v="0"/>
    <x v="0"/>
    <n v="107.61"/>
    <n v="4.4000000000000004"/>
    <n v="0"/>
    <n v="61207.979999999989"/>
    <x v="1"/>
    <n v="23.456818181818178"/>
    <x v="121"/>
    <x v="1"/>
    <x v="2"/>
    <x v="0"/>
    <n v="0"/>
  </r>
  <r>
    <d v="2024-02-08T00:00:00"/>
    <x v="4"/>
    <x v="0"/>
    <x v="0"/>
    <n v="35.89"/>
    <n v="2.8"/>
    <n v="1"/>
    <n v="48675.899999999936"/>
    <x v="0"/>
    <n v="11.817857142857145"/>
    <x v="122"/>
    <x v="1"/>
    <x v="0"/>
    <x v="0"/>
    <n v="35.89"/>
  </r>
  <r>
    <d v="2024-01-05T00:00:00"/>
    <x v="2"/>
    <x v="1"/>
    <x v="1"/>
    <n v="67.209999999999994"/>
    <n v="20.05"/>
    <n v="0"/>
    <n v="61207.979999999989"/>
    <x v="1"/>
    <n v="2.3521197007481294"/>
    <x v="123"/>
    <x v="0"/>
    <x v="2"/>
    <x v="0"/>
    <n v="0"/>
  </r>
  <r>
    <d v="2024-03-17T00:00:00"/>
    <x v="2"/>
    <x v="2"/>
    <x v="0"/>
    <n v="184.78"/>
    <n v="45.19"/>
    <n v="2"/>
    <n v="54735.250000000029"/>
    <x v="0"/>
    <n v="3.0889577340119496"/>
    <x v="124"/>
    <x v="1"/>
    <x v="3"/>
    <x v="1"/>
    <n v="92.39"/>
  </r>
  <r>
    <d v="2024-01-17T00:00:00"/>
    <x v="2"/>
    <x v="0"/>
    <x v="1"/>
    <n v="75.95"/>
    <n v="10.38"/>
    <n v="1"/>
    <n v="61207.979999999989"/>
    <x v="1"/>
    <n v="6.3169556840077075"/>
    <x v="125"/>
    <x v="0"/>
    <x v="2"/>
    <x v="0"/>
    <n v="75.95"/>
  </r>
  <r>
    <d v="2024-02-27T00:00:00"/>
    <x v="3"/>
    <x v="1"/>
    <x v="1"/>
    <n v="162.94"/>
    <n v="48.23"/>
    <n v="2"/>
    <n v="48675.899999999936"/>
    <x v="0"/>
    <n v="2.3783951897159445"/>
    <x v="107"/>
    <x v="1"/>
    <x v="0"/>
    <x v="0"/>
    <n v="81.47"/>
  </r>
  <r>
    <d v="2024-02-01T00:00:00"/>
    <x v="4"/>
    <x v="0"/>
    <x v="1"/>
    <n v="65.989999999999995"/>
    <n v="34.61"/>
    <n v="2"/>
    <n v="48675.899999999936"/>
    <x v="0"/>
    <n v="0.90667437156891062"/>
    <x v="126"/>
    <x v="0"/>
    <x v="0"/>
    <x v="0"/>
    <n v="32.994999999999997"/>
  </r>
  <r>
    <d v="2024-03-06T00:00:00"/>
    <x v="1"/>
    <x v="0"/>
    <x v="1"/>
    <n v="85.39"/>
    <n v="4.58"/>
    <n v="1"/>
    <n v="54735.250000000029"/>
    <x v="0"/>
    <n v="17.644104803493448"/>
    <x v="127"/>
    <x v="0"/>
    <x v="3"/>
    <x v="1"/>
    <n v="85.39"/>
  </r>
  <r>
    <d v="2024-01-11T00:00:00"/>
    <x v="4"/>
    <x v="1"/>
    <x v="1"/>
    <n v="111.05"/>
    <n v="19"/>
    <n v="2"/>
    <n v="61207.979999999989"/>
    <x v="1"/>
    <n v="4.844736842105263"/>
    <x v="128"/>
    <x v="0"/>
    <x v="2"/>
    <x v="0"/>
    <n v="55.524999999999999"/>
  </r>
  <r>
    <d v="2024-04-19T00:00:00"/>
    <x v="4"/>
    <x v="0"/>
    <x v="1"/>
    <n v="76.52"/>
    <n v="41.84"/>
    <n v="3"/>
    <n v="58562.910000000018"/>
    <x v="1"/>
    <n v="0.82887189292542995"/>
    <x v="129"/>
    <x v="1"/>
    <x v="1"/>
    <x v="1"/>
    <n v="25.506666666666664"/>
  </r>
  <r>
    <d v="2024-01-24T00:00:00"/>
    <x v="3"/>
    <x v="0"/>
    <x v="1"/>
    <n v="198.69"/>
    <n v="14.57"/>
    <n v="3"/>
    <n v="61207.979999999989"/>
    <x v="1"/>
    <n v="12.636925188743994"/>
    <x v="130"/>
    <x v="0"/>
    <x v="2"/>
    <x v="0"/>
    <n v="66.23"/>
  </r>
  <r>
    <d v="2024-02-03T00:00:00"/>
    <x v="4"/>
    <x v="0"/>
    <x v="1"/>
    <n v="46.08"/>
    <n v="10.41"/>
    <n v="2"/>
    <n v="48675.899999999936"/>
    <x v="0"/>
    <n v="3.4265129682997117"/>
    <x v="131"/>
    <x v="1"/>
    <x v="0"/>
    <x v="0"/>
    <n v="23.04"/>
  </r>
  <r>
    <d v="2024-02-22T00:00:00"/>
    <x v="0"/>
    <x v="2"/>
    <x v="1"/>
    <n v="148.28"/>
    <n v="46.84"/>
    <n v="3"/>
    <n v="48675.899999999936"/>
    <x v="0"/>
    <n v="2.1656703672075146"/>
    <x v="132"/>
    <x v="0"/>
    <x v="0"/>
    <x v="0"/>
    <n v="49.426666666666669"/>
  </r>
  <r>
    <d v="2024-02-17T00:00:00"/>
    <x v="1"/>
    <x v="2"/>
    <x v="0"/>
    <n v="89.07"/>
    <n v="26.89"/>
    <n v="3"/>
    <n v="48675.899999999936"/>
    <x v="0"/>
    <n v="2.3123837857939753"/>
    <x v="133"/>
    <x v="0"/>
    <x v="0"/>
    <x v="0"/>
    <n v="29.689999999999998"/>
  </r>
  <r>
    <d v="2024-01-19T00:00:00"/>
    <x v="3"/>
    <x v="1"/>
    <x v="1"/>
    <n v="92.53"/>
    <n v="15.48"/>
    <n v="0"/>
    <n v="61207.979999999989"/>
    <x v="1"/>
    <n v="4.9773901808785528"/>
    <x v="134"/>
    <x v="0"/>
    <x v="2"/>
    <x v="0"/>
    <n v="0"/>
  </r>
  <r>
    <d v="2024-02-06T00:00:00"/>
    <x v="3"/>
    <x v="2"/>
    <x v="0"/>
    <n v="22.23"/>
    <n v="2.38"/>
    <n v="0"/>
    <n v="48675.899999999936"/>
    <x v="0"/>
    <n v="8.3403361344537821"/>
    <x v="135"/>
    <x v="1"/>
    <x v="0"/>
    <x v="0"/>
    <n v="0"/>
  </r>
  <r>
    <d v="2024-01-16T00:00:00"/>
    <x v="1"/>
    <x v="1"/>
    <x v="1"/>
    <n v="193.16"/>
    <n v="30.41"/>
    <n v="1"/>
    <n v="61207.979999999989"/>
    <x v="1"/>
    <n v="5.3518579414666227"/>
    <x v="136"/>
    <x v="1"/>
    <x v="2"/>
    <x v="0"/>
    <n v="193.16"/>
  </r>
  <r>
    <d v="2024-03-12T00:00:00"/>
    <x v="0"/>
    <x v="1"/>
    <x v="1"/>
    <n v="170.11"/>
    <n v="40.11"/>
    <n v="2"/>
    <n v="54735.250000000029"/>
    <x v="0"/>
    <n v="3.2410870107205185"/>
    <x v="137"/>
    <x v="0"/>
    <x v="3"/>
    <x v="1"/>
    <n v="85.055000000000007"/>
  </r>
  <r>
    <d v="2024-04-22T00:00:00"/>
    <x v="1"/>
    <x v="2"/>
    <x v="0"/>
    <n v="57.75"/>
    <n v="38.6"/>
    <n v="2"/>
    <n v="58562.910000000018"/>
    <x v="1"/>
    <n v="0.49611398963730563"/>
    <x v="138"/>
    <x v="0"/>
    <x v="1"/>
    <x v="1"/>
    <n v="28.875"/>
  </r>
  <r>
    <d v="2024-02-18T00:00:00"/>
    <x v="2"/>
    <x v="0"/>
    <x v="1"/>
    <n v="147.12"/>
    <n v="16.420000000000002"/>
    <n v="1"/>
    <n v="48675.899999999936"/>
    <x v="0"/>
    <n v="7.9598051157125438"/>
    <x v="139"/>
    <x v="1"/>
    <x v="0"/>
    <x v="0"/>
    <n v="147.12"/>
  </r>
  <r>
    <d v="2024-02-29T00:00:00"/>
    <x v="1"/>
    <x v="0"/>
    <x v="1"/>
    <n v="129.72999999999999"/>
    <n v="6.89"/>
    <n v="2"/>
    <n v="48675.899999999936"/>
    <x v="0"/>
    <n v="17.828737300435414"/>
    <x v="140"/>
    <x v="0"/>
    <x v="0"/>
    <x v="0"/>
    <n v="64.864999999999995"/>
  </r>
  <r>
    <d v="2024-03-31T00:00:00"/>
    <x v="1"/>
    <x v="2"/>
    <x v="0"/>
    <n v="38.29"/>
    <n v="9.4"/>
    <n v="1"/>
    <n v="54735.250000000029"/>
    <x v="0"/>
    <n v="3.073404255319149"/>
    <x v="141"/>
    <x v="0"/>
    <x v="3"/>
    <x v="1"/>
    <n v="38.29"/>
  </r>
  <r>
    <d v="2024-03-29T00:00:00"/>
    <x v="1"/>
    <x v="1"/>
    <x v="0"/>
    <n v="52.72"/>
    <n v="23.21"/>
    <n v="0"/>
    <n v="54735.250000000029"/>
    <x v="0"/>
    <n v="1.2714347264110295"/>
    <x v="142"/>
    <x v="0"/>
    <x v="3"/>
    <x v="1"/>
    <n v="0"/>
  </r>
  <r>
    <d v="2024-03-19T00:00:00"/>
    <x v="0"/>
    <x v="1"/>
    <x v="1"/>
    <n v="60.3"/>
    <n v="34.49"/>
    <n v="0"/>
    <n v="54735.250000000029"/>
    <x v="0"/>
    <n v="0.74833285010147854"/>
    <x v="143"/>
    <x v="1"/>
    <x v="3"/>
    <x v="1"/>
    <n v="0"/>
  </r>
  <r>
    <d v="2024-04-11T00:00:00"/>
    <x v="3"/>
    <x v="0"/>
    <x v="1"/>
    <n v="76.7"/>
    <n v="38.06"/>
    <n v="2"/>
    <n v="58562.910000000018"/>
    <x v="1"/>
    <n v="1.0152390961639517"/>
    <x v="144"/>
    <x v="0"/>
    <x v="1"/>
    <x v="1"/>
    <n v="38.35"/>
  </r>
  <r>
    <d v="2024-01-25T00:00:00"/>
    <x v="2"/>
    <x v="0"/>
    <x v="1"/>
    <n v="55.68"/>
    <n v="27.06"/>
    <n v="3"/>
    <n v="61207.979999999989"/>
    <x v="1"/>
    <n v="1.0576496674057652"/>
    <x v="145"/>
    <x v="1"/>
    <x v="2"/>
    <x v="0"/>
    <n v="18.559999999999999"/>
  </r>
  <r>
    <d v="2024-03-25T00:00:00"/>
    <x v="4"/>
    <x v="1"/>
    <x v="0"/>
    <n v="86.97"/>
    <n v="2.33"/>
    <n v="1"/>
    <n v="54735.250000000029"/>
    <x v="0"/>
    <n v="36.326180257510728"/>
    <x v="146"/>
    <x v="1"/>
    <x v="3"/>
    <x v="1"/>
    <n v="86.97"/>
  </r>
  <r>
    <d v="2024-01-29T00:00:00"/>
    <x v="1"/>
    <x v="0"/>
    <x v="0"/>
    <n v="55.47"/>
    <n v="5.33"/>
    <n v="1"/>
    <n v="61207.979999999989"/>
    <x v="1"/>
    <n v="9.4071294559099439"/>
    <x v="147"/>
    <x v="1"/>
    <x v="2"/>
    <x v="0"/>
    <n v="55.47"/>
  </r>
  <r>
    <d v="2024-01-12T00:00:00"/>
    <x v="0"/>
    <x v="0"/>
    <x v="1"/>
    <n v="110.41"/>
    <n v="10.85"/>
    <n v="1"/>
    <n v="61207.979999999989"/>
    <x v="1"/>
    <n v="9.176036866359448"/>
    <x v="148"/>
    <x v="1"/>
    <x v="2"/>
    <x v="0"/>
    <n v="110.41"/>
  </r>
  <r>
    <d v="2024-03-01T00:00:00"/>
    <x v="3"/>
    <x v="2"/>
    <x v="1"/>
    <n v="80.47"/>
    <n v="38.799999999999997"/>
    <n v="2"/>
    <n v="54735.250000000029"/>
    <x v="0"/>
    <n v="1.0739690721649486"/>
    <x v="149"/>
    <x v="1"/>
    <x v="3"/>
    <x v="1"/>
    <n v="40.234999999999999"/>
  </r>
  <r>
    <d v="2024-03-08T00:00:00"/>
    <x v="0"/>
    <x v="2"/>
    <x v="1"/>
    <n v="156.06"/>
    <n v="35.409999999999997"/>
    <n v="0"/>
    <n v="54735.250000000029"/>
    <x v="0"/>
    <n v="3.4072295961592776"/>
    <x v="150"/>
    <x v="1"/>
    <x v="3"/>
    <x v="1"/>
    <n v="0"/>
  </r>
  <r>
    <d v="2024-04-01T00:00:00"/>
    <x v="3"/>
    <x v="0"/>
    <x v="1"/>
    <n v="196.04"/>
    <n v="44.18"/>
    <n v="0"/>
    <n v="58562.910000000018"/>
    <x v="1"/>
    <n v="3.4373019465821635"/>
    <x v="151"/>
    <x v="0"/>
    <x v="1"/>
    <x v="1"/>
    <n v="0"/>
  </r>
  <r>
    <d v="2024-02-20T00:00:00"/>
    <x v="4"/>
    <x v="0"/>
    <x v="1"/>
    <n v="171.67"/>
    <n v="0.48"/>
    <n v="2"/>
    <n v="48675.899999999936"/>
    <x v="0"/>
    <n v="356.64583333333331"/>
    <x v="152"/>
    <x v="0"/>
    <x v="0"/>
    <x v="0"/>
    <n v="85.834999999999994"/>
  </r>
  <r>
    <d v="2024-04-25T00:00:00"/>
    <x v="4"/>
    <x v="0"/>
    <x v="1"/>
    <n v="156.84"/>
    <n v="7.54"/>
    <n v="2"/>
    <n v="58562.910000000018"/>
    <x v="1"/>
    <n v="19.801061007957561"/>
    <x v="153"/>
    <x v="0"/>
    <x v="1"/>
    <x v="1"/>
    <n v="78.42"/>
  </r>
  <r>
    <d v="2024-02-19T00:00:00"/>
    <x v="2"/>
    <x v="0"/>
    <x v="0"/>
    <n v="67.430000000000007"/>
    <n v="31.15"/>
    <n v="2"/>
    <n v="48675.899999999936"/>
    <x v="0"/>
    <n v="1.1646869983948638"/>
    <x v="154"/>
    <x v="0"/>
    <x v="0"/>
    <x v="0"/>
    <n v="33.715000000000003"/>
  </r>
  <r>
    <d v="2024-01-06T00:00:00"/>
    <x v="3"/>
    <x v="1"/>
    <x v="0"/>
    <n v="191.66"/>
    <n v="24.46"/>
    <n v="2"/>
    <n v="61207.979999999989"/>
    <x v="1"/>
    <n v="6.835650040883074"/>
    <x v="155"/>
    <x v="0"/>
    <x v="2"/>
    <x v="0"/>
    <n v="95.83"/>
  </r>
  <r>
    <d v="2024-02-01T00:00:00"/>
    <x v="2"/>
    <x v="0"/>
    <x v="1"/>
    <n v="146.86000000000001"/>
    <n v="20.76"/>
    <n v="0"/>
    <n v="48675.899999999936"/>
    <x v="0"/>
    <n v="6.074181117533719"/>
    <x v="156"/>
    <x v="1"/>
    <x v="0"/>
    <x v="0"/>
    <n v="0"/>
  </r>
  <r>
    <d v="2024-03-23T00:00:00"/>
    <x v="2"/>
    <x v="0"/>
    <x v="1"/>
    <n v="84.97"/>
    <n v="11.97"/>
    <n v="1"/>
    <n v="54735.250000000029"/>
    <x v="0"/>
    <n v="6.098579782790309"/>
    <x v="157"/>
    <x v="0"/>
    <x v="3"/>
    <x v="1"/>
    <n v="84.97"/>
  </r>
  <r>
    <d v="2024-03-06T00:00:00"/>
    <x v="3"/>
    <x v="2"/>
    <x v="1"/>
    <n v="69.239999999999995"/>
    <n v="39.46"/>
    <n v="0"/>
    <n v="54735.250000000029"/>
    <x v="0"/>
    <n v="0.75468829194120612"/>
    <x v="158"/>
    <x v="0"/>
    <x v="3"/>
    <x v="1"/>
    <n v="0"/>
  </r>
  <r>
    <d v="2024-04-26T00:00:00"/>
    <x v="3"/>
    <x v="0"/>
    <x v="1"/>
    <n v="55.71"/>
    <n v="29.36"/>
    <n v="3"/>
    <n v="58562.910000000018"/>
    <x v="1"/>
    <n v="0.89747956403269757"/>
    <x v="159"/>
    <x v="0"/>
    <x v="1"/>
    <x v="1"/>
    <n v="18.57"/>
  </r>
  <r>
    <d v="2024-01-08T00:00:00"/>
    <x v="0"/>
    <x v="0"/>
    <x v="1"/>
    <n v="87.79"/>
    <n v="14.46"/>
    <n v="2"/>
    <n v="61207.979999999989"/>
    <x v="1"/>
    <n v="5.0712309820193644"/>
    <x v="160"/>
    <x v="1"/>
    <x v="2"/>
    <x v="0"/>
    <n v="43.895000000000003"/>
  </r>
  <r>
    <d v="2024-01-08T00:00:00"/>
    <x v="2"/>
    <x v="2"/>
    <x v="1"/>
    <n v="53.76"/>
    <n v="17.29"/>
    <n v="1"/>
    <n v="61207.979999999989"/>
    <x v="1"/>
    <n v="2.1093117408906883"/>
    <x v="161"/>
    <x v="1"/>
    <x v="2"/>
    <x v="0"/>
    <n v="53.76"/>
  </r>
  <r>
    <d v="2024-03-15T00:00:00"/>
    <x v="3"/>
    <x v="1"/>
    <x v="0"/>
    <n v="76.180000000000007"/>
    <n v="45.35"/>
    <n v="1"/>
    <n v="54735.250000000029"/>
    <x v="0"/>
    <n v="0.67982359426681382"/>
    <x v="162"/>
    <x v="0"/>
    <x v="3"/>
    <x v="1"/>
    <n v="76.180000000000007"/>
  </r>
  <r>
    <d v="2024-03-19T00:00:00"/>
    <x v="4"/>
    <x v="0"/>
    <x v="1"/>
    <n v="38.99"/>
    <n v="11.2"/>
    <n v="0"/>
    <n v="54735.250000000029"/>
    <x v="0"/>
    <n v="2.4812500000000002"/>
    <x v="163"/>
    <x v="0"/>
    <x v="3"/>
    <x v="1"/>
    <n v="0"/>
  </r>
  <r>
    <d v="2024-01-30T00:00:00"/>
    <x v="2"/>
    <x v="2"/>
    <x v="0"/>
    <n v="153.69"/>
    <n v="26.91"/>
    <n v="0"/>
    <n v="61207.979999999989"/>
    <x v="1"/>
    <n v="4.7112597547380153"/>
    <x v="164"/>
    <x v="0"/>
    <x v="2"/>
    <x v="0"/>
    <n v="0"/>
  </r>
  <r>
    <d v="2024-04-30T00:00:00"/>
    <x v="1"/>
    <x v="1"/>
    <x v="1"/>
    <n v="157.19999999999999"/>
    <n v="27.71"/>
    <n v="0"/>
    <n v="58562.910000000018"/>
    <x v="1"/>
    <n v="4.6730422230241784"/>
    <x v="165"/>
    <x v="1"/>
    <x v="1"/>
    <x v="1"/>
    <n v="0"/>
  </r>
  <r>
    <d v="2024-01-06T00:00:00"/>
    <x v="4"/>
    <x v="2"/>
    <x v="1"/>
    <n v="26.23"/>
    <n v="35.29"/>
    <n v="1"/>
    <n v="61207.979999999989"/>
    <x v="1"/>
    <n v="-0.25672995182771319"/>
    <x v="166"/>
    <x v="0"/>
    <x v="2"/>
    <x v="0"/>
    <n v="26.23"/>
  </r>
  <r>
    <d v="2024-03-26T00:00:00"/>
    <x v="3"/>
    <x v="2"/>
    <x v="0"/>
    <n v="35.729999999999997"/>
    <n v="12.1"/>
    <n v="1"/>
    <n v="54735.250000000029"/>
    <x v="0"/>
    <n v="1.9528925619834707"/>
    <x v="167"/>
    <x v="0"/>
    <x v="3"/>
    <x v="1"/>
    <n v="35.729999999999997"/>
  </r>
  <r>
    <d v="2024-04-05T00:00:00"/>
    <x v="1"/>
    <x v="2"/>
    <x v="0"/>
    <n v="154.27000000000001"/>
    <n v="41.77"/>
    <n v="0"/>
    <n v="58562.910000000018"/>
    <x v="1"/>
    <n v="2.6933205649988028"/>
    <x v="168"/>
    <x v="1"/>
    <x v="1"/>
    <x v="1"/>
    <n v="0"/>
  </r>
  <r>
    <d v="2024-02-19T00:00:00"/>
    <x v="1"/>
    <x v="0"/>
    <x v="1"/>
    <n v="175.36"/>
    <n v="5.95"/>
    <n v="1"/>
    <n v="48675.899999999936"/>
    <x v="0"/>
    <n v="28.472268907563027"/>
    <x v="169"/>
    <x v="0"/>
    <x v="0"/>
    <x v="0"/>
    <n v="175.36"/>
  </r>
  <r>
    <d v="2024-01-07T00:00:00"/>
    <x v="2"/>
    <x v="0"/>
    <x v="1"/>
    <n v="67.14"/>
    <n v="49.07"/>
    <n v="3"/>
    <n v="61207.979999999989"/>
    <x v="1"/>
    <n v="0.36824943957611578"/>
    <x v="170"/>
    <x v="0"/>
    <x v="2"/>
    <x v="0"/>
    <n v="22.38"/>
  </r>
  <r>
    <d v="2024-01-17T00:00:00"/>
    <x v="3"/>
    <x v="1"/>
    <x v="0"/>
    <n v="52.54"/>
    <n v="12.91"/>
    <n v="3"/>
    <n v="61207.979999999989"/>
    <x v="1"/>
    <n v="3.0697134004647557"/>
    <x v="171"/>
    <x v="1"/>
    <x v="2"/>
    <x v="0"/>
    <n v="17.513333333333332"/>
  </r>
  <r>
    <d v="2024-01-07T00:00:00"/>
    <x v="1"/>
    <x v="1"/>
    <x v="1"/>
    <n v="73.47"/>
    <n v="27.79"/>
    <n v="0"/>
    <n v="61207.979999999989"/>
    <x v="1"/>
    <n v="1.6437567470313064"/>
    <x v="172"/>
    <x v="1"/>
    <x v="2"/>
    <x v="0"/>
    <n v="0"/>
  </r>
  <r>
    <d v="2024-03-01T00:00:00"/>
    <x v="0"/>
    <x v="1"/>
    <x v="1"/>
    <n v="156.82"/>
    <n v="4.5199999999999996"/>
    <n v="3"/>
    <n v="54735.250000000029"/>
    <x v="0"/>
    <n v="33.694690265486727"/>
    <x v="173"/>
    <x v="1"/>
    <x v="3"/>
    <x v="1"/>
    <n v="52.273333333333333"/>
  </r>
  <r>
    <d v="2024-04-13T00:00:00"/>
    <x v="1"/>
    <x v="0"/>
    <x v="0"/>
    <n v="197.9"/>
    <n v="47.11"/>
    <n v="2"/>
    <n v="58562.910000000018"/>
    <x v="1"/>
    <n v="3.2008066227977081"/>
    <x v="174"/>
    <x v="0"/>
    <x v="1"/>
    <x v="1"/>
    <n v="98.95"/>
  </r>
  <r>
    <d v="2024-03-09T00:00:00"/>
    <x v="1"/>
    <x v="1"/>
    <x v="1"/>
    <n v="40.68"/>
    <n v="20.25"/>
    <n v="0"/>
    <n v="54735.250000000029"/>
    <x v="0"/>
    <n v="1.0088888888888889"/>
    <x v="175"/>
    <x v="1"/>
    <x v="3"/>
    <x v="1"/>
    <n v="0"/>
  </r>
  <r>
    <d v="2024-04-30T00:00:00"/>
    <x v="4"/>
    <x v="2"/>
    <x v="1"/>
    <n v="131.44999999999999"/>
    <n v="42.88"/>
    <n v="2"/>
    <n v="58562.910000000018"/>
    <x v="1"/>
    <n v="2.0655317164179103"/>
    <x v="176"/>
    <x v="1"/>
    <x v="1"/>
    <x v="1"/>
    <n v="65.724999999999994"/>
  </r>
  <r>
    <d v="2024-03-25T00:00:00"/>
    <x v="3"/>
    <x v="2"/>
    <x v="1"/>
    <n v="188.75"/>
    <n v="11.48"/>
    <n v="0"/>
    <n v="54735.250000000029"/>
    <x v="0"/>
    <n v="15.44163763066202"/>
    <x v="177"/>
    <x v="0"/>
    <x v="3"/>
    <x v="1"/>
    <n v="0"/>
  </r>
  <r>
    <d v="2024-04-11T00:00:00"/>
    <x v="1"/>
    <x v="1"/>
    <x v="1"/>
    <n v="40.31"/>
    <n v="11.01"/>
    <n v="2"/>
    <n v="58562.910000000018"/>
    <x v="1"/>
    <n v="2.6612170753860132"/>
    <x v="178"/>
    <x v="0"/>
    <x v="1"/>
    <x v="1"/>
    <n v="20.155000000000001"/>
  </r>
  <r>
    <d v="2024-03-13T00:00:00"/>
    <x v="2"/>
    <x v="1"/>
    <x v="0"/>
    <n v="69.73"/>
    <n v="13.79"/>
    <n v="0"/>
    <n v="54735.250000000029"/>
    <x v="0"/>
    <n v="4.0565627266134889"/>
    <x v="179"/>
    <x v="1"/>
    <x v="3"/>
    <x v="1"/>
    <n v="0"/>
  </r>
  <r>
    <d v="2024-01-17T00:00:00"/>
    <x v="0"/>
    <x v="2"/>
    <x v="0"/>
    <n v="179.7"/>
    <n v="5.79"/>
    <n v="0"/>
    <n v="61207.979999999989"/>
    <x v="1"/>
    <n v="30.036269430051814"/>
    <x v="180"/>
    <x v="0"/>
    <x v="2"/>
    <x v="0"/>
    <n v="0"/>
  </r>
  <r>
    <d v="2024-04-18T00:00:00"/>
    <x v="3"/>
    <x v="1"/>
    <x v="1"/>
    <n v="177.67"/>
    <n v="15.93"/>
    <n v="1"/>
    <n v="58562.910000000018"/>
    <x v="1"/>
    <n v="10.153170119271813"/>
    <x v="181"/>
    <x v="0"/>
    <x v="1"/>
    <x v="1"/>
    <n v="177.67"/>
  </r>
  <r>
    <d v="2024-03-31T00:00:00"/>
    <x v="4"/>
    <x v="2"/>
    <x v="0"/>
    <n v="174.92"/>
    <n v="21.1"/>
    <n v="1"/>
    <n v="54735.250000000029"/>
    <x v="0"/>
    <n v="7.2900473933649277"/>
    <x v="182"/>
    <x v="1"/>
    <x v="3"/>
    <x v="1"/>
    <n v="174.92"/>
  </r>
  <r>
    <d v="2024-03-30T00:00:00"/>
    <x v="0"/>
    <x v="0"/>
    <x v="0"/>
    <n v="168.47"/>
    <n v="17.7"/>
    <n v="2"/>
    <n v="54735.250000000029"/>
    <x v="0"/>
    <n v="8.5180790960451986"/>
    <x v="183"/>
    <x v="1"/>
    <x v="3"/>
    <x v="1"/>
    <n v="84.234999999999999"/>
  </r>
  <r>
    <d v="2024-03-27T00:00:00"/>
    <x v="1"/>
    <x v="0"/>
    <x v="1"/>
    <n v="119.47"/>
    <n v="37.299999999999997"/>
    <n v="1"/>
    <n v="54735.250000000029"/>
    <x v="0"/>
    <n v="2.2029490616621987"/>
    <x v="184"/>
    <x v="0"/>
    <x v="3"/>
    <x v="1"/>
    <n v="119.47"/>
  </r>
  <r>
    <d v="2024-01-28T00:00:00"/>
    <x v="0"/>
    <x v="2"/>
    <x v="1"/>
    <n v="190.52"/>
    <n v="35.25"/>
    <n v="0"/>
    <n v="61207.979999999989"/>
    <x v="1"/>
    <n v="4.4048226950354614"/>
    <x v="185"/>
    <x v="0"/>
    <x v="2"/>
    <x v="0"/>
    <n v="0"/>
  </r>
  <r>
    <d v="2024-03-22T00:00:00"/>
    <x v="0"/>
    <x v="0"/>
    <x v="0"/>
    <n v="63.23"/>
    <n v="46.74"/>
    <n v="3"/>
    <n v="54735.250000000029"/>
    <x v="0"/>
    <n v="0.3528027385537012"/>
    <x v="186"/>
    <x v="0"/>
    <x v="3"/>
    <x v="1"/>
    <n v="21.076666666666664"/>
  </r>
  <r>
    <d v="2024-04-24T00:00:00"/>
    <x v="2"/>
    <x v="0"/>
    <x v="0"/>
    <n v="141.16"/>
    <n v="3.68"/>
    <n v="1"/>
    <n v="58562.910000000018"/>
    <x v="1"/>
    <n v="37.358695652173907"/>
    <x v="187"/>
    <x v="1"/>
    <x v="1"/>
    <x v="1"/>
    <n v="141.16"/>
  </r>
  <r>
    <d v="2024-04-11T00:00:00"/>
    <x v="0"/>
    <x v="2"/>
    <x v="0"/>
    <n v="151.01"/>
    <n v="45.67"/>
    <n v="1"/>
    <n v="58562.910000000018"/>
    <x v="1"/>
    <n v="2.3065469673746439"/>
    <x v="188"/>
    <x v="0"/>
    <x v="1"/>
    <x v="1"/>
    <n v="151.01"/>
  </r>
  <r>
    <d v="2024-01-16T00:00:00"/>
    <x v="3"/>
    <x v="0"/>
    <x v="0"/>
    <n v="132.01"/>
    <n v="44.22"/>
    <n v="0"/>
    <n v="61207.979999999989"/>
    <x v="1"/>
    <n v="1.9853007688828583"/>
    <x v="189"/>
    <x v="0"/>
    <x v="2"/>
    <x v="0"/>
    <n v="0"/>
  </r>
  <r>
    <d v="2024-02-11T00:00:00"/>
    <x v="1"/>
    <x v="1"/>
    <x v="1"/>
    <n v="149.36000000000001"/>
    <n v="2.5499999999999998"/>
    <n v="2"/>
    <n v="48675.899999999936"/>
    <x v="0"/>
    <n v="57.572549019607848"/>
    <x v="190"/>
    <x v="0"/>
    <x v="0"/>
    <x v="0"/>
    <n v="74.680000000000007"/>
  </r>
  <r>
    <d v="2024-01-23T00:00:00"/>
    <x v="4"/>
    <x v="0"/>
    <x v="1"/>
    <n v="33.89"/>
    <n v="23.62"/>
    <n v="2"/>
    <n v="61207.979999999989"/>
    <x v="1"/>
    <n v="0.43480101608806093"/>
    <x v="191"/>
    <x v="1"/>
    <x v="2"/>
    <x v="0"/>
    <n v="16.945"/>
  </r>
  <r>
    <d v="2024-01-03T00:00:00"/>
    <x v="3"/>
    <x v="1"/>
    <x v="0"/>
    <n v="124.32"/>
    <n v="35.65"/>
    <n v="2"/>
    <n v="61207.979999999989"/>
    <x v="1"/>
    <n v="2.487237026647966"/>
    <x v="192"/>
    <x v="1"/>
    <x v="2"/>
    <x v="0"/>
    <n v="62.16"/>
  </r>
  <r>
    <d v="2024-01-22T00:00:00"/>
    <x v="0"/>
    <x v="2"/>
    <x v="0"/>
    <n v="59.48"/>
    <n v="24.08"/>
    <n v="0"/>
    <n v="61207.979999999989"/>
    <x v="1"/>
    <n v="1.4700996677740865"/>
    <x v="193"/>
    <x v="1"/>
    <x v="2"/>
    <x v="0"/>
    <n v="0"/>
  </r>
  <r>
    <d v="2024-03-03T00:00:00"/>
    <x v="1"/>
    <x v="2"/>
    <x v="0"/>
    <n v="110.72"/>
    <n v="48.94"/>
    <n v="1"/>
    <n v="54735.250000000029"/>
    <x v="0"/>
    <n v="1.2623620760114427"/>
    <x v="194"/>
    <x v="0"/>
    <x v="3"/>
    <x v="1"/>
    <n v="110.72"/>
  </r>
  <r>
    <d v="2024-01-26T00:00:00"/>
    <x v="2"/>
    <x v="2"/>
    <x v="0"/>
    <n v="100.53"/>
    <n v="31.83"/>
    <n v="1"/>
    <n v="61207.979999999989"/>
    <x v="1"/>
    <n v="2.1583411875589067"/>
    <x v="195"/>
    <x v="0"/>
    <x v="2"/>
    <x v="0"/>
    <n v="100.53"/>
  </r>
  <r>
    <d v="2024-01-05T00:00:00"/>
    <x v="4"/>
    <x v="0"/>
    <x v="1"/>
    <n v="76.55"/>
    <n v="21.65"/>
    <n v="3"/>
    <n v="61207.979999999989"/>
    <x v="1"/>
    <n v="2.535796766743649"/>
    <x v="196"/>
    <x v="0"/>
    <x v="2"/>
    <x v="0"/>
    <n v="25.516666666666666"/>
  </r>
  <r>
    <d v="2024-04-30T00:00:00"/>
    <x v="0"/>
    <x v="1"/>
    <x v="1"/>
    <n v="66.25"/>
    <n v="16.78"/>
    <n v="2"/>
    <n v="58562.910000000018"/>
    <x v="1"/>
    <n v="2.9481525625744931"/>
    <x v="197"/>
    <x v="0"/>
    <x v="1"/>
    <x v="1"/>
    <n v="33.125"/>
  </r>
  <r>
    <d v="2024-03-24T00:00:00"/>
    <x v="0"/>
    <x v="0"/>
    <x v="1"/>
    <n v="197.49"/>
    <n v="41.41"/>
    <n v="0"/>
    <n v="54735.250000000029"/>
    <x v="0"/>
    <n v="3.7691378893986967"/>
    <x v="198"/>
    <x v="0"/>
    <x v="3"/>
    <x v="1"/>
    <n v="0"/>
  </r>
  <r>
    <d v="2024-01-06T00:00:00"/>
    <x v="3"/>
    <x v="0"/>
    <x v="1"/>
    <n v="150.49"/>
    <n v="20.399999999999999"/>
    <n v="3"/>
    <n v="61207.979999999989"/>
    <x v="1"/>
    <n v="6.3769607843137264"/>
    <x v="199"/>
    <x v="0"/>
    <x v="2"/>
    <x v="0"/>
    <n v="50.163333333333334"/>
  </r>
  <r>
    <d v="2024-03-03T00:00:00"/>
    <x v="4"/>
    <x v="1"/>
    <x v="1"/>
    <n v="31.72"/>
    <n v="26.19"/>
    <n v="1"/>
    <n v="54735.250000000029"/>
    <x v="0"/>
    <n v="0.21114929362352033"/>
    <x v="200"/>
    <x v="1"/>
    <x v="3"/>
    <x v="1"/>
    <n v="31.72"/>
  </r>
  <r>
    <d v="2024-01-30T00:00:00"/>
    <x v="1"/>
    <x v="2"/>
    <x v="1"/>
    <n v="192.91"/>
    <n v="28.12"/>
    <n v="0"/>
    <n v="61207.979999999989"/>
    <x v="1"/>
    <n v="5.8602418207681364"/>
    <x v="201"/>
    <x v="0"/>
    <x v="2"/>
    <x v="0"/>
    <n v="0"/>
  </r>
  <r>
    <d v="2024-04-22T00:00:00"/>
    <x v="2"/>
    <x v="2"/>
    <x v="0"/>
    <n v="145.93"/>
    <n v="0.61"/>
    <n v="3"/>
    <n v="58562.910000000018"/>
    <x v="1"/>
    <n v="238.2295081967213"/>
    <x v="202"/>
    <x v="1"/>
    <x v="1"/>
    <x v="1"/>
    <n v="48.643333333333338"/>
  </r>
  <r>
    <d v="2024-04-04T00:00:00"/>
    <x v="0"/>
    <x v="1"/>
    <x v="1"/>
    <n v="79.73"/>
    <n v="49.63"/>
    <n v="2"/>
    <n v="58562.910000000018"/>
    <x v="1"/>
    <n v="0.60648801128349783"/>
    <x v="203"/>
    <x v="0"/>
    <x v="1"/>
    <x v="1"/>
    <n v="39.865000000000002"/>
  </r>
  <r>
    <d v="2024-01-23T00:00:00"/>
    <x v="3"/>
    <x v="2"/>
    <x v="1"/>
    <n v="165.98"/>
    <n v="36.76"/>
    <n v="3"/>
    <n v="61207.979999999989"/>
    <x v="1"/>
    <n v="3.5152339499455931"/>
    <x v="204"/>
    <x v="0"/>
    <x v="2"/>
    <x v="0"/>
    <n v="55.326666666666661"/>
  </r>
  <r>
    <d v="2024-04-21T00:00:00"/>
    <x v="1"/>
    <x v="0"/>
    <x v="0"/>
    <n v="97.63"/>
    <n v="45.7"/>
    <n v="3"/>
    <n v="58562.910000000018"/>
    <x v="1"/>
    <n v="1.1363238512035008"/>
    <x v="205"/>
    <x v="1"/>
    <x v="1"/>
    <x v="1"/>
    <n v="32.543333333333329"/>
  </r>
  <r>
    <d v="2024-04-15T00:00:00"/>
    <x v="1"/>
    <x v="1"/>
    <x v="0"/>
    <n v="163.32"/>
    <n v="26.39"/>
    <n v="0"/>
    <n v="58562.910000000018"/>
    <x v="1"/>
    <n v="5.1887078438802581"/>
    <x v="206"/>
    <x v="1"/>
    <x v="1"/>
    <x v="1"/>
    <n v="0"/>
  </r>
  <r>
    <d v="2024-02-25T00:00:00"/>
    <x v="3"/>
    <x v="1"/>
    <x v="0"/>
    <n v="27.86"/>
    <n v="1.86"/>
    <n v="1"/>
    <n v="48675.899999999936"/>
    <x v="0"/>
    <n v="13.978494623655914"/>
    <x v="207"/>
    <x v="0"/>
    <x v="0"/>
    <x v="0"/>
    <n v="27.86"/>
  </r>
  <r>
    <d v="2024-01-12T00:00:00"/>
    <x v="1"/>
    <x v="0"/>
    <x v="0"/>
    <n v="158.16999999999999"/>
    <n v="25.96"/>
    <n v="1"/>
    <n v="61207.979999999989"/>
    <x v="1"/>
    <n v="5.0928351309707232"/>
    <x v="208"/>
    <x v="1"/>
    <x v="2"/>
    <x v="0"/>
    <n v="158.16999999999999"/>
  </r>
  <r>
    <d v="2024-03-19T00:00:00"/>
    <x v="1"/>
    <x v="1"/>
    <x v="1"/>
    <n v="77.86"/>
    <n v="17.46"/>
    <n v="3"/>
    <n v="54735.250000000029"/>
    <x v="0"/>
    <n v="3.4593356242840776"/>
    <x v="209"/>
    <x v="1"/>
    <x v="3"/>
    <x v="1"/>
    <n v="25.953333333333333"/>
  </r>
  <r>
    <d v="2024-03-22T00:00:00"/>
    <x v="4"/>
    <x v="2"/>
    <x v="1"/>
    <n v="197.08"/>
    <n v="16.100000000000001"/>
    <n v="0"/>
    <n v="54735.250000000029"/>
    <x v="0"/>
    <n v="11.240993788819877"/>
    <x v="210"/>
    <x v="1"/>
    <x v="3"/>
    <x v="1"/>
    <n v="0"/>
  </r>
  <r>
    <d v="2024-03-27T00:00:00"/>
    <x v="3"/>
    <x v="1"/>
    <x v="1"/>
    <n v="71.81"/>
    <n v="15.32"/>
    <n v="2"/>
    <n v="54735.250000000029"/>
    <x v="0"/>
    <n v="3.6873368146214101"/>
    <x v="211"/>
    <x v="1"/>
    <x v="3"/>
    <x v="1"/>
    <n v="35.905000000000001"/>
  </r>
  <r>
    <d v="2024-03-01T00:00:00"/>
    <x v="1"/>
    <x v="1"/>
    <x v="0"/>
    <n v="56.05"/>
    <n v="40.21"/>
    <n v="3"/>
    <n v="54735.250000000029"/>
    <x v="0"/>
    <n v="0.39393185774682904"/>
    <x v="212"/>
    <x v="1"/>
    <x v="3"/>
    <x v="1"/>
    <n v="18.683333333333334"/>
  </r>
  <r>
    <d v="2024-02-10T00:00:00"/>
    <x v="3"/>
    <x v="2"/>
    <x v="1"/>
    <n v="78.27"/>
    <n v="27.6"/>
    <n v="0"/>
    <n v="48675.899999999936"/>
    <x v="0"/>
    <n v="1.8358695652173911"/>
    <x v="213"/>
    <x v="0"/>
    <x v="0"/>
    <x v="0"/>
    <n v="0"/>
  </r>
  <r>
    <d v="2024-01-03T00:00:00"/>
    <x v="0"/>
    <x v="0"/>
    <x v="1"/>
    <n v="123.06"/>
    <n v="13.91"/>
    <n v="2"/>
    <n v="61207.979999999989"/>
    <x v="1"/>
    <n v="7.8468727534148099"/>
    <x v="214"/>
    <x v="0"/>
    <x v="2"/>
    <x v="0"/>
    <n v="61.53"/>
  </r>
  <r>
    <d v="2024-03-14T00:00:00"/>
    <x v="3"/>
    <x v="0"/>
    <x v="1"/>
    <n v="162.82"/>
    <n v="43.63"/>
    <n v="1"/>
    <n v="54735.250000000029"/>
    <x v="0"/>
    <n v="2.7318358927343569"/>
    <x v="215"/>
    <x v="1"/>
    <x v="3"/>
    <x v="1"/>
    <n v="162.82"/>
  </r>
  <r>
    <d v="2024-03-08T00:00:00"/>
    <x v="3"/>
    <x v="2"/>
    <x v="1"/>
    <n v="34.520000000000003"/>
    <n v="44.72"/>
    <n v="0"/>
    <n v="54735.250000000029"/>
    <x v="0"/>
    <n v="-0.22808586762075125"/>
    <x v="216"/>
    <x v="1"/>
    <x v="3"/>
    <x v="1"/>
    <n v="0"/>
  </r>
  <r>
    <d v="2024-02-04T00:00:00"/>
    <x v="0"/>
    <x v="1"/>
    <x v="0"/>
    <n v="169.43"/>
    <n v="26.42"/>
    <n v="3"/>
    <n v="48675.899999999936"/>
    <x v="0"/>
    <n v="5.4129447388342156"/>
    <x v="217"/>
    <x v="0"/>
    <x v="0"/>
    <x v="0"/>
    <n v="56.476666666666667"/>
  </r>
  <r>
    <d v="2024-03-05T00:00:00"/>
    <x v="0"/>
    <x v="1"/>
    <x v="0"/>
    <n v="26.63"/>
    <n v="45.86"/>
    <n v="3"/>
    <n v="54735.250000000029"/>
    <x v="0"/>
    <n v="-0.41931966855647623"/>
    <x v="218"/>
    <x v="0"/>
    <x v="3"/>
    <x v="1"/>
    <n v="8.8766666666666669"/>
  </r>
  <r>
    <d v="2024-03-15T00:00:00"/>
    <x v="4"/>
    <x v="2"/>
    <x v="1"/>
    <n v="150.53"/>
    <n v="30.13"/>
    <n v="1"/>
    <n v="54735.250000000029"/>
    <x v="0"/>
    <n v="3.9960172585462996"/>
    <x v="219"/>
    <x v="1"/>
    <x v="3"/>
    <x v="1"/>
    <n v="150.53"/>
  </r>
  <r>
    <d v="2024-01-24T00:00:00"/>
    <x v="2"/>
    <x v="0"/>
    <x v="0"/>
    <n v="168.13"/>
    <n v="28.91"/>
    <n v="3"/>
    <n v="61207.979999999989"/>
    <x v="1"/>
    <n v="4.8156347284676579"/>
    <x v="220"/>
    <x v="1"/>
    <x v="2"/>
    <x v="0"/>
    <n v="56.043333333333329"/>
  </r>
  <r>
    <d v="2024-03-09T00:00:00"/>
    <x v="4"/>
    <x v="1"/>
    <x v="0"/>
    <n v="179.72"/>
    <n v="16.46"/>
    <n v="3"/>
    <n v="54735.250000000029"/>
    <x v="0"/>
    <n v="9.9185905224787358"/>
    <x v="221"/>
    <x v="0"/>
    <x v="3"/>
    <x v="1"/>
    <n v="59.906666666666666"/>
  </r>
  <r>
    <d v="2024-04-24T00:00:00"/>
    <x v="1"/>
    <x v="2"/>
    <x v="0"/>
    <n v="67.959999999999994"/>
    <n v="6.44"/>
    <n v="3"/>
    <n v="58562.910000000018"/>
    <x v="1"/>
    <n v="9.5527950310558989"/>
    <x v="222"/>
    <x v="1"/>
    <x v="1"/>
    <x v="1"/>
    <n v="22.653333333333332"/>
  </r>
  <r>
    <d v="2024-01-07T00:00:00"/>
    <x v="3"/>
    <x v="1"/>
    <x v="0"/>
    <n v="145.06"/>
    <n v="21.11"/>
    <n v="0"/>
    <n v="61207.979999999989"/>
    <x v="1"/>
    <n v="5.8716248223590721"/>
    <x v="223"/>
    <x v="1"/>
    <x v="2"/>
    <x v="0"/>
    <n v="0"/>
  </r>
  <r>
    <d v="2024-01-15T00:00:00"/>
    <x v="4"/>
    <x v="1"/>
    <x v="1"/>
    <n v="193.51"/>
    <n v="32.83"/>
    <n v="1"/>
    <n v="61207.979999999989"/>
    <x v="1"/>
    <n v="4.8943039902528183"/>
    <x v="224"/>
    <x v="1"/>
    <x v="2"/>
    <x v="0"/>
    <n v="193.51"/>
  </r>
  <r>
    <d v="2024-04-06T00:00:00"/>
    <x v="3"/>
    <x v="2"/>
    <x v="0"/>
    <n v="37.51"/>
    <n v="32.26"/>
    <n v="1"/>
    <n v="58562.910000000018"/>
    <x v="1"/>
    <n v="0.16274023558586487"/>
    <x v="225"/>
    <x v="0"/>
    <x v="1"/>
    <x v="1"/>
    <n v="37.51"/>
  </r>
  <r>
    <d v="2024-03-22T00:00:00"/>
    <x v="0"/>
    <x v="2"/>
    <x v="0"/>
    <n v="91.22"/>
    <n v="46.99"/>
    <n v="3"/>
    <n v="54735.250000000029"/>
    <x v="0"/>
    <n v="0.94126409874441364"/>
    <x v="226"/>
    <x v="0"/>
    <x v="3"/>
    <x v="1"/>
    <n v="30.406666666666666"/>
  </r>
  <r>
    <d v="2024-01-05T00:00:00"/>
    <x v="3"/>
    <x v="2"/>
    <x v="1"/>
    <n v="112.48"/>
    <n v="30.42"/>
    <n v="3"/>
    <n v="61207.979999999989"/>
    <x v="1"/>
    <n v="2.6975673898750823"/>
    <x v="227"/>
    <x v="1"/>
    <x v="2"/>
    <x v="0"/>
    <n v="37.493333333333332"/>
  </r>
  <r>
    <d v="2024-04-04T00:00:00"/>
    <x v="4"/>
    <x v="0"/>
    <x v="0"/>
    <n v="40.479999999999997"/>
    <n v="11.33"/>
    <n v="3"/>
    <n v="58562.910000000018"/>
    <x v="1"/>
    <n v="2.5728155339805823"/>
    <x v="228"/>
    <x v="0"/>
    <x v="1"/>
    <x v="1"/>
    <n v="13.493333333333332"/>
  </r>
  <r>
    <d v="2024-04-24T00:00:00"/>
    <x v="2"/>
    <x v="1"/>
    <x v="1"/>
    <n v="101.34"/>
    <n v="17.8"/>
    <n v="3"/>
    <n v="58562.910000000018"/>
    <x v="1"/>
    <n v="4.6932584269662927"/>
    <x v="229"/>
    <x v="1"/>
    <x v="1"/>
    <x v="1"/>
    <n v="33.78"/>
  </r>
  <r>
    <d v="2024-04-17T00:00:00"/>
    <x v="2"/>
    <x v="1"/>
    <x v="1"/>
    <n v="136.91999999999999"/>
    <n v="10.050000000000001"/>
    <n v="1"/>
    <n v="58562.910000000018"/>
    <x v="1"/>
    <n v="12.623880597014924"/>
    <x v="230"/>
    <x v="0"/>
    <x v="1"/>
    <x v="1"/>
    <n v="136.91999999999999"/>
  </r>
  <r>
    <d v="2024-01-06T00:00:00"/>
    <x v="0"/>
    <x v="2"/>
    <x v="1"/>
    <n v="123.37"/>
    <n v="21.53"/>
    <n v="0"/>
    <n v="61207.979999999989"/>
    <x v="1"/>
    <n v="4.7301439851370182"/>
    <x v="231"/>
    <x v="0"/>
    <x v="2"/>
    <x v="0"/>
    <n v="0"/>
  </r>
  <r>
    <d v="2024-01-02T00:00:00"/>
    <x v="4"/>
    <x v="2"/>
    <x v="1"/>
    <n v="109.22"/>
    <n v="44.99"/>
    <n v="1"/>
    <n v="61207.979999999989"/>
    <x v="1"/>
    <n v="1.4276505890197819"/>
    <x v="232"/>
    <x v="0"/>
    <x v="2"/>
    <x v="0"/>
    <n v="109.22"/>
  </r>
  <r>
    <d v="2024-04-11T00:00:00"/>
    <x v="4"/>
    <x v="2"/>
    <x v="1"/>
    <n v="197.91"/>
    <n v="21.54"/>
    <n v="2"/>
    <n v="58562.910000000018"/>
    <x v="1"/>
    <n v="8.1880222841225638"/>
    <x v="233"/>
    <x v="0"/>
    <x v="1"/>
    <x v="1"/>
    <n v="98.954999999999998"/>
  </r>
  <r>
    <d v="2024-02-14T00:00:00"/>
    <x v="3"/>
    <x v="1"/>
    <x v="1"/>
    <n v="94.62"/>
    <n v="7.34"/>
    <n v="0"/>
    <n v="48675.899999999936"/>
    <x v="0"/>
    <n v="11.891008174386922"/>
    <x v="234"/>
    <x v="1"/>
    <x v="0"/>
    <x v="0"/>
    <n v="0"/>
  </r>
  <r>
    <d v="2024-01-19T00:00:00"/>
    <x v="1"/>
    <x v="2"/>
    <x v="0"/>
    <n v="104.7"/>
    <n v="5.3"/>
    <n v="0"/>
    <n v="61207.979999999989"/>
    <x v="1"/>
    <n v="18.754716981132077"/>
    <x v="235"/>
    <x v="1"/>
    <x v="2"/>
    <x v="0"/>
    <n v="0"/>
  </r>
  <r>
    <d v="2024-01-17T00:00:00"/>
    <x v="2"/>
    <x v="0"/>
    <x v="1"/>
    <n v="95.71"/>
    <n v="38.549999999999997"/>
    <n v="1"/>
    <n v="61207.979999999989"/>
    <x v="1"/>
    <n v="1.4827496757457848"/>
    <x v="236"/>
    <x v="1"/>
    <x v="2"/>
    <x v="0"/>
    <n v="95.71"/>
  </r>
  <r>
    <d v="2024-04-23T00:00:00"/>
    <x v="1"/>
    <x v="2"/>
    <x v="0"/>
    <n v="28.13"/>
    <n v="37.409999999999997"/>
    <n v="1"/>
    <n v="58562.910000000018"/>
    <x v="1"/>
    <n v="-0.24806201550387594"/>
    <x v="237"/>
    <x v="1"/>
    <x v="1"/>
    <x v="1"/>
    <n v="28.13"/>
  </r>
  <r>
    <d v="2024-04-26T00:00:00"/>
    <x v="4"/>
    <x v="2"/>
    <x v="1"/>
    <n v="97.15"/>
    <n v="33.89"/>
    <n v="3"/>
    <n v="58562.910000000018"/>
    <x v="1"/>
    <n v="1.8666273236943052"/>
    <x v="238"/>
    <x v="0"/>
    <x v="1"/>
    <x v="1"/>
    <n v="32.383333333333333"/>
  </r>
  <r>
    <d v="2024-01-30T00:00:00"/>
    <x v="0"/>
    <x v="1"/>
    <x v="0"/>
    <n v="174.02"/>
    <n v="27.78"/>
    <n v="1"/>
    <n v="61207.979999999989"/>
    <x v="1"/>
    <n v="5.2642188624910009"/>
    <x v="239"/>
    <x v="0"/>
    <x v="2"/>
    <x v="0"/>
    <n v="174.02"/>
  </r>
  <r>
    <d v="2024-01-26T00:00:00"/>
    <x v="2"/>
    <x v="0"/>
    <x v="1"/>
    <n v="130.96"/>
    <n v="47.29"/>
    <n v="3"/>
    <n v="61207.979999999989"/>
    <x v="1"/>
    <n v="1.769295834214422"/>
    <x v="240"/>
    <x v="1"/>
    <x v="2"/>
    <x v="0"/>
    <n v="43.653333333333336"/>
  </r>
  <r>
    <d v="2024-04-13T00:00:00"/>
    <x v="3"/>
    <x v="0"/>
    <x v="1"/>
    <n v="68.790000000000006"/>
    <n v="23.06"/>
    <n v="1"/>
    <n v="58562.910000000018"/>
    <x v="1"/>
    <n v="1.9830875975715527"/>
    <x v="241"/>
    <x v="0"/>
    <x v="1"/>
    <x v="1"/>
    <n v="68.790000000000006"/>
  </r>
  <r>
    <d v="2024-01-11T00:00:00"/>
    <x v="1"/>
    <x v="0"/>
    <x v="0"/>
    <n v="185.97"/>
    <n v="7.6"/>
    <n v="1"/>
    <n v="61207.979999999989"/>
    <x v="1"/>
    <n v="23.469736842105267"/>
    <x v="242"/>
    <x v="0"/>
    <x v="2"/>
    <x v="0"/>
    <n v="185.97"/>
  </r>
  <r>
    <d v="2024-04-26T00:00:00"/>
    <x v="4"/>
    <x v="1"/>
    <x v="1"/>
    <n v="104.85"/>
    <n v="40.56"/>
    <n v="2"/>
    <n v="58562.910000000018"/>
    <x v="1"/>
    <n v="1.5850591715976328"/>
    <x v="243"/>
    <x v="1"/>
    <x v="1"/>
    <x v="1"/>
    <n v="52.424999999999997"/>
  </r>
  <r>
    <d v="2024-02-03T00:00:00"/>
    <x v="3"/>
    <x v="2"/>
    <x v="1"/>
    <n v="130.16999999999999"/>
    <n v="0.51"/>
    <n v="2"/>
    <n v="48675.899999999936"/>
    <x v="0"/>
    <n v="254.23529411764704"/>
    <x v="244"/>
    <x v="0"/>
    <x v="0"/>
    <x v="0"/>
    <n v="65.084999999999994"/>
  </r>
  <r>
    <d v="2024-04-04T00:00:00"/>
    <x v="3"/>
    <x v="1"/>
    <x v="1"/>
    <n v="121.2"/>
    <n v="37.4"/>
    <n v="1"/>
    <n v="58562.910000000018"/>
    <x v="1"/>
    <n v="2.240641711229947"/>
    <x v="245"/>
    <x v="1"/>
    <x v="1"/>
    <x v="1"/>
    <n v="121.2"/>
  </r>
  <r>
    <d v="2024-03-17T00:00:00"/>
    <x v="2"/>
    <x v="0"/>
    <x v="1"/>
    <n v="53.02"/>
    <n v="34.880000000000003"/>
    <n v="3"/>
    <n v="54735.250000000029"/>
    <x v="0"/>
    <n v="0.52006880733944949"/>
    <x v="246"/>
    <x v="0"/>
    <x v="3"/>
    <x v="1"/>
    <n v="17.673333333333336"/>
  </r>
  <r>
    <d v="2024-01-28T00:00:00"/>
    <x v="0"/>
    <x v="1"/>
    <x v="0"/>
    <n v="35.06"/>
    <n v="23.15"/>
    <n v="3"/>
    <n v="61207.979999999989"/>
    <x v="1"/>
    <n v="0.51447084233261353"/>
    <x v="247"/>
    <x v="0"/>
    <x v="2"/>
    <x v="0"/>
    <n v="11.686666666666667"/>
  </r>
  <r>
    <d v="2024-04-06T00:00:00"/>
    <x v="1"/>
    <x v="1"/>
    <x v="0"/>
    <n v="108.65"/>
    <n v="3.66"/>
    <n v="3"/>
    <n v="58562.910000000018"/>
    <x v="1"/>
    <n v="28.685792349726778"/>
    <x v="248"/>
    <x v="1"/>
    <x v="1"/>
    <x v="1"/>
    <n v="36.216666666666669"/>
  </r>
  <r>
    <d v="2024-04-17T00:00:00"/>
    <x v="3"/>
    <x v="0"/>
    <x v="1"/>
    <n v="107.16"/>
    <n v="33.549999999999997"/>
    <n v="3"/>
    <n v="58562.910000000018"/>
    <x v="1"/>
    <n v="2.1940387481371091"/>
    <x v="249"/>
    <x v="1"/>
    <x v="1"/>
    <x v="1"/>
    <n v="35.72"/>
  </r>
  <r>
    <d v="2024-03-30T00:00:00"/>
    <x v="4"/>
    <x v="1"/>
    <x v="1"/>
    <n v="130.55000000000001"/>
    <n v="36.85"/>
    <n v="3"/>
    <n v="54735.250000000029"/>
    <x v="0"/>
    <n v="2.5427408412483041"/>
    <x v="250"/>
    <x v="0"/>
    <x v="3"/>
    <x v="1"/>
    <n v="43.516666666666673"/>
  </r>
  <r>
    <d v="2024-02-08T00:00:00"/>
    <x v="4"/>
    <x v="1"/>
    <x v="0"/>
    <n v="46.22"/>
    <n v="1.42"/>
    <n v="0"/>
    <n v="48675.899999999936"/>
    <x v="0"/>
    <n v="31.549295774647888"/>
    <x v="251"/>
    <x v="1"/>
    <x v="0"/>
    <x v="0"/>
    <n v="0"/>
  </r>
  <r>
    <d v="2024-01-29T00:00:00"/>
    <x v="1"/>
    <x v="1"/>
    <x v="1"/>
    <n v="53.23"/>
    <n v="28.35"/>
    <n v="1"/>
    <n v="61207.979999999989"/>
    <x v="1"/>
    <n v="0.87760141093474409"/>
    <x v="252"/>
    <x v="0"/>
    <x v="2"/>
    <x v="0"/>
    <n v="53.23"/>
  </r>
  <r>
    <d v="2024-03-12T00:00:00"/>
    <x v="0"/>
    <x v="0"/>
    <x v="0"/>
    <n v="39.380000000000003"/>
    <n v="12.25"/>
    <n v="2"/>
    <n v="54735.250000000029"/>
    <x v="0"/>
    <n v="2.2146938775510208"/>
    <x v="253"/>
    <x v="1"/>
    <x v="3"/>
    <x v="1"/>
    <n v="19.690000000000001"/>
  </r>
  <r>
    <d v="2024-04-19T00:00:00"/>
    <x v="0"/>
    <x v="1"/>
    <x v="1"/>
    <n v="148.19"/>
    <n v="25.23"/>
    <n v="3"/>
    <n v="58562.910000000018"/>
    <x v="1"/>
    <n v="4.873563218390804"/>
    <x v="254"/>
    <x v="1"/>
    <x v="1"/>
    <x v="1"/>
    <n v="49.396666666666668"/>
  </r>
  <r>
    <d v="2024-04-14T00:00:00"/>
    <x v="2"/>
    <x v="2"/>
    <x v="0"/>
    <n v="31.56"/>
    <n v="45.64"/>
    <n v="2"/>
    <n v="58562.910000000018"/>
    <x v="1"/>
    <n v="-0.308501314636284"/>
    <x v="255"/>
    <x v="0"/>
    <x v="1"/>
    <x v="1"/>
    <n v="15.78"/>
  </r>
  <r>
    <d v="2024-02-17T00:00:00"/>
    <x v="0"/>
    <x v="2"/>
    <x v="0"/>
    <n v="68.34"/>
    <n v="5.19"/>
    <n v="2"/>
    <n v="48675.899999999936"/>
    <x v="0"/>
    <n v="12.167630057803468"/>
    <x v="256"/>
    <x v="1"/>
    <x v="0"/>
    <x v="0"/>
    <n v="34.17"/>
  </r>
  <r>
    <d v="2024-01-27T00:00:00"/>
    <x v="0"/>
    <x v="0"/>
    <x v="1"/>
    <n v="71.790000000000006"/>
    <n v="2.2000000000000002"/>
    <n v="2"/>
    <n v="61207.979999999989"/>
    <x v="1"/>
    <n v="31.631818181818179"/>
    <x v="257"/>
    <x v="1"/>
    <x v="2"/>
    <x v="0"/>
    <n v="35.895000000000003"/>
  </r>
  <r>
    <d v="2024-04-06T00:00:00"/>
    <x v="1"/>
    <x v="2"/>
    <x v="1"/>
    <n v="90.55"/>
    <n v="23.84"/>
    <n v="0"/>
    <n v="58562.910000000018"/>
    <x v="1"/>
    <n v="2.7982382550335569"/>
    <x v="258"/>
    <x v="0"/>
    <x v="1"/>
    <x v="1"/>
    <n v="0"/>
  </r>
  <r>
    <d v="2024-03-22T00:00:00"/>
    <x v="4"/>
    <x v="0"/>
    <x v="1"/>
    <n v="102.62"/>
    <n v="2.41"/>
    <n v="0"/>
    <n v="54735.250000000029"/>
    <x v="0"/>
    <n v="41.580912863070537"/>
    <x v="259"/>
    <x v="0"/>
    <x v="3"/>
    <x v="1"/>
    <n v="0"/>
  </r>
  <r>
    <d v="2024-02-10T00:00:00"/>
    <x v="0"/>
    <x v="2"/>
    <x v="1"/>
    <n v="192.13"/>
    <n v="39.46"/>
    <n v="2"/>
    <n v="48675.899999999936"/>
    <x v="0"/>
    <n v="3.8689812468322349"/>
    <x v="260"/>
    <x v="1"/>
    <x v="0"/>
    <x v="0"/>
    <n v="96.064999999999998"/>
  </r>
  <r>
    <d v="2024-02-27T00:00:00"/>
    <x v="3"/>
    <x v="0"/>
    <x v="1"/>
    <n v="85.61"/>
    <n v="17.22"/>
    <n v="2"/>
    <n v="48675.899999999936"/>
    <x v="0"/>
    <n v="3.9715447154471546"/>
    <x v="261"/>
    <x v="1"/>
    <x v="0"/>
    <x v="0"/>
    <n v="42.805"/>
  </r>
  <r>
    <d v="2024-01-04T00:00:00"/>
    <x v="3"/>
    <x v="2"/>
    <x v="1"/>
    <n v="66.209999999999994"/>
    <n v="27.98"/>
    <n v="2"/>
    <n v="61207.979999999989"/>
    <x v="1"/>
    <n v="1.3663330950679053"/>
    <x v="262"/>
    <x v="0"/>
    <x v="2"/>
    <x v="0"/>
    <n v="33.104999999999997"/>
  </r>
  <r>
    <d v="2024-02-26T00:00:00"/>
    <x v="0"/>
    <x v="1"/>
    <x v="1"/>
    <n v="160.88"/>
    <n v="10.4"/>
    <n v="3"/>
    <n v="48675.899999999936"/>
    <x v="0"/>
    <n v="14.469230769230768"/>
    <x v="263"/>
    <x v="1"/>
    <x v="0"/>
    <x v="0"/>
    <n v="53.626666666666665"/>
  </r>
  <r>
    <d v="2024-04-21T00:00:00"/>
    <x v="0"/>
    <x v="0"/>
    <x v="0"/>
    <n v="49.17"/>
    <n v="44.88"/>
    <n v="3"/>
    <n v="58562.910000000018"/>
    <x v="1"/>
    <n v="9.5588235294117627E-2"/>
    <x v="264"/>
    <x v="0"/>
    <x v="1"/>
    <x v="1"/>
    <n v="16.39"/>
  </r>
  <r>
    <d v="2024-02-08T00:00:00"/>
    <x v="1"/>
    <x v="2"/>
    <x v="1"/>
    <n v="30.77"/>
    <n v="35.36"/>
    <n v="3"/>
    <n v="48675.899999999936"/>
    <x v="0"/>
    <n v="-0.12980769230769232"/>
    <x v="265"/>
    <x v="0"/>
    <x v="0"/>
    <x v="0"/>
    <n v="10.256666666666666"/>
  </r>
  <r>
    <d v="2024-04-20T00:00:00"/>
    <x v="2"/>
    <x v="1"/>
    <x v="0"/>
    <n v="126.85"/>
    <n v="41.99"/>
    <n v="1"/>
    <n v="58562.910000000018"/>
    <x v="1"/>
    <n v="2.0209573708025714"/>
    <x v="266"/>
    <x v="1"/>
    <x v="1"/>
    <x v="1"/>
    <n v="126.85"/>
  </r>
  <r>
    <d v="2024-01-05T00:00:00"/>
    <x v="1"/>
    <x v="0"/>
    <x v="1"/>
    <n v="154.22"/>
    <n v="29.29"/>
    <n v="1"/>
    <n v="61207.979999999989"/>
    <x v="1"/>
    <n v="4.265278251963128"/>
    <x v="267"/>
    <x v="1"/>
    <x v="2"/>
    <x v="0"/>
    <n v="154.22"/>
  </r>
  <r>
    <d v="2024-02-27T00:00:00"/>
    <x v="3"/>
    <x v="2"/>
    <x v="1"/>
    <n v="188.28"/>
    <n v="26.26"/>
    <n v="3"/>
    <n v="48675.899999999936"/>
    <x v="0"/>
    <n v="6.1698400609291699"/>
    <x v="268"/>
    <x v="0"/>
    <x v="0"/>
    <x v="0"/>
    <n v="62.76"/>
  </r>
  <r>
    <d v="2024-03-18T00:00:00"/>
    <x v="2"/>
    <x v="2"/>
    <x v="1"/>
    <n v="24.69"/>
    <n v="36.85"/>
    <n v="3"/>
    <n v="54735.250000000029"/>
    <x v="0"/>
    <n v="-0.32998643147896878"/>
    <x v="269"/>
    <x v="0"/>
    <x v="3"/>
    <x v="1"/>
    <n v="8.23"/>
  </r>
  <r>
    <d v="2024-02-11T00:00:00"/>
    <x v="1"/>
    <x v="1"/>
    <x v="1"/>
    <n v="132.44999999999999"/>
    <n v="3.78"/>
    <n v="3"/>
    <n v="48675.899999999936"/>
    <x v="0"/>
    <n v="34.039682539682538"/>
    <x v="270"/>
    <x v="1"/>
    <x v="0"/>
    <x v="0"/>
    <n v="44.15"/>
  </r>
  <r>
    <d v="2024-03-10T00:00:00"/>
    <x v="4"/>
    <x v="2"/>
    <x v="1"/>
    <n v="164.45"/>
    <n v="39.700000000000003"/>
    <n v="3"/>
    <n v="54735.250000000029"/>
    <x v="0"/>
    <n v="3.1423173803526443"/>
    <x v="271"/>
    <x v="0"/>
    <x v="3"/>
    <x v="1"/>
    <n v="54.816666666666663"/>
  </r>
  <r>
    <d v="2024-03-02T00:00:00"/>
    <x v="4"/>
    <x v="1"/>
    <x v="0"/>
    <n v="126.46"/>
    <n v="13.17"/>
    <n v="0"/>
    <n v="54735.250000000029"/>
    <x v="0"/>
    <n v="8.6021260440394833"/>
    <x v="272"/>
    <x v="0"/>
    <x v="3"/>
    <x v="1"/>
    <n v="0"/>
  </r>
  <r>
    <d v="2024-01-24T00:00:00"/>
    <x v="1"/>
    <x v="1"/>
    <x v="0"/>
    <n v="187.62"/>
    <n v="29.37"/>
    <n v="1"/>
    <n v="61207.979999999989"/>
    <x v="1"/>
    <n v="5.3881511746680282"/>
    <x v="273"/>
    <x v="0"/>
    <x v="2"/>
    <x v="0"/>
    <n v="187.62"/>
  </r>
  <r>
    <d v="2024-04-02T00:00:00"/>
    <x v="2"/>
    <x v="2"/>
    <x v="0"/>
    <n v="161.05000000000001"/>
    <n v="37.64"/>
    <n v="0"/>
    <n v="58562.910000000018"/>
    <x v="1"/>
    <n v="3.2786928799149844"/>
    <x v="274"/>
    <x v="1"/>
    <x v="1"/>
    <x v="1"/>
    <n v="0"/>
  </r>
  <r>
    <d v="2024-03-24T00:00:00"/>
    <x v="3"/>
    <x v="0"/>
    <x v="0"/>
    <n v="57"/>
    <n v="46.24"/>
    <n v="3"/>
    <n v="54735.250000000029"/>
    <x v="0"/>
    <n v="0.23269896193771622"/>
    <x v="275"/>
    <x v="0"/>
    <x v="3"/>
    <x v="1"/>
    <n v="19"/>
  </r>
  <r>
    <d v="2024-04-28T00:00:00"/>
    <x v="0"/>
    <x v="0"/>
    <x v="1"/>
    <n v="111.1"/>
    <n v="26.35"/>
    <n v="3"/>
    <n v="58562.910000000018"/>
    <x v="1"/>
    <n v="3.2163187855787476"/>
    <x v="276"/>
    <x v="0"/>
    <x v="1"/>
    <x v="1"/>
    <n v="37.033333333333331"/>
  </r>
  <r>
    <d v="2024-01-06T00:00:00"/>
    <x v="2"/>
    <x v="2"/>
    <x v="1"/>
    <n v="81.010000000000005"/>
    <n v="9.99"/>
    <n v="3"/>
    <n v="61207.979999999989"/>
    <x v="1"/>
    <n v="7.1091091091091103"/>
    <x v="277"/>
    <x v="1"/>
    <x v="2"/>
    <x v="0"/>
    <n v="27.003333333333334"/>
  </r>
  <r>
    <d v="2024-01-29T00:00:00"/>
    <x v="1"/>
    <x v="1"/>
    <x v="0"/>
    <n v="118.39"/>
    <n v="46.45"/>
    <n v="2"/>
    <n v="61207.979999999989"/>
    <x v="1"/>
    <n v="1.5487621097954789"/>
    <x v="278"/>
    <x v="0"/>
    <x v="2"/>
    <x v="0"/>
    <n v="59.195"/>
  </r>
  <r>
    <d v="2024-04-02T00:00:00"/>
    <x v="1"/>
    <x v="0"/>
    <x v="1"/>
    <n v="192.86"/>
    <n v="6.09"/>
    <n v="1"/>
    <n v="58562.910000000018"/>
    <x v="1"/>
    <n v="30.668308702791464"/>
    <x v="279"/>
    <x v="1"/>
    <x v="1"/>
    <x v="1"/>
    <n v="192.86"/>
  </r>
  <r>
    <d v="2024-02-18T00:00:00"/>
    <x v="0"/>
    <x v="0"/>
    <x v="0"/>
    <n v="107.8"/>
    <n v="47.75"/>
    <n v="1"/>
    <n v="48675.899999999936"/>
    <x v="0"/>
    <n v="1.2575916230366491"/>
    <x v="280"/>
    <x v="1"/>
    <x v="0"/>
    <x v="0"/>
    <n v="107.8"/>
  </r>
  <r>
    <d v="2024-02-25T00:00:00"/>
    <x v="2"/>
    <x v="1"/>
    <x v="1"/>
    <n v="198.32"/>
    <n v="24.78"/>
    <n v="3"/>
    <n v="48675.899999999936"/>
    <x v="0"/>
    <n v="7.0032284100080702"/>
    <x v="281"/>
    <x v="0"/>
    <x v="0"/>
    <x v="0"/>
    <n v="66.106666666666669"/>
  </r>
  <r>
    <d v="2024-01-05T00:00:00"/>
    <x v="2"/>
    <x v="2"/>
    <x v="0"/>
    <n v="175.75"/>
    <n v="17.89"/>
    <n v="3"/>
    <n v="61207.979999999989"/>
    <x v="1"/>
    <n v="8.8239239798770264"/>
    <x v="282"/>
    <x v="1"/>
    <x v="2"/>
    <x v="0"/>
    <n v="58.583333333333336"/>
  </r>
  <r>
    <d v="2024-01-03T00:00:00"/>
    <x v="0"/>
    <x v="0"/>
    <x v="1"/>
    <n v="143.93"/>
    <n v="17.78"/>
    <n v="0"/>
    <n v="61207.979999999989"/>
    <x v="1"/>
    <n v="7.0950506186726656"/>
    <x v="283"/>
    <x v="1"/>
    <x v="2"/>
    <x v="0"/>
    <n v="0"/>
  </r>
  <r>
    <d v="2024-01-14T00:00:00"/>
    <x v="0"/>
    <x v="0"/>
    <x v="1"/>
    <n v="179.78"/>
    <n v="30.5"/>
    <n v="2"/>
    <n v="61207.979999999989"/>
    <x v="1"/>
    <n v="4.8944262295081966"/>
    <x v="284"/>
    <x v="0"/>
    <x v="2"/>
    <x v="0"/>
    <n v="89.89"/>
  </r>
  <r>
    <d v="2024-01-22T00:00:00"/>
    <x v="1"/>
    <x v="1"/>
    <x v="1"/>
    <n v="159.09"/>
    <n v="44.63"/>
    <n v="0"/>
    <n v="61207.979999999989"/>
    <x v="1"/>
    <n v="2.5646426170737171"/>
    <x v="285"/>
    <x v="0"/>
    <x v="2"/>
    <x v="0"/>
    <n v="0"/>
  </r>
  <r>
    <d v="2024-03-01T00:00:00"/>
    <x v="0"/>
    <x v="1"/>
    <x v="0"/>
    <n v="27.8"/>
    <n v="40.79"/>
    <n v="1"/>
    <n v="54735.250000000029"/>
    <x v="0"/>
    <n v="-0.31846040696249078"/>
    <x v="286"/>
    <x v="1"/>
    <x v="3"/>
    <x v="1"/>
    <n v="27.8"/>
  </r>
  <r>
    <d v="2024-04-26T00:00:00"/>
    <x v="0"/>
    <x v="0"/>
    <x v="0"/>
    <n v="118.87"/>
    <n v="26.65"/>
    <n v="3"/>
    <n v="58562.910000000018"/>
    <x v="1"/>
    <n v="3.4604127579737338"/>
    <x v="287"/>
    <x v="0"/>
    <x v="1"/>
    <x v="1"/>
    <n v="39.623333333333335"/>
  </r>
  <r>
    <d v="2024-01-26T00:00:00"/>
    <x v="0"/>
    <x v="1"/>
    <x v="1"/>
    <n v="145.94"/>
    <n v="17.36"/>
    <n v="1"/>
    <n v="61207.979999999989"/>
    <x v="1"/>
    <n v="7.4066820276497687"/>
    <x v="288"/>
    <x v="1"/>
    <x v="2"/>
    <x v="0"/>
    <n v="145.94"/>
  </r>
  <r>
    <d v="2024-04-16T00:00:00"/>
    <x v="4"/>
    <x v="1"/>
    <x v="1"/>
    <n v="76.760000000000005"/>
    <n v="30.28"/>
    <n v="2"/>
    <n v="58562.910000000018"/>
    <x v="1"/>
    <n v="1.5350066050198152"/>
    <x v="289"/>
    <x v="1"/>
    <x v="1"/>
    <x v="1"/>
    <n v="38.380000000000003"/>
  </r>
  <r>
    <d v="2024-03-15T00:00:00"/>
    <x v="2"/>
    <x v="2"/>
    <x v="0"/>
    <n v="146.34"/>
    <n v="24.17"/>
    <n v="1"/>
    <n v="54735.250000000029"/>
    <x v="0"/>
    <n v="5.0546131568059574"/>
    <x v="290"/>
    <x v="1"/>
    <x v="3"/>
    <x v="1"/>
    <n v="146.34"/>
  </r>
  <r>
    <d v="2024-02-21T00:00:00"/>
    <x v="4"/>
    <x v="0"/>
    <x v="0"/>
    <n v="74.209999999999994"/>
    <n v="13.74"/>
    <n v="0"/>
    <n v="48675.899999999936"/>
    <x v="0"/>
    <n v="4.401018922852983"/>
    <x v="291"/>
    <x v="0"/>
    <x v="0"/>
    <x v="0"/>
    <n v="0"/>
  </r>
  <r>
    <d v="2024-01-31T00:00:00"/>
    <x v="3"/>
    <x v="1"/>
    <x v="1"/>
    <n v="83.78"/>
    <n v="33.840000000000003"/>
    <n v="0"/>
    <n v="61207.979999999989"/>
    <x v="1"/>
    <n v="1.4757683215130022"/>
    <x v="292"/>
    <x v="0"/>
    <x v="2"/>
    <x v="0"/>
    <n v="0"/>
  </r>
  <r>
    <d v="2024-04-13T00:00:00"/>
    <x v="0"/>
    <x v="0"/>
    <x v="0"/>
    <n v="64.58"/>
    <n v="12.98"/>
    <n v="2"/>
    <n v="58562.910000000018"/>
    <x v="1"/>
    <n v="3.9753466872110934"/>
    <x v="293"/>
    <x v="1"/>
    <x v="1"/>
    <x v="1"/>
    <n v="32.29"/>
  </r>
  <r>
    <d v="2024-01-12T00:00:00"/>
    <x v="4"/>
    <x v="2"/>
    <x v="1"/>
    <n v="86.36"/>
    <n v="12.2"/>
    <n v="2"/>
    <n v="61207.979999999989"/>
    <x v="1"/>
    <n v="6.0786885245901638"/>
    <x v="294"/>
    <x v="1"/>
    <x v="2"/>
    <x v="0"/>
    <n v="43.18"/>
  </r>
  <r>
    <d v="2024-01-22T00:00:00"/>
    <x v="1"/>
    <x v="2"/>
    <x v="0"/>
    <n v="59.42"/>
    <n v="44.91"/>
    <n v="1"/>
    <n v="61207.979999999989"/>
    <x v="1"/>
    <n v="0.32309062569583624"/>
    <x v="295"/>
    <x v="0"/>
    <x v="2"/>
    <x v="0"/>
    <n v="59.42"/>
  </r>
  <r>
    <d v="2024-04-03T00:00:00"/>
    <x v="4"/>
    <x v="2"/>
    <x v="1"/>
    <n v="126.55"/>
    <n v="31.5"/>
    <n v="1"/>
    <n v="58562.910000000018"/>
    <x v="1"/>
    <n v="3.0174603174603174"/>
    <x v="296"/>
    <x v="1"/>
    <x v="1"/>
    <x v="1"/>
    <n v="126.55"/>
  </r>
  <r>
    <d v="2024-04-15T00:00:00"/>
    <x v="3"/>
    <x v="0"/>
    <x v="0"/>
    <n v="161.91999999999999"/>
    <n v="39.880000000000003"/>
    <n v="1"/>
    <n v="58562.910000000018"/>
    <x v="1"/>
    <n v="3.0601805416248742"/>
    <x v="297"/>
    <x v="0"/>
    <x v="1"/>
    <x v="1"/>
    <n v="161.91999999999999"/>
  </r>
  <r>
    <d v="2024-02-22T00:00:00"/>
    <x v="3"/>
    <x v="2"/>
    <x v="0"/>
    <n v="46.58"/>
    <n v="38.32"/>
    <n v="2"/>
    <n v="48675.899999999936"/>
    <x v="0"/>
    <n v="0.2155532359081419"/>
    <x v="298"/>
    <x v="1"/>
    <x v="0"/>
    <x v="0"/>
    <n v="23.29"/>
  </r>
  <r>
    <d v="2024-03-24T00:00:00"/>
    <x v="4"/>
    <x v="2"/>
    <x v="1"/>
    <n v="31.36"/>
    <n v="5.54"/>
    <n v="2"/>
    <n v="54735.250000000029"/>
    <x v="0"/>
    <n v="4.6606498194945845"/>
    <x v="299"/>
    <x v="0"/>
    <x v="3"/>
    <x v="1"/>
    <n v="15.68"/>
  </r>
  <r>
    <d v="2024-03-22T00:00:00"/>
    <x v="2"/>
    <x v="0"/>
    <x v="0"/>
    <n v="46.13"/>
    <n v="44.69"/>
    <n v="0"/>
    <n v="54735.250000000029"/>
    <x v="0"/>
    <n v="3.2221973595882858E-2"/>
    <x v="300"/>
    <x v="1"/>
    <x v="3"/>
    <x v="1"/>
    <n v="0"/>
  </r>
  <r>
    <d v="2024-01-05T00:00:00"/>
    <x v="4"/>
    <x v="2"/>
    <x v="1"/>
    <n v="120.18"/>
    <n v="32.630000000000003"/>
    <n v="2"/>
    <n v="61207.979999999989"/>
    <x v="1"/>
    <n v="2.683113699049954"/>
    <x v="301"/>
    <x v="0"/>
    <x v="2"/>
    <x v="0"/>
    <n v="60.09"/>
  </r>
  <r>
    <d v="2024-03-16T00:00:00"/>
    <x v="2"/>
    <x v="0"/>
    <x v="0"/>
    <n v="94.13"/>
    <n v="15.37"/>
    <n v="3"/>
    <n v="54735.250000000029"/>
    <x v="0"/>
    <n v="5.1242680546519193"/>
    <x v="302"/>
    <x v="0"/>
    <x v="3"/>
    <x v="1"/>
    <n v="31.376666666666665"/>
  </r>
  <r>
    <d v="2024-04-05T00:00:00"/>
    <x v="0"/>
    <x v="1"/>
    <x v="0"/>
    <n v="180.05"/>
    <n v="7.53"/>
    <n v="3"/>
    <n v="58562.910000000018"/>
    <x v="1"/>
    <n v="22.911022576361223"/>
    <x v="303"/>
    <x v="0"/>
    <x v="1"/>
    <x v="1"/>
    <n v="60.016666666666673"/>
  </r>
  <r>
    <d v="2024-04-09T00:00:00"/>
    <x v="0"/>
    <x v="2"/>
    <x v="0"/>
    <n v="142.26"/>
    <n v="18.510000000000002"/>
    <n v="0"/>
    <n v="58562.910000000018"/>
    <x v="1"/>
    <n v="6.6855753646677458"/>
    <x v="304"/>
    <x v="1"/>
    <x v="1"/>
    <x v="1"/>
    <n v="0"/>
  </r>
  <r>
    <d v="2024-04-21T00:00:00"/>
    <x v="3"/>
    <x v="0"/>
    <x v="0"/>
    <n v="119.87"/>
    <n v="19.260000000000002"/>
    <n v="0"/>
    <n v="58562.910000000018"/>
    <x v="1"/>
    <n v="5.2237798546209753"/>
    <x v="305"/>
    <x v="0"/>
    <x v="1"/>
    <x v="1"/>
    <n v="0"/>
  </r>
  <r>
    <d v="2024-04-05T00:00:00"/>
    <x v="1"/>
    <x v="1"/>
    <x v="0"/>
    <n v="57.69"/>
    <n v="42.07"/>
    <n v="1"/>
    <n v="58562.910000000018"/>
    <x v="1"/>
    <n v="0.3712859519847872"/>
    <x v="306"/>
    <x v="1"/>
    <x v="1"/>
    <x v="1"/>
    <n v="57.69"/>
  </r>
  <r>
    <d v="2024-04-18T00:00:00"/>
    <x v="2"/>
    <x v="1"/>
    <x v="0"/>
    <n v="171.42"/>
    <n v="8.69"/>
    <n v="3"/>
    <n v="58562.910000000018"/>
    <x v="1"/>
    <n v="18.726121979286535"/>
    <x v="307"/>
    <x v="1"/>
    <x v="1"/>
    <x v="1"/>
    <n v="57.139999999999993"/>
  </r>
  <r>
    <d v="2024-03-26T00:00:00"/>
    <x v="1"/>
    <x v="2"/>
    <x v="0"/>
    <n v="61.93"/>
    <n v="42.17"/>
    <n v="2"/>
    <n v="54735.250000000029"/>
    <x v="0"/>
    <n v="0.4685795589281479"/>
    <x v="308"/>
    <x v="1"/>
    <x v="3"/>
    <x v="1"/>
    <n v="30.965"/>
  </r>
  <r>
    <d v="2024-04-06T00:00:00"/>
    <x v="4"/>
    <x v="0"/>
    <x v="0"/>
    <n v="95.17"/>
    <n v="30.3"/>
    <n v="0"/>
    <n v="58562.910000000018"/>
    <x v="1"/>
    <n v="2.1409240924092412"/>
    <x v="309"/>
    <x v="1"/>
    <x v="1"/>
    <x v="1"/>
    <n v="0"/>
  </r>
  <r>
    <d v="2024-02-14T00:00:00"/>
    <x v="0"/>
    <x v="0"/>
    <x v="0"/>
    <n v="114.16"/>
    <n v="13.98"/>
    <n v="0"/>
    <n v="48675.899999999936"/>
    <x v="0"/>
    <n v="7.1659513590844055"/>
    <x v="310"/>
    <x v="1"/>
    <x v="0"/>
    <x v="0"/>
    <n v="0"/>
  </r>
  <r>
    <d v="2024-02-29T00:00:00"/>
    <x v="4"/>
    <x v="2"/>
    <x v="0"/>
    <n v="126.98"/>
    <n v="44.91"/>
    <n v="2"/>
    <n v="48675.899999999936"/>
    <x v="0"/>
    <n v="1.8274326430639058"/>
    <x v="311"/>
    <x v="1"/>
    <x v="0"/>
    <x v="0"/>
    <n v="63.49"/>
  </r>
  <r>
    <d v="2024-01-26T00:00:00"/>
    <x v="4"/>
    <x v="2"/>
    <x v="0"/>
    <n v="147.44999999999999"/>
    <n v="20.38"/>
    <n v="1"/>
    <n v="61207.979999999989"/>
    <x v="1"/>
    <n v="6.2350343473994112"/>
    <x v="312"/>
    <x v="1"/>
    <x v="2"/>
    <x v="0"/>
    <n v="147.44999999999999"/>
  </r>
  <r>
    <d v="2024-04-13T00:00:00"/>
    <x v="3"/>
    <x v="2"/>
    <x v="1"/>
    <n v="80.19"/>
    <n v="5.33"/>
    <n v="3"/>
    <n v="58562.910000000018"/>
    <x v="1"/>
    <n v="14.045028142589118"/>
    <x v="313"/>
    <x v="0"/>
    <x v="1"/>
    <x v="1"/>
    <n v="26.73"/>
  </r>
  <r>
    <d v="2024-01-17T00:00:00"/>
    <x v="2"/>
    <x v="0"/>
    <x v="0"/>
    <n v="180.51"/>
    <n v="45.96"/>
    <n v="2"/>
    <n v="61207.979999999989"/>
    <x v="1"/>
    <n v="2.9275456919060048"/>
    <x v="314"/>
    <x v="0"/>
    <x v="2"/>
    <x v="0"/>
    <n v="90.254999999999995"/>
  </r>
  <r>
    <d v="2024-01-27T00:00:00"/>
    <x v="2"/>
    <x v="0"/>
    <x v="0"/>
    <n v="198.96"/>
    <n v="4.76"/>
    <n v="2"/>
    <n v="61207.979999999989"/>
    <x v="1"/>
    <n v="40.7983193277311"/>
    <x v="315"/>
    <x v="1"/>
    <x v="2"/>
    <x v="0"/>
    <n v="99.48"/>
  </r>
  <r>
    <d v="2024-02-17T00:00:00"/>
    <x v="3"/>
    <x v="1"/>
    <x v="0"/>
    <n v="99.21"/>
    <n v="20.32"/>
    <n v="3"/>
    <n v="48675.899999999936"/>
    <x v="0"/>
    <n v="3.8823818897637787"/>
    <x v="316"/>
    <x v="1"/>
    <x v="0"/>
    <x v="0"/>
    <n v="33.07"/>
  </r>
  <r>
    <d v="2024-04-17T00:00:00"/>
    <x v="0"/>
    <x v="0"/>
    <x v="0"/>
    <n v="68.34"/>
    <n v="27.49"/>
    <n v="1"/>
    <n v="58562.910000000018"/>
    <x v="1"/>
    <n v="1.4859949072389964"/>
    <x v="317"/>
    <x v="1"/>
    <x v="1"/>
    <x v="1"/>
    <n v="68.34"/>
  </r>
  <r>
    <d v="2024-04-04T00:00:00"/>
    <x v="2"/>
    <x v="2"/>
    <x v="1"/>
    <n v="150.69"/>
    <n v="14.61"/>
    <n v="3"/>
    <n v="58562.910000000018"/>
    <x v="1"/>
    <n v="9.3141683778234086"/>
    <x v="318"/>
    <x v="1"/>
    <x v="1"/>
    <x v="1"/>
    <n v="50.23"/>
  </r>
  <r>
    <d v="2024-01-18T00:00:00"/>
    <x v="4"/>
    <x v="2"/>
    <x v="1"/>
    <n v="116.14"/>
    <n v="19.940000000000001"/>
    <n v="0"/>
    <n v="61207.979999999989"/>
    <x v="1"/>
    <n v="4.824473420260782"/>
    <x v="319"/>
    <x v="0"/>
    <x v="2"/>
    <x v="0"/>
    <n v="0"/>
  </r>
  <r>
    <d v="2024-03-23T00:00:00"/>
    <x v="2"/>
    <x v="2"/>
    <x v="1"/>
    <n v="178.12"/>
    <n v="18.77"/>
    <n v="3"/>
    <n v="54735.250000000029"/>
    <x v="0"/>
    <n v="8.4896110815130523"/>
    <x v="320"/>
    <x v="1"/>
    <x v="3"/>
    <x v="1"/>
    <n v="59.373333333333335"/>
  </r>
  <r>
    <d v="2024-02-29T00:00:00"/>
    <x v="4"/>
    <x v="1"/>
    <x v="1"/>
    <n v="37.01"/>
    <n v="19.16"/>
    <n v="2"/>
    <n v="48675.899999999936"/>
    <x v="0"/>
    <n v="0.93162839248434226"/>
    <x v="321"/>
    <x v="1"/>
    <x v="0"/>
    <x v="0"/>
    <n v="18.504999999999999"/>
  </r>
  <r>
    <d v="2024-02-18T00:00:00"/>
    <x v="0"/>
    <x v="0"/>
    <x v="0"/>
    <n v="103.89"/>
    <n v="9.27"/>
    <n v="1"/>
    <n v="48675.899999999936"/>
    <x v="0"/>
    <n v="10.207119741100325"/>
    <x v="322"/>
    <x v="1"/>
    <x v="0"/>
    <x v="0"/>
    <n v="103.89"/>
  </r>
  <r>
    <d v="2024-04-14T00:00:00"/>
    <x v="2"/>
    <x v="2"/>
    <x v="1"/>
    <n v="99.22"/>
    <n v="20.350000000000001"/>
    <n v="0"/>
    <n v="58562.910000000018"/>
    <x v="1"/>
    <n v="3.8756756756756756"/>
    <x v="323"/>
    <x v="1"/>
    <x v="1"/>
    <x v="1"/>
    <n v="0"/>
  </r>
  <r>
    <d v="2024-03-22T00:00:00"/>
    <x v="3"/>
    <x v="2"/>
    <x v="1"/>
    <n v="123.64"/>
    <n v="26.62"/>
    <n v="1"/>
    <n v="54735.250000000029"/>
    <x v="0"/>
    <n v="3.6446280991735533"/>
    <x v="324"/>
    <x v="1"/>
    <x v="3"/>
    <x v="1"/>
    <n v="123.64"/>
  </r>
  <r>
    <d v="2024-03-11T00:00:00"/>
    <x v="2"/>
    <x v="0"/>
    <x v="1"/>
    <n v="122.79"/>
    <n v="31.75"/>
    <n v="1"/>
    <n v="54735.250000000029"/>
    <x v="0"/>
    <n v="2.8674015748031496"/>
    <x v="325"/>
    <x v="0"/>
    <x v="3"/>
    <x v="1"/>
    <n v="122.79"/>
  </r>
  <r>
    <d v="2024-03-26T00:00:00"/>
    <x v="3"/>
    <x v="0"/>
    <x v="0"/>
    <n v="124.93"/>
    <n v="4.6900000000000004"/>
    <n v="3"/>
    <n v="54735.250000000029"/>
    <x v="0"/>
    <n v="25.637526652452024"/>
    <x v="326"/>
    <x v="0"/>
    <x v="3"/>
    <x v="1"/>
    <n v="41.643333333333338"/>
  </r>
  <r>
    <d v="2024-02-05T00:00:00"/>
    <x v="3"/>
    <x v="0"/>
    <x v="0"/>
    <n v="60.49"/>
    <n v="31.22"/>
    <n v="3"/>
    <n v="48675.899999999936"/>
    <x v="0"/>
    <n v="0.93754003843689959"/>
    <x v="327"/>
    <x v="0"/>
    <x v="0"/>
    <x v="0"/>
    <n v="20.163333333333334"/>
  </r>
  <r>
    <d v="2024-03-19T00:00:00"/>
    <x v="0"/>
    <x v="1"/>
    <x v="1"/>
    <n v="147.86000000000001"/>
    <n v="5.8"/>
    <n v="3"/>
    <n v="54735.250000000029"/>
    <x v="0"/>
    <n v="24.493103448275864"/>
    <x v="328"/>
    <x v="0"/>
    <x v="3"/>
    <x v="1"/>
    <n v="49.286666666666669"/>
  </r>
  <r>
    <d v="2024-04-19T00:00:00"/>
    <x v="3"/>
    <x v="1"/>
    <x v="0"/>
    <n v="20.010000000000002"/>
    <n v="34.909999999999997"/>
    <n v="2"/>
    <n v="58562.910000000018"/>
    <x v="1"/>
    <n v="-0.42681180177599531"/>
    <x v="329"/>
    <x v="0"/>
    <x v="1"/>
    <x v="1"/>
    <n v="10.005000000000001"/>
  </r>
  <r>
    <d v="2024-02-08T00:00:00"/>
    <x v="1"/>
    <x v="2"/>
    <x v="0"/>
    <n v="81.489999999999995"/>
    <n v="48.18"/>
    <n v="3"/>
    <n v="48675.899999999936"/>
    <x v="0"/>
    <n v="0.69136571191365703"/>
    <x v="330"/>
    <x v="0"/>
    <x v="0"/>
    <x v="0"/>
    <n v="27.16333333333333"/>
  </r>
  <r>
    <d v="2024-04-04T00:00:00"/>
    <x v="1"/>
    <x v="1"/>
    <x v="0"/>
    <n v="143.33000000000001"/>
    <n v="20.16"/>
    <n v="3"/>
    <n v="58562.910000000018"/>
    <x v="1"/>
    <n v="6.1096230158730167"/>
    <x v="331"/>
    <x v="0"/>
    <x v="1"/>
    <x v="1"/>
    <n v="47.776666666666671"/>
  </r>
  <r>
    <d v="2024-04-13T00:00:00"/>
    <x v="3"/>
    <x v="1"/>
    <x v="1"/>
    <n v="98.18"/>
    <n v="47.53"/>
    <n v="1"/>
    <n v="58562.910000000018"/>
    <x v="1"/>
    <n v="1.0656427519461393"/>
    <x v="332"/>
    <x v="1"/>
    <x v="1"/>
    <x v="1"/>
    <n v="98.18"/>
  </r>
  <r>
    <d v="2024-04-20T00:00:00"/>
    <x v="3"/>
    <x v="0"/>
    <x v="0"/>
    <n v="112.01"/>
    <n v="5.19"/>
    <n v="3"/>
    <n v="58562.910000000018"/>
    <x v="1"/>
    <n v="20.581888246628132"/>
    <x v="333"/>
    <x v="0"/>
    <x v="1"/>
    <x v="1"/>
    <n v="37.336666666666666"/>
  </r>
  <r>
    <d v="2024-04-09T00:00:00"/>
    <x v="3"/>
    <x v="0"/>
    <x v="1"/>
    <n v="95.46"/>
    <n v="1.9"/>
    <n v="0"/>
    <n v="58562.910000000018"/>
    <x v="1"/>
    <n v="49.242105263157889"/>
    <x v="334"/>
    <x v="1"/>
    <x v="1"/>
    <x v="1"/>
    <n v="0"/>
  </r>
  <r>
    <d v="2024-02-06T00:00:00"/>
    <x v="3"/>
    <x v="2"/>
    <x v="0"/>
    <n v="83.95"/>
    <n v="36.9"/>
    <n v="2"/>
    <n v="48675.899999999936"/>
    <x v="0"/>
    <n v="1.275067750677507"/>
    <x v="335"/>
    <x v="1"/>
    <x v="0"/>
    <x v="0"/>
    <n v="41.975000000000001"/>
  </r>
  <r>
    <d v="2024-03-16T00:00:00"/>
    <x v="3"/>
    <x v="0"/>
    <x v="1"/>
    <n v="83.47"/>
    <n v="15.44"/>
    <n v="3"/>
    <n v="54735.250000000029"/>
    <x v="0"/>
    <n v="4.4060880829015545"/>
    <x v="336"/>
    <x v="0"/>
    <x v="3"/>
    <x v="1"/>
    <n v="27.823333333333334"/>
  </r>
  <r>
    <d v="2024-01-24T00:00:00"/>
    <x v="4"/>
    <x v="1"/>
    <x v="1"/>
    <n v="43"/>
    <n v="21.31"/>
    <n v="0"/>
    <n v="61207.979999999989"/>
    <x v="1"/>
    <n v="1.0178320037541062"/>
    <x v="337"/>
    <x v="1"/>
    <x v="2"/>
    <x v="0"/>
    <n v="0"/>
  </r>
  <r>
    <d v="2024-01-10T00:00:00"/>
    <x v="3"/>
    <x v="1"/>
    <x v="1"/>
    <n v="95.85"/>
    <n v="4.54"/>
    <n v="1"/>
    <n v="61207.979999999989"/>
    <x v="1"/>
    <n v="20.112334801762113"/>
    <x v="338"/>
    <x v="0"/>
    <x v="2"/>
    <x v="0"/>
    <n v="95.85"/>
  </r>
  <r>
    <d v="2024-03-21T00:00:00"/>
    <x v="3"/>
    <x v="1"/>
    <x v="0"/>
    <n v="166.35"/>
    <n v="5.0199999999999996"/>
    <n v="1"/>
    <n v="54735.250000000029"/>
    <x v="0"/>
    <n v="32.137450199203187"/>
    <x v="339"/>
    <x v="0"/>
    <x v="3"/>
    <x v="1"/>
    <n v="166.35"/>
  </r>
  <r>
    <d v="2024-01-02T00:00:00"/>
    <x v="4"/>
    <x v="2"/>
    <x v="0"/>
    <n v="53.93"/>
    <n v="40.56"/>
    <n v="1"/>
    <n v="61207.979999999989"/>
    <x v="1"/>
    <n v="0.32963510848126226"/>
    <x v="340"/>
    <x v="1"/>
    <x v="2"/>
    <x v="0"/>
    <n v="53.93"/>
  </r>
  <r>
    <d v="2024-01-26T00:00:00"/>
    <x v="4"/>
    <x v="2"/>
    <x v="1"/>
    <n v="182.08"/>
    <n v="6.29"/>
    <n v="2"/>
    <n v="61207.979999999989"/>
    <x v="1"/>
    <n v="27.947535771065187"/>
    <x v="341"/>
    <x v="1"/>
    <x v="2"/>
    <x v="0"/>
    <n v="91.04"/>
  </r>
  <r>
    <d v="2024-02-04T00:00:00"/>
    <x v="1"/>
    <x v="1"/>
    <x v="1"/>
    <n v="24.64"/>
    <n v="32.75"/>
    <n v="1"/>
    <n v="48675.899999999936"/>
    <x v="0"/>
    <n v="-0.24763358778625952"/>
    <x v="342"/>
    <x v="0"/>
    <x v="0"/>
    <x v="0"/>
    <n v="24.64"/>
  </r>
  <r>
    <d v="2024-03-01T00:00:00"/>
    <x v="2"/>
    <x v="1"/>
    <x v="1"/>
    <n v="190.97"/>
    <n v="43.88"/>
    <n v="3"/>
    <n v="54735.250000000029"/>
    <x v="0"/>
    <n v="3.3520966271649955"/>
    <x v="343"/>
    <x v="1"/>
    <x v="3"/>
    <x v="1"/>
    <n v="63.656666666666666"/>
  </r>
  <r>
    <d v="2024-03-20T00:00:00"/>
    <x v="0"/>
    <x v="1"/>
    <x v="1"/>
    <n v="105.31"/>
    <n v="43.32"/>
    <n v="1"/>
    <n v="54735.250000000029"/>
    <x v="0"/>
    <n v="1.4309787626962143"/>
    <x v="344"/>
    <x v="0"/>
    <x v="3"/>
    <x v="1"/>
    <n v="105.31"/>
  </r>
  <r>
    <d v="2024-02-23T00:00:00"/>
    <x v="0"/>
    <x v="1"/>
    <x v="1"/>
    <n v="187.21"/>
    <n v="22.65"/>
    <n v="2"/>
    <n v="48675.899999999936"/>
    <x v="0"/>
    <n v="7.2653421633554087"/>
    <x v="345"/>
    <x v="0"/>
    <x v="0"/>
    <x v="0"/>
    <n v="93.605000000000004"/>
  </r>
  <r>
    <d v="2024-02-07T00:00:00"/>
    <x v="4"/>
    <x v="2"/>
    <x v="1"/>
    <n v="184.88"/>
    <n v="25.76"/>
    <n v="2"/>
    <n v="48675.899999999936"/>
    <x v="0"/>
    <n v="6.1770186335403725"/>
    <x v="346"/>
    <x v="0"/>
    <x v="0"/>
    <x v="0"/>
    <n v="92.44"/>
  </r>
  <r>
    <d v="2024-04-08T00:00:00"/>
    <x v="0"/>
    <x v="2"/>
    <x v="0"/>
    <n v="96.06"/>
    <n v="47.35"/>
    <n v="2"/>
    <n v="58562.910000000018"/>
    <x v="1"/>
    <n v="1.0287222808870116"/>
    <x v="347"/>
    <x v="0"/>
    <x v="1"/>
    <x v="1"/>
    <n v="48.03"/>
  </r>
  <r>
    <d v="2024-04-24T00:00:00"/>
    <x v="1"/>
    <x v="1"/>
    <x v="0"/>
    <n v="197.99"/>
    <n v="11.63"/>
    <n v="1"/>
    <n v="58562.910000000018"/>
    <x v="1"/>
    <n v="16.024075666380053"/>
    <x v="348"/>
    <x v="0"/>
    <x v="1"/>
    <x v="1"/>
    <n v="197.99"/>
  </r>
  <r>
    <d v="2024-03-08T00:00:00"/>
    <x v="4"/>
    <x v="0"/>
    <x v="0"/>
    <n v="194.62"/>
    <n v="16.329999999999998"/>
    <n v="3"/>
    <n v="54735.250000000029"/>
    <x v="0"/>
    <n v="10.917942437232091"/>
    <x v="349"/>
    <x v="0"/>
    <x v="3"/>
    <x v="1"/>
    <n v="64.873333333333335"/>
  </r>
  <r>
    <d v="2024-04-07T00:00:00"/>
    <x v="4"/>
    <x v="2"/>
    <x v="1"/>
    <n v="192.77"/>
    <n v="35.479999999999997"/>
    <n v="0"/>
    <n v="58562.910000000018"/>
    <x v="1"/>
    <n v="4.4332018038331462"/>
    <x v="350"/>
    <x v="0"/>
    <x v="1"/>
    <x v="1"/>
    <n v="0"/>
  </r>
  <r>
    <d v="2024-03-05T00:00:00"/>
    <x v="0"/>
    <x v="0"/>
    <x v="1"/>
    <n v="159.86000000000001"/>
    <n v="4.54"/>
    <n v="2"/>
    <n v="54735.250000000029"/>
    <x v="0"/>
    <n v="34.211453744493397"/>
    <x v="351"/>
    <x v="0"/>
    <x v="3"/>
    <x v="1"/>
    <n v="79.930000000000007"/>
  </r>
  <r>
    <d v="2024-01-11T00:00:00"/>
    <x v="2"/>
    <x v="2"/>
    <x v="1"/>
    <n v="166.88"/>
    <n v="11.06"/>
    <n v="2"/>
    <n v="61207.979999999989"/>
    <x v="1"/>
    <n v="14.088607594936708"/>
    <x v="352"/>
    <x v="1"/>
    <x v="2"/>
    <x v="0"/>
    <n v="83.44"/>
  </r>
  <r>
    <d v="2024-01-21T00:00:00"/>
    <x v="4"/>
    <x v="0"/>
    <x v="1"/>
    <n v="41.56"/>
    <n v="16.62"/>
    <n v="1"/>
    <n v="61207.979999999989"/>
    <x v="1"/>
    <n v="1.5006016847172081"/>
    <x v="353"/>
    <x v="1"/>
    <x v="2"/>
    <x v="0"/>
    <n v="41.56"/>
  </r>
  <r>
    <d v="2024-01-08T00:00:00"/>
    <x v="2"/>
    <x v="0"/>
    <x v="1"/>
    <n v="180.02"/>
    <n v="44.04"/>
    <n v="3"/>
    <n v="61207.979999999989"/>
    <x v="1"/>
    <n v="3.0876475930971847"/>
    <x v="354"/>
    <x v="0"/>
    <x v="2"/>
    <x v="0"/>
    <n v="60.006666666666668"/>
  </r>
  <r>
    <d v="2024-02-07T00:00:00"/>
    <x v="1"/>
    <x v="0"/>
    <x v="1"/>
    <n v="121.19"/>
    <n v="6.38"/>
    <n v="2"/>
    <n v="48675.899999999936"/>
    <x v="0"/>
    <n v="17.995297805642632"/>
    <x v="355"/>
    <x v="1"/>
    <x v="0"/>
    <x v="0"/>
    <n v="60.594999999999999"/>
  </r>
  <r>
    <d v="2024-01-11T00:00:00"/>
    <x v="4"/>
    <x v="0"/>
    <x v="1"/>
    <n v="60.34"/>
    <n v="27.99"/>
    <n v="3"/>
    <n v="61207.979999999989"/>
    <x v="1"/>
    <n v="1.155769917827796"/>
    <x v="356"/>
    <x v="1"/>
    <x v="2"/>
    <x v="0"/>
    <n v="20.113333333333333"/>
  </r>
  <r>
    <d v="2024-02-06T00:00:00"/>
    <x v="3"/>
    <x v="1"/>
    <x v="1"/>
    <n v="29.44"/>
    <n v="49.24"/>
    <n v="1"/>
    <n v="48675.899999999936"/>
    <x v="0"/>
    <n v="-0.40211210398050368"/>
    <x v="357"/>
    <x v="0"/>
    <x v="0"/>
    <x v="0"/>
    <n v="29.44"/>
  </r>
  <r>
    <d v="2024-02-26T00:00:00"/>
    <x v="1"/>
    <x v="1"/>
    <x v="0"/>
    <n v="64.569999999999993"/>
    <n v="10.55"/>
    <n v="3"/>
    <n v="48675.899999999936"/>
    <x v="0"/>
    <n v="5.1203791469194302"/>
    <x v="358"/>
    <x v="1"/>
    <x v="0"/>
    <x v="0"/>
    <n v="21.52333333333333"/>
  </r>
  <r>
    <d v="2024-03-15T00:00:00"/>
    <x v="3"/>
    <x v="2"/>
    <x v="0"/>
    <n v="197.41"/>
    <n v="3.8"/>
    <n v="2"/>
    <n v="54735.250000000029"/>
    <x v="0"/>
    <n v="50.949999999999996"/>
    <x v="359"/>
    <x v="1"/>
    <x v="3"/>
    <x v="1"/>
    <n v="98.704999999999998"/>
  </r>
  <r>
    <d v="2024-03-04T00:00:00"/>
    <x v="3"/>
    <x v="2"/>
    <x v="0"/>
    <n v="113.6"/>
    <n v="47.81"/>
    <n v="2"/>
    <n v="54735.250000000029"/>
    <x v="0"/>
    <n v="1.3760719514745867"/>
    <x v="360"/>
    <x v="1"/>
    <x v="3"/>
    <x v="1"/>
    <n v="56.8"/>
  </r>
  <r>
    <d v="2024-02-14T00:00:00"/>
    <x v="0"/>
    <x v="1"/>
    <x v="1"/>
    <n v="32.42"/>
    <n v="43.72"/>
    <n v="1"/>
    <n v="48675.899999999936"/>
    <x v="0"/>
    <n v="-0.25846294602012804"/>
    <x v="361"/>
    <x v="1"/>
    <x v="0"/>
    <x v="0"/>
    <n v="32.42"/>
  </r>
  <r>
    <d v="2024-04-24T00:00:00"/>
    <x v="3"/>
    <x v="1"/>
    <x v="0"/>
    <n v="199.93"/>
    <n v="12.71"/>
    <n v="0"/>
    <n v="58562.910000000018"/>
    <x v="1"/>
    <n v="14.730133752950431"/>
    <x v="362"/>
    <x v="1"/>
    <x v="1"/>
    <x v="1"/>
    <n v="0"/>
  </r>
  <r>
    <d v="2024-03-20T00:00:00"/>
    <x v="1"/>
    <x v="0"/>
    <x v="0"/>
    <n v="61.41"/>
    <n v="14.65"/>
    <n v="1"/>
    <n v="54735.250000000029"/>
    <x v="0"/>
    <n v="3.1918088737201362"/>
    <x v="363"/>
    <x v="0"/>
    <x v="3"/>
    <x v="1"/>
    <n v="61.41"/>
  </r>
  <r>
    <d v="2024-02-15T00:00:00"/>
    <x v="4"/>
    <x v="0"/>
    <x v="1"/>
    <n v="188.65"/>
    <n v="45.15"/>
    <n v="0"/>
    <n v="48675.899999999936"/>
    <x v="0"/>
    <n v="3.1782945736434112"/>
    <x v="364"/>
    <x v="1"/>
    <x v="0"/>
    <x v="0"/>
    <n v="0"/>
  </r>
  <r>
    <d v="2024-01-19T00:00:00"/>
    <x v="2"/>
    <x v="0"/>
    <x v="1"/>
    <n v="173.46"/>
    <n v="37.1"/>
    <n v="0"/>
    <n v="61207.979999999989"/>
    <x v="1"/>
    <n v="3.6754716981132076"/>
    <x v="365"/>
    <x v="1"/>
    <x v="2"/>
    <x v="0"/>
    <n v="0"/>
  </r>
  <r>
    <d v="2024-04-04T00:00:00"/>
    <x v="4"/>
    <x v="1"/>
    <x v="0"/>
    <n v="51.65"/>
    <n v="30.87"/>
    <n v="3"/>
    <n v="58562.910000000018"/>
    <x v="1"/>
    <n v="0.67314544865565262"/>
    <x v="366"/>
    <x v="0"/>
    <x v="1"/>
    <x v="1"/>
    <n v="17.216666666666665"/>
  </r>
  <r>
    <d v="2024-01-28T00:00:00"/>
    <x v="2"/>
    <x v="1"/>
    <x v="0"/>
    <n v="141.85"/>
    <n v="3.42"/>
    <n v="3"/>
    <n v="61207.979999999989"/>
    <x v="1"/>
    <n v="40.476608187134502"/>
    <x v="367"/>
    <x v="0"/>
    <x v="2"/>
    <x v="0"/>
    <n v="47.283333333333331"/>
  </r>
  <r>
    <d v="2024-01-01T00:00:00"/>
    <x v="1"/>
    <x v="1"/>
    <x v="0"/>
    <n v="152.19999999999999"/>
    <n v="16.940000000000001"/>
    <n v="0"/>
    <n v="61207.979999999989"/>
    <x v="1"/>
    <n v="7.984651711924438"/>
    <x v="368"/>
    <x v="0"/>
    <x v="2"/>
    <x v="0"/>
    <n v="0"/>
  </r>
  <r>
    <d v="2024-01-10T00:00:00"/>
    <x v="4"/>
    <x v="0"/>
    <x v="1"/>
    <n v="36.03"/>
    <n v="5.67"/>
    <n v="2"/>
    <n v="61207.979999999989"/>
    <x v="1"/>
    <n v="5.3544973544973544"/>
    <x v="369"/>
    <x v="1"/>
    <x v="2"/>
    <x v="0"/>
    <n v="18.015000000000001"/>
  </r>
  <r>
    <d v="2024-02-28T00:00:00"/>
    <x v="1"/>
    <x v="2"/>
    <x v="0"/>
    <n v="109.55"/>
    <n v="30.74"/>
    <n v="0"/>
    <n v="48675.899999999936"/>
    <x v="0"/>
    <n v="2.563760572543917"/>
    <x v="370"/>
    <x v="1"/>
    <x v="0"/>
    <x v="0"/>
    <n v="0"/>
  </r>
  <r>
    <d v="2024-01-28T00:00:00"/>
    <x v="0"/>
    <x v="2"/>
    <x v="1"/>
    <n v="50.12"/>
    <n v="8.1"/>
    <n v="1"/>
    <n v="61207.979999999989"/>
    <x v="1"/>
    <n v="5.1876543209876544"/>
    <x v="371"/>
    <x v="1"/>
    <x v="2"/>
    <x v="0"/>
    <n v="50.12"/>
  </r>
  <r>
    <d v="2024-04-18T00:00:00"/>
    <x v="0"/>
    <x v="2"/>
    <x v="1"/>
    <n v="88.43"/>
    <n v="18.91"/>
    <n v="3"/>
    <n v="58562.910000000018"/>
    <x v="1"/>
    <n v="3.6763617133791651"/>
    <x v="372"/>
    <x v="0"/>
    <x v="1"/>
    <x v="1"/>
    <n v="29.47666666666667"/>
  </r>
  <r>
    <d v="2024-02-11T00:00:00"/>
    <x v="1"/>
    <x v="1"/>
    <x v="1"/>
    <n v="159.58000000000001"/>
    <n v="3.22"/>
    <n v="1"/>
    <n v="48675.899999999936"/>
    <x v="0"/>
    <n v="48.559006211180126"/>
    <x v="373"/>
    <x v="0"/>
    <x v="0"/>
    <x v="0"/>
    <n v="159.58000000000001"/>
  </r>
  <r>
    <d v="2024-02-16T00:00:00"/>
    <x v="1"/>
    <x v="2"/>
    <x v="1"/>
    <n v="164.01"/>
    <n v="35.71"/>
    <n v="1"/>
    <n v="48675.899999999936"/>
    <x v="0"/>
    <n v="3.5928311397367678"/>
    <x v="374"/>
    <x v="0"/>
    <x v="0"/>
    <x v="0"/>
    <n v="164.01"/>
  </r>
  <r>
    <d v="2024-03-05T00:00:00"/>
    <x v="4"/>
    <x v="2"/>
    <x v="1"/>
    <n v="94.64"/>
    <n v="41.06"/>
    <n v="3"/>
    <n v="54735.250000000029"/>
    <x v="0"/>
    <n v="1.3049196298100341"/>
    <x v="375"/>
    <x v="1"/>
    <x v="3"/>
    <x v="1"/>
    <n v="31.546666666666667"/>
  </r>
  <r>
    <d v="2024-03-18T00:00:00"/>
    <x v="2"/>
    <x v="2"/>
    <x v="1"/>
    <n v="138.94999999999999"/>
    <n v="1.19"/>
    <n v="3"/>
    <n v="54735.250000000029"/>
    <x v="0"/>
    <n v="115.76470588235294"/>
    <x v="376"/>
    <x v="0"/>
    <x v="3"/>
    <x v="1"/>
    <n v="46.316666666666663"/>
  </r>
  <r>
    <d v="2024-02-13T00:00:00"/>
    <x v="0"/>
    <x v="2"/>
    <x v="1"/>
    <n v="39.36"/>
    <n v="43.16"/>
    <n v="1"/>
    <n v="48675.899999999936"/>
    <x v="0"/>
    <n v="-8.8044485634847028E-2"/>
    <x v="377"/>
    <x v="0"/>
    <x v="0"/>
    <x v="0"/>
    <n v="39.36"/>
  </r>
  <r>
    <d v="2024-04-10T00:00:00"/>
    <x v="3"/>
    <x v="0"/>
    <x v="1"/>
    <n v="78.14"/>
    <n v="24.04"/>
    <n v="0"/>
    <n v="58562.910000000018"/>
    <x v="1"/>
    <n v="2.250415973377704"/>
    <x v="378"/>
    <x v="0"/>
    <x v="1"/>
    <x v="1"/>
    <n v="0"/>
  </r>
  <r>
    <d v="2024-03-02T00:00:00"/>
    <x v="4"/>
    <x v="0"/>
    <x v="0"/>
    <n v="74.02"/>
    <n v="48.33"/>
    <n v="0"/>
    <n v="54735.250000000029"/>
    <x v="0"/>
    <n v="0.53155390026898408"/>
    <x v="379"/>
    <x v="1"/>
    <x v="3"/>
    <x v="1"/>
    <n v="0"/>
  </r>
  <r>
    <d v="2024-03-12T00:00:00"/>
    <x v="3"/>
    <x v="0"/>
    <x v="1"/>
    <n v="112.65"/>
    <n v="13.39"/>
    <n v="2"/>
    <n v="54735.250000000029"/>
    <x v="0"/>
    <n v="7.4129947722180729"/>
    <x v="380"/>
    <x v="1"/>
    <x v="3"/>
    <x v="1"/>
    <n v="56.325000000000003"/>
  </r>
  <r>
    <d v="2024-02-08T00:00:00"/>
    <x v="3"/>
    <x v="1"/>
    <x v="1"/>
    <n v="166.48"/>
    <n v="1.71"/>
    <n v="1"/>
    <n v="48675.899999999936"/>
    <x v="0"/>
    <n v="96.356725146198826"/>
    <x v="381"/>
    <x v="1"/>
    <x v="0"/>
    <x v="0"/>
    <n v="166.48"/>
  </r>
  <r>
    <d v="2024-01-24T00:00:00"/>
    <x v="3"/>
    <x v="0"/>
    <x v="0"/>
    <n v="93.54"/>
    <n v="36.89"/>
    <n v="3"/>
    <n v="61207.979999999989"/>
    <x v="1"/>
    <n v="1.5356465166711848"/>
    <x v="382"/>
    <x v="0"/>
    <x v="2"/>
    <x v="0"/>
    <n v="31.180000000000003"/>
  </r>
  <r>
    <d v="2024-01-23T00:00:00"/>
    <x v="0"/>
    <x v="2"/>
    <x v="1"/>
    <n v="21.71"/>
    <n v="15.98"/>
    <n v="3"/>
    <n v="61207.979999999989"/>
    <x v="1"/>
    <n v="0.35857321652065083"/>
    <x v="383"/>
    <x v="0"/>
    <x v="2"/>
    <x v="0"/>
    <n v="7.2366666666666672"/>
  </r>
  <r>
    <d v="2024-04-09T00:00:00"/>
    <x v="4"/>
    <x v="1"/>
    <x v="0"/>
    <n v="175.47"/>
    <n v="30.66"/>
    <n v="0"/>
    <n v="58562.910000000018"/>
    <x v="1"/>
    <n v="4.7230919765166339"/>
    <x v="384"/>
    <x v="0"/>
    <x v="1"/>
    <x v="1"/>
    <n v="0"/>
  </r>
  <r>
    <d v="2024-04-18T00:00:00"/>
    <x v="0"/>
    <x v="1"/>
    <x v="0"/>
    <n v="78.180000000000007"/>
    <n v="34.24"/>
    <n v="3"/>
    <n v="58562.910000000018"/>
    <x v="1"/>
    <n v="1.2832943925233646"/>
    <x v="385"/>
    <x v="0"/>
    <x v="1"/>
    <x v="1"/>
    <n v="26.060000000000002"/>
  </r>
  <r>
    <d v="2024-02-13T00:00:00"/>
    <x v="1"/>
    <x v="0"/>
    <x v="0"/>
    <n v="60.53"/>
    <n v="49.96"/>
    <n v="0"/>
    <n v="48675.899999999936"/>
    <x v="0"/>
    <n v="0.21156925540432345"/>
    <x v="386"/>
    <x v="0"/>
    <x v="0"/>
    <x v="0"/>
    <n v="0"/>
  </r>
  <r>
    <d v="2024-01-06T00:00:00"/>
    <x v="2"/>
    <x v="2"/>
    <x v="1"/>
    <n v="135.21"/>
    <n v="16.37"/>
    <n v="0"/>
    <n v="61207.979999999989"/>
    <x v="1"/>
    <n v="7.2596212583995108"/>
    <x v="387"/>
    <x v="1"/>
    <x v="2"/>
    <x v="0"/>
    <n v="0"/>
  </r>
  <r>
    <d v="2024-01-01T00:00:00"/>
    <x v="2"/>
    <x v="1"/>
    <x v="0"/>
    <n v="30.07"/>
    <n v="2.16"/>
    <n v="1"/>
    <n v="61207.979999999989"/>
    <x v="1"/>
    <n v="12.921296296296296"/>
    <x v="99"/>
    <x v="1"/>
    <x v="2"/>
    <x v="0"/>
    <n v="30.07"/>
  </r>
  <r>
    <d v="2024-04-23T00:00:00"/>
    <x v="3"/>
    <x v="2"/>
    <x v="0"/>
    <n v="50.79"/>
    <n v="19.63"/>
    <n v="0"/>
    <n v="58562.910000000018"/>
    <x v="1"/>
    <n v="1.5873662761079981"/>
    <x v="388"/>
    <x v="1"/>
    <x v="1"/>
    <x v="1"/>
    <n v="0"/>
  </r>
  <r>
    <d v="2024-04-01T00:00:00"/>
    <x v="2"/>
    <x v="2"/>
    <x v="0"/>
    <n v="93.56"/>
    <n v="46.62"/>
    <n v="1"/>
    <n v="58562.910000000018"/>
    <x v="1"/>
    <n v="1.0068640068640071"/>
    <x v="389"/>
    <x v="1"/>
    <x v="1"/>
    <x v="1"/>
    <n v="93.56"/>
  </r>
  <r>
    <d v="2024-04-15T00:00:00"/>
    <x v="2"/>
    <x v="0"/>
    <x v="1"/>
    <n v="152.62"/>
    <n v="43.85"/>
    <n v="1"/>
    <n v="58562.910000000018"/>
    <x v="1"/>
    <n v="2.480501710376283"/>
    <x v="390"/>
    <x v="0"/>
    <x v="1"/>
    <x v="1"/>
    <n v="152.62"/>
  </r>
  <r>
    <d v="2024-01-20T00:00:00"/>
    <x v="1"/>
    <x v="1"/>
    <x v="0"/>
    <n v="97.61"/>
    <n v="8.58"/>
    <n v="3"/>
    <n v="61207.979999999989"/>
    <x v="1"/>
    <n v="10.376456876456876"/>
    <x v="391"/>
    <x v="0"/>
    <x v="2"/>
    <x v="0"/>
    <n v="32.536666666666669"/>
  </r>
  <r>
    <d v="2024-02-12T00:00:00"/>
    <x v="1"/>
    <x v="0"/>
    <x v="0"/>
    <n v="130.63999999999999"/>
    <n v="32.44"/>
    <n v="2"/>
    <n v="48675.899999999936"/>
    <x v="0"/>
    <n v="3.0271270036991367"/>
    <x v="392"/>
    <x v="0"/>
    <x v="0"/>
    <x v="0"/>
    <n v="65.319999999999993"/>
  </r>
  <r>
    <d v="2024-02-09T00:00:00"/>
    <x v="3"/>
    <x v="2"/>
    <x v="1"/>
    <n v="64.930000000000007"/>
    <n v="49.02"/>
    <n v="1"/>
    <n v="48675.899999999936"/>
    <x v="0"/>
    <n v="0.324561403508772"/>
    <x v="393"/>
    <x v="1"/>
    <x v="0"/>
    <x v="0"/>
    <n v="64.930000000000007"/>
  </r>
  <r>
    <d v="2024-01-26T00:00:00"/>
    <x v="4"/>
    <x v="2"/>
    <x v="1"/>
    <n v="81.3"/>
    <n v="47.02"/>
    <n v="1"/>
    <n v="61207.979999999989"/>
    <x v="1"/>
    <n v="0.72905146746065486"/>
    <x v="394"/>
    <x v="0"/>
    <x v="2"/>
    <x v="0"/>
    <n v="81.3"/>
  </r>
  <r>
    <d v="2024-02-26T00:00:00"/>
    <x v="3"/>
    <x v="2"/>
    <x v="0"/>
    <n v="28.04"/>
    <n v="7.22"/>
    <n v="0"/>
    <n v="48675.899999999936"/>
    <x v="0"/>
    <n v="2.8836565096952911"/>
    <x v="395"/>
    <x v="0"/>
    <x v="0"/>
    <x v="0"/>
    <n v="0"/>
  </r>
  <r>
    <d v="2024-02-20T00:00:00"/>
    <x v="3"/>
    <x v="2"/>
    <x v="1"/>
    <n v="70.459999999999994"/>
    <n v="8.1199999999999992"/>
    <n v="2"/>
    <n v="48675.899999999936"/>
    <x v="0"/>
    <n v="7.6773399014778327"/>
    <x v="396"/>
    <x v="0"/>
    <x v="0"/>
    <x v="0"/>
    <n v="35.229999999999997"/>
  </r>
  <r>
    <d v="2024-02-25T00:00:00"/>
    <x v="4"/>
    <x v="1"/>
    <x v="1"/>
    <n v="95.7"/>
    <n v="3.86"/>
    <n v="1"/>
    <n v="48675.899999999936"/>
    <x v="0"/>
    <n v="23.79274611398964"/>
    <x v="397"/>
    <x v="1"/>
    <x v="0"/>
    <x v="0"/>
    <n v="95.7"/>
  </r>
  <r>
    <d v="2024-02-26T00:00:00"/>
    <x v="4"/>
    <x v="0"/>
    <x v="1"/>
    <n v="78.25"/>
    <n v="39.56"/>
    <n v="1"/>
    <n v="48675.899999999936"/>
    <x v="0"/>
    <n v="0.97800808897876634"/>
    <x v="398"/>
    <x v="1"/>
    <x v="0"/>
    <x v="0"/>
    <n v="78.25"/>
  </r>
  <r>
    <d v="2024-01-22T00:00:00"/>
    <x v="2"/>
    <x v="2"/>
    <x v="1"/>
    <n v="149.22"/>
    <n v="37.58"/>
    <n v="0"/>
    <n v="61207.979999999989"/>
    <x v="1"/>
    <n v="2.9707291112293777"/>
    <x v="399"/>
    <x v="1"/>
    <x v="2"/>
    <x v="0"/>
    <n v="0"/>
  </r>
  <r>
    <d v="2024-03-18T00:00:00"/>
    <x v="2"/>
    <x v="0"/>
    <x v="0"/>
    <n v="27.71"/>
    <n v="16.28"/>
    <n v="0"/>
    <n v="54735.250000000029"/>
    <x v="0"/>
    <n v="0.70208845208845205"/>
    <x v="400"/>
    <x v="1"/>
    <x v="3"/>
    <x v="1"/>
    <n v="0"/>
  </r>
  <r>
    <d v="2024-01-04T00:00:00"/>
    <x v="3"/>
    <x v="2"/>
    <x v="1"/>
    <n v="52.59"/>
    <n v="14.32"/>
    <n v="3"/>
    <n v="61207.979999999989"/>
    <x v="1"/>
    <n v="2.6724860335195531"/>
    <x v="401"/>
    <x v="0"/>
    <x v="2"/>
    <x v="0"/>
    <n v="17.53"/>
  </r>
  <r>
    <d v="2024-01-25T00:00:00"/>
    <x v="2"/>
    <x v="1"/>
    <x v="1"/>
    <n v="164.12"/>
    <n v="31.41"/>
    <n v="3"/>
    <n v="61207.979999999989"/>
    <x v="1"/>
    <n v="4.2250875517351165"/>
    <x v="402"/>
    <x v="0"/>
    <x v="2"/>
    <x v="0"/>
    <n v="54.706666666666671"/>
  </r>
  <r>
    <d v="2024-02-09T00:00:00"/>
    <x v="1"/>
    <x v="0"/>
    <x v="0"/>
    <n v="174.63"/>
    <n v="1.58"/>
    <n v="0"/>
    <n v="48675.899999999936"/>
    <x v="0"/>
    <n v="109.52531645569618"/>
    <x v="403"/>
    <x v="0"/>
    <x v="0"/>
    <x v="0"/>
    <n v="0"/>
  </r>
  <r>
    <d v="2024-04-21T00:00:00"/>
    <x v="4"/>
    <x v="0"/>
    <x v="1"/>
    <n v="142.12"/>
    <n v="4.17"/>
    <n v="3"/>
    <n v="58562.910000000018"/>
    <x v="1"/>
    <n v="33.081534772182259"/>
    <x v="404"/>
    <x v="1"/>
    <x v="1"/>
    <x v="1"/>
    <n v="47.373333333333335"/>
  </r>
  <r>
    <d v="2024-02-16T00:00:00"/>
    <x v="4"/>
    <x v="1"/>
    <x v="1"/>
    <n v="195.64"/>
    <n v="11.86"/>
    <n v="3"/>
    <n v="48675.899999999936"/>
    <x v="0"/>
    <n v="15.495784148397975"/>
    <x v="405"/>
    <x v="1"/>
    <x v="0"/>
    <x v="0"/>
    <n v="65.213333333333324"/>
  </r>
  <r>
    <d v="2024-03-18T00:00:00"/>
    <x v="2"/>
    <x v="2"/>
    <x v="1"/>
    <n v="34.36"/>
    <n v="3.49"/>
    <n v="1"/>
    <n v="54735.250000000029"/>
    <x v="0"/>
    <n v="8.8452722063037239"/>
    <x v="406"/>
    <x v="1"/>
    <x v="3"/>
    <x v="1"/>
    <n v="34.36"/>
  </r>
  <r>
    <d v="2024-03-06T00:00:00"/>
    <x v="1"/>
    <x v="2"/>
    <x v="0"/>
    <n v="98.04"/>
    <n v="0.32"/>
    <n v="1"/>
    <n v="54735.250000000029"/>
    <x v="0"/>
    <n v="305.37500000000006"/>
    <x v="407"/>
    <x v="1"/>
    <x v="3"/>
    <x v="1"/>
    <n v="98.04"/>
  </r>
  <r>
    <d v="2024-01-21T00:00:00"/>
    <x v="1"/>
    <x v="1"/>
    <x v="0"/>
    <n v="41.53"/>
    <n v="23.69"/>
    <n v="1"/>
    <n v="61207.979999999989"/>
    <x v="1"/>
    <n v="0.75306036302237223"/>
    <x v="408"/>
    <x v="0"/>
    <x v="2"/>
    <x v="0"/>
    <n v="41.53"/>
  </r>
  <r>
    <d v="2024-02-29T00:00:00"/>
    <x v="2"/>
    <x v="1"/>
    <x v="1"/>
    <n v="134.76"/>
    <n v="4.93"/>
    <n v="3"/>
    <n v="48675.899999999936"/>
    <x v="0"/>
    <n v="26.334685598377281"/>
    <x v="409"/>
    <x v="1"/>
    <x v="0"/>
    <x v="0"/>
    <n v="44.919999999999995"/>
  </r>
  <r>
    <d v="2024-04-08T00:00:00"/>
    <x v="3"/>
    <x v="2"/>
    <x v="1"/>
    <n v="91.68"/>
    <n v="35.33"/>
    <n v="1"/>
    <n v="58562.910000000018"/>
    <x v="1"/>
    <n v="1.5949617888480048"/>
    <x v="410"/>
    <x v="0"/>
    <x v="1"/>
    <x v="1"/>
    <n v="91.68"/>
  </r>
  <r>
    <d v="2024-01-27T00:00:00"/>
    <x v="3"/>
    <x v="1"/>
    <x v="1"/>
    <n v="147.82"/>
    <n v="32.11"/>
    <n v="0"/>
    <n v="61207.979999999989"/>
    <x v="1"/>
    <n v="3.6035502958579881"/>
    <x v="411"/>
    <x v="0"/>
    <x v="2"/>
    <x v="0"/>
    <n v="0"/>
  </r>
  <r>
    <d v="2024-02-20T00:00:00"/>
    <x v="1"/>
    <x v="1"/>
    <x v="0"/>
    <n v="147"/>
    <n v="14.3"/>
    <n v="2"/>
    <n v="48675.899999999936"/>
    <x v="0"/>
    <n v="9.2797202797202782"/>
    <x v="412"/>
    <x v="1"/>
    <x v="0"/>
    <x v="0"/>
    <n v="73.5"/>
  </r>
  <r>
    <d v="2024-02-24T00:00:00"/>
    <x v="2"/>
    <x v="2"/>
    <x v="0"/>
    <n v="22.74"/>
    <n v="34.06"/>
    <n v="3"/>
    <n v="48675.899999999936"/>
    <x v="0"/>
    <n v="-0.3323546682325309"/>
    <x v="413"/>
    <x v="0"/>
    <x v="0"/>
    <x v="0"/>
    <n v="7.5799999999999992"/>
  </r>
  <r>
    <d v="2024-03-02T00:00:00"/>
    <x v="3"/>
    <x v="1"/>
    <x v="1"/>
    <n v="149.6"/>
    <n v="38.81"/>
    <n v="3"/>
    <n v="54735.250000000029"/>
    <x v="0"/>
    <n v="2.854676629734604"/>
    <x v="414"/>
    <x v="1"/>
    <x v="3"/>
    <x v="1"/>
    <n v="49.866666666666667"/>
  </r>
  <r>
    <d v="2024-04-29T00:00:00"/>
    <x v="1"/>
    <x v="1"/>
    <x v="0"/>
    <n v="174.11"/>
    <n v="31.22"/>
    <n v="1"/>
    <n v="58562.910000000018"/>
    <x v="1"/>
    <n v="4.5768737988468935"/>
    <x v="415"/>
    <x v="0"/>
    <x v="1"/>
    <x v="1"/>
    <n v="174.11"/>
  </r>
  <r>
    <d v="2024-02-19T00:00:00"/>
    <x v="1"/>
    <x v="1"/>
    <x v="0"/>
    <n v="103.01"/>
    <n v="27.93"/>
    <n v="0"/>
    <n v="48675.899999999936"/>
    <x v="0"/>
    <n v="2.6881489437880419"/>
    <x v="416"/>
    <x v="1"/>
    <x v="0"/>
    <x v="0"/>
    <n v="0"/>
  </r>
  <r>
    <d v="2024-01-13T00:00:00"/>
    <x v="1"/>
    <x v="2"/>
    <x v="0"/>
    <n v="194.62"/>
    <n v="24.01"/>
    <n v="0"/>
    <n v="61207.979999999989"/>
    <x v="1"/>
    <n v="7.1057892544773011"/>
    <x v="417"/>
    <x v="1"/>
    <x v="2"/>
    <x v="0"/>
    <n v="0"/>
  </r>
  <r>
    <d v="2024-01-31T00:00:00"/>
    <x v="3"/>
    <x v="0"/>
    <x v="1"/>
    <n v="123.74"/>
    <n v="40.81"/>
    <n v="0"/>
    <n v="61207.979999999989"/>
    <x v="1"/>
    <n v="2.0320999754962017"/>
    <x v="418"/>
    <x v="0"/>
    <x v="2"/>
    <x v="0"/>
    <n v="0"/>
  </r>
  <r>
    <d v="2024-01-23T00:00:00"/>
    <x v="4"/>
    <x v="0"/>
    <x v="0"/>
    <n v="32.29"/>
    <n v="40.14"/>
    <n v="0"/>
    <n v="61207.979999999989"/>
    <x v="1"/>
    <n v="-0.19556552067762834"/>
    <x v="419"/>
    <x v="0"/>
    <x v="2"/>
    <x v="0"/>
    <n v="0"/>
  </r>
  <r>
    <d v="2024-04-28T00:00:00"/>
    <x v="3"/>
    <x v="0"/>
    <x v="1"/>
    <n v="197.05"/>
    <n v="17.02"/>
    <n v="2"/>
    <n v="58562.910000000018"/>
    <x v="1"/>
    <n v="10.577555816686251"/>
    <x v="420"/>
    <x v="1"/>
    <x v="1"/>
    <x v="1"/>
    <n v="98.525000000000006"/>
  </r>
  <r>
    <d v="2024-02-04T00:00:00"/>
    <x v="1"/>
    <x v="0"/>
    <x v="0"/>
    <n v="152.86000000000001"/>
    <n v="12.03"/>
    <n v="3"/>
    <n v="48675.899999999936"/>
    <x v="0"/>
    <n v="11.706566916043228"/>
    <x v="421"/>
    <x v="0"/>
    <x v="0"/>
    <x v="0"/>
    <n v="50.95333333333334"/>
  </r>
  <r>
    <d v="2024-03-15T00:00:00"/>
    <x v="0"/>
    <x v="1"/>
    <x v="1"/>
    <n v="94.72"/>
    <n v="11.66"/>
    <n v="2"/>
    <n v="54735.250000000029"/>
    <x v="0"/>
    <n v="7.1234991423670673"/>
    <x v="422"/>
    <x v="0"/>
    <x v="3"/>
    <x v="1"/>
    <n v="47.36"/>
  </r>
  <r>
    <d v="2024-02-12T00:00:00"/>
    <x v="4"/>
    <x v="1"/>
    <x v="1"/>
    <n v="45.4"/>
    <n v="38.630000000000003"/>
    <n v="0"/>
    <n v="48675.899999999936"/>
    <x v="0"/>
    <n v="0.17525239451203717"/>
    <x v="423"/>
    <x v="0"/>
    <x v="0"/>
    <x v="0"/>
    <n v="0"/>
  </r>
  <r>
    <d v="2024-04-02T00:00:00"/>
    <x v="3"/>
    <x v="1"/>
    <x v="0"/>
    <n v="160.21"/>
    <n v="45.98"/>
    <n v="0"/>
    <n v="58562.910000000018"/>
    <x v="1"/>
    <n v="2.4843410178338412"/>
    <x v="424"/>
    <x v="0"/>
    <x v="1"/>
    <x v="1"/>
    <n v="0"/>
  </r>
  <r>
    <d v="2024-01-09T00:00:00"/>
    <x v="3"/>
    <x v="0"/>
    <x v="1"/>
    <n v="124.96"/>
    <n v="11.87"/>
    <n v="3"/>
    <n v="61207.979999999989"/>
    <x v="1"/>
    <n v="9.527379949452401"/>
    <x v="425"/>
    <x v="0"/>
    <x v="2"/>
    <x v="0"/>
    <n v="41.653333333333329"/>
  </r>
  <r>
    <d v="2024-01-10T00:00:00"/>
    <x v="4"/>
    <x v="1"/>
    <x v="1"/>
    <n v="64"/>
    <n v="23"/>
    <n v="1"/>
    <n v="61207.979999999989"/>
    <x v="1"/>
    <n v="1.7826086956521738"/>
    <x v="426"/>
    <x v="1"/>
    <x v="2"/>
    <x v="0"/>
    <n v="64"/>
  </r>
  <r>
    <d v="2024-04-09T00:00:00"/>
    <x v="4"/>
    <x v="0"/>
    <x v="1"/>
    <n v="80.16"/>
    <n v="39.340000000000003"/>
    <n v="2"/>
    <n v="58562.910000000018"/>
    <x v="1"/>
    <n v="1.0376207422470765"/>
    <x v="427"/>
    <x v="0"/>
    <x v="1"/>
    <x v="1"/>
    <n v="40.08"/>
  </r>
  <r>
    <d v="2024-04-29T00:00:00"/>
    <x v="2"/>
    <x v="0"/>
    <x v="0"/>
    <n v="173.65"/>
    <n v="41.01"/>
    <n v="3"/>
    <n v="58562.910000000018"/>
    <x v="1"/>
    <n v="3.2343330894903688"/>
    <x v="428"/>
    <x v="1"/>
    <x v="1"/>
    <x v="1"/>
    <n v="57.883333333333333"/>
  </r>
  <r>
    <d v="2024-04-02T00:00:00"/>
    <x v="0"/>
    <x v="2"/>
    <x v="0"/>
    <n v="114.84"/>
    <n v="45.73"/>
    <n v="3"/>
    <n v="58562.910000000018"/>
    <x v="1"/>
    <n v="1.5112617537721413"/>
    <x v="429"/>
    <x v="0"/>
    <x v="1"/>
    <x v="1"/>
    <n v="38.28"/>
  </r>
  <r>
    <d v="2024-04-11T00:00:00"/>
    <x v="1"/>
    <x v="1"/>
    <x v="0"/>
    <n v="129.52000000000001"/>
    <n v="24.02"/>
    <n v="2"/>
    <n v="58562.910000000018"/>
    <x v="1"/>
    <n v="4.39217318900916"/>
    <x v="430"/>
    <x v="1"/>
    <x v="1"/>
    <x v="1"/>
    <n v="64.760000000000005"/>
  </r>
  <r>
    <d v="2024-02-24T00:00:00"/>
    <x v="3"/>
    <x v="0"/>
    <x v="0"/>
    <n v="90.12"/>
    <n v="5.03"/>
    <n v="1"/>
    <n v="48675.899999999936"/>
    <x v="0"/>
    <n v="16.916500994035786"/>
    <x v="431"/>
    <x v="1"/>
    <x v="0"/>
    <x v="0"/>
    <n v="90.12"/>
  </r>
  <r>
    <d v="2024-04-23T00:00:00"/>
    <x v="1"/>
    <x v="0"/>
    <x v="1"/>
    <n v="32.06"/>
    <n v="30.44"/>
    <n v="0"/>
    <n v="58562.910000000018"/>
    <x v="1"/>
    <n v="5.3219448094612383E-2"/>
    <x v="432"/>
    <x v="0"/>
    <x v="1"/>
    <x v="1"/>
    <n v="0"/>
  </r>
  <r>
    <d v="2024-02-25T00:00:00"/>
    <x v="2"/>
    <x v="0"/>
    <x v="0"/>
    <n v="21.06"/>
    <n v="17.64"/>
    <n v="2"/>
    <n v="48675.899999999936"/>
    <x v="0"/>
    <n v="0.19387755102040805"/>
    <x v="433"/>
    <x v="0"/>
    <x v="0"/>
    <x v="0"/>
    <n v="10.53"/>
  </r>
  <r>
    <d v="2024-04-16T00:00:00"/>
    <x v="1"/>
    <x v="1"/>
    <x v="0"/>
    <n v="180.87"/>
    <n v="18.25"/>
    <n v="2"/>
    <n v="58562.910000000018"/>
    <x v="1"/>
    <n v="8.9106849315068501"/>
    <x v="434"/>
    <x v="0"/>
    <x v="1"/>
    <x v="1"/>
    <n v="90.435000000000002"/>
  </r>
  <r>
    <d v="2024-02-09T00:00:00"/>
    <x v="0"/>
    <x v="1"/>
    <x v="0"/>
    <n v="46.38"/>
    <n v="15.56"/>
    <n v="3"/>
    <n v="48675.899999999936"/>
    <x v="0"/>
    <n v="1.980719794344473"/>
    <x v="435"/>
    <x v="1"/>
    <x v="0"/>
    <x v="0"/>
    <n v="15.46"/>
  </r>
  <r>
    <d v="2024-04-19T00:00:00"/>
    <x v="0"/>
    <x v="2"/>
    <x v="1"/>
    <n v="190.53"/>
    <n v="8.23"/>
    <n v="3"/>
    <n v="58562.910000000018"/>
    <x v="1"/>
    <n v="22.150668286755771"/>
    <x v="436"/>
    <x v="0"/>
    <x v="1"/>
    <x v="1"/>
    <n v="63.51"/>
  </r>
  <r>
    <d v="2024-01-03T00:00:00"/>
    <x v="0"/>
    <x v="2"/>
    <x v="1"/>
    <n v="79.19"/>
    <n v="34.909999999999997"/>
    <n v="0"/>
    <n v="61207.979999999989"/>
    <x v="1"/>
    <n v="1.2684044686336295"/>
    <x v="437"/>
    <x v="0"/>
    <x v="2"/>
    <x v="0"/>
    <n v="0"/>
  </r>
  <r>
    <d v="2024-04-27T00:00:00"/>
    <x v="4"/>
    <x v="1"/>
    <x v="1"/>
    <n v="197.72"/>
    <n v="18.66"/>
    <n v="1"/>
    <n v="58562.910000000018"/>
    <x v="1"/>
    <n v="9.595927116827438"/>
    <x v="438"/>
    <x v="0"/>
    <x v="1"/>
    <x v="1"/>
    <n v="197.72"/>
  </r>
  <r>
    <d v="2024-03-29T00:00:00"/>
    <x v="2"/>
    <x v="0"/>
    <x v="0"/>
    <n v="94.02"/>
    <n v="31.4"/>
    <n v="0"/>
    <n v="54735.250000000029"/>
    <x v="0"/>
    <n v="1.994267515923567"/>
    <x v="439"/>
    <x v="0"/>
    <x v="3"/>
    <x v="1"/>
    <n v="0"/>
  </r>
  <r>
    <d v="2024-02-27T00:00:00"/>
    <x v="1"/>
    <x v="0"/>
    <x v="0"/>
    <n v="53.15"/>
    <n v="17.47"/>
    <n v="3"/>
    <n v="48675.899999999936"/>
    <x v="0"/>
    <n v="2.0423583285632514"/>
    <x v="440"/>
    <x v="0"/>
    <x v="0"/>
    <x v="0"/>
    <n v="17.716666666666665"/>
  </r>
  <r>
    <d v="2024-02-24T00:00:00"/>
    <x v="0"/>
    <x v="1"/>
    <x v="0"/>
    <n v="172.21"/>
    <n v="14.9"/>
    <n v="3"/>
    <n v="48675.899999999936"/>
    <x v="0"/>
    <n v="10.557718120805369"/>
    <x v="441"/>
    <x v="1"/>
    <x v="0"/>
    <x v="0"/>
    <n v="57.403333333333336"/>
  </r>
  <r>
    <d v="2024-03-13T00:00:00"/>
    <x v="1"/>
    <x v="1"/>
    <x v="1"/>
    <n v="104.99"/>
    <n v="40.29"/>
    <n v="3"/>
    <n v="54735.250000000029"/>
    <x v="0"/>
    <n v="1.6058575328865721"/>
    <x v="442"/>
    <x v="0"/>
    <x v="3"/>
    <x v="1"/>
    <n v="34.996666666666663"/>
  </r>
  <r>
    <d v="2024-01-30T00:00:00"/>
    <x v="4"/>
    <x v="2"/>
    <x v="1"/>
    <n v="45.39"/>
    <n v="47.19"/>
    <n v="3"/>
    <n v="61207.979999999989"/>
    <x v="1"/>
    <n v="-3.8143674507310814E-2"/>
    <x v="443"/>
    <x v="1"/>
    <x v="2"/>
    <x v="0"/>
    <n v="15.13"/>
  </r>
  <r>
    <d v="2024-03-22T00:00:00"/>
    <x v="0"/>
    <x v="1"/>
    <x v="1"/>
    <n v="178.96"/>
    <n v="31.49"/>
    <n v="1"/>
    <n v="54735.250000000029"/>
    <x v="0"/>
    <n v="4.6830739917434112"/>
    <x v="444"/>
    <x v="0"/>
    <x v="3"/>
    <x v="1"/>
    <n v="178.96"/>
  </r>
  <r>
    <d v="2024-04-14T00:00:00"/>
    <x v="3"/>
    <x v="1"/>
    <x v="0"/>
    <n v="109.34"/>
    <n v="30.83"/>
    <n v="1"/>
    <n v="58562.910000000018"/>
    <x v="1"/>
    <n v="2.546545572494324"/>
    <x v="445"/>
    <x v="0"/>
    <x v="1"/>
    <x v="1"/>
    <n v="109.34"/>
  </r>
  <r>
    <d v="2024-03-10T00:00:00"/>
    <x v="4"/>
    <x v="2"/>
    <x v="0"/>
    <n v="130.47999999999999"/>
    <n v="8.3000000000000007"/>
    <n v="0"/>
    <n v="54735.250000000029"/>
    <x v="0"/>
    <n v="14.720481927710841"/>
    <x v="446"/>
    <x v="1"/>
    <x v="3"/>
    <x v="1"/>
    <n v="0"/>
  </r>
  <r>
    <d v="2024-01-19T00:00:00"/>
    <x v="1"/>
    <x v="0"/>
    <x v="1"/>
    <n v="93.48"/>
    <n v="49"/>
    <n v="0"/>
    <n v="61207.979999999989"/>
    <x v="1"/>
    <n v="0.90775510204081644"/>
    <x v="447"/>
    <x v="1"/>
    <x v="2"/>
    <x v="0"/>
    <n v="0"/>
  </r>
  <r>
    <d v="2024-04-30T00:00:00"/>
    <x v="3"/>
    <x v="1"/>
    <x v="1"/>
    <n v="169.05"/>
    <n v="23.33"/>
    <n v="0"/>
    <n v="58562.910000000018"/>
    <x v="1"/>
    <n v="6.2460351478782696"/>
    <x v="448"/>
    <x v="1"/>
    <x v="1"/>
    <x v="1"/>
    <n v="0"/>
  </r>
  <r>
    <d v="2024-01-18T00:00:00"/>
    <x v="0"/>
    <x v="0"/>
    <x v="0"/>
    <n v="179.86"/>
    <n v="26.77"/>
    <n v="1"/>
    <n v="61207.979999999989"/>
    <x v="1"/>
    <n v="5.7187149794546137"/>
    <x v="449"/>
    <x v="1"/>
    <x v="2"/>
    <x v="0"/>
    <n v="179.86"/>
  </r>
  <r>
    <d v="2024-04-23T00:00:00"/>
    <x v="4"/>
    <x v="0"/>
    <x v="1"/>
    <n v="128.27000000000001"/>
    <n v="16.84"/>
    <n v="0"/>
    <n v="58562.910000000018"/>
    <x v="1"/>
    <n v="6.6169833729216156"/>
    <x v="450"/>
    <x v="1"/>
    <x v="1"/>
    <x v="1"/>
    <n v="0"/>
  </r>
  <r>
    <d v="2024-03-17T00:00:00"/>
    <x v="1"/>
    <x v="2"/>
    <x v="0"/>
    <n v="75.180000000000007"/>
    <n v="32.450000000000003"/>
    <n v="1"/>
    <n v="54735.250000000029"/>
    <x v="0"/>
    <n v="1.3167950693374422"/>
    <x v="451"/>
    <x v="1"/>
    <x v="3"/>
    <x v="1"/>
    <n v="75.180000000000007"/>
  </r>
  <r>
    <d v="2024-01-07T00:00:00"/>
    <x v="0"/>
    <x v="2"/>
    <x v="1"/>
    <n v="186.22"/>
    <n v="33.770000000000003"/>
    <n v="3"/>
    <n v="61207.979999999989"/>
    <x v="1"/>
    <n v="4.5143618596387318"/>
    <x v="452"/>
    <x v="0"/>
    <x v="2"/>
    <x v="0"/>
    <n v="62.073333333333331"/>
  </r>
  <r>
    <d v="2024-03-01T00:00:00"/>
    <x v="1"/>
    <x v="2"/>
    <x v="0"/>
    <n v="122.8"/>
    <n v="45.51"/>
    <n v="1"/>
    <n v="54735.250000000029"/>
    <x v="0"/>
    <n v="1.6983080641617225"/>
    <x v="453"/>
    <x v="1"/>
    <x v="3"/>
    <x v="1"/>
    <n v="122.8"/>
  </r>
  <r>
    <d v="2024-02-02T00:00:00"/>
    <x v="4"/>
    <x v="1"/>
    <x v="0"/>
    <n v="29.6"/>
    <n v="43"/>
    <n v="1"/>
    <n v="48675.899999999936"/>
    <x v="0"/>
    <n v="-0.31162790697674414"/>
    <x v="454"/>
    <x v="0"/>
    <x v="0"/>
    <x v="0"/>
    <n v="29.6"/>
  </r>
  <r>
    <d v="2024-02-22T00:00:00"/>
    <x v="4"/>
    <x v="2"/>
    <x v="0"/>
    <n v="159.68"/>
    <n v="8.2100000000000009"/>
    <n v="0"/>
    <n v="48675.899999999936"/>
    <x v="0"/>
    <n v="18.449451887941532"/>
    <x v="455"/>
    <x v="0"/>
    <x v="0"/>
    <x v="0"/>
    <n v="0"/>
  </r>
  <r>
    <d v="2024-01-21T00:00:00"/>
    <x v="4"/>
    <x v="0"/>
    <x v="1"/>
    <n v="88.38"/>
    <n v="18.510000000000002"/>
    <n v="1"/>
    <n v="61207.979999999989"/>
    <x v="1"/>
    <n v="3.7747163695299828"/>
    <x v="456"/>
    <x v="0"/>
    <x v="2"/>
    <x v="0"/>
    <n v="88.38"/>
  </r>
  <r>
    <d v="2024-04-28T00:00:00"/>
    <x v="4"/>
    <x v="1"/>
    <x v="1"/>
    <n v="136.84"/>
    <n v="17.010000000000002"/>
    <n v="0"/>
    <n v="58562.910000000018"/>
    <x v="1"/>
    <n v="7.0446796002351553"/>
    <x v="457"/>
    <x v="0"/>
    <x v="1"/>
    <x v="1"/>
    <n v="0"/>
  </r>
  <r>
    <d v="2024-02-11T00:00:00"/>
    <x v="2"/>
    <x v="2"/>
    <x v="0"/>
    <n v="89.24"/>
    <n v="34.75"/>
    <n v="0"/>
    <n v="48675.899999999936"/>
    <x v="0"/>
    <n v="1.5680575539568344"/>
    <x v="458"/>
    <x v="0"/>
    <x v="0"/>
    <x v="0"/>
    <n v="0"/>
  </r>
  <r>
    <d v="2024-03-18T00:00:00"/>
    <x v="2"/>
    <x v="2"/>
    <x v="0"/>
    <n v="140.91"/>
    <n v="37.47"/>
    <n v="0"/>
    <n v="54735.250000000029"/>
    <x v="0"/>
    <n v="2.7606084867894314"/>
    <x v="459"/>
    <x v="0"/>
    <x v="3"/>
    <x v="1"/>
    <n v="0"/>
  </r>
  <r>
    <d v="2024-01-11T00:00:00"/>
    <x v="4"/>
    <x v="1"/>
    <x v="0"/>
    <n v="98.54"/>
    <n v="32.11"/>
    <n v="0"/>
    <n v="61207.979999999989"/>
    <x v="1"/>
    <n v="2.0688259109311744"/>
    <x v="460"/>
    <x v="1"/>
    <x v="2"/>
    <x v="0"/>
    <n v="0"/>
  </r>
  <r>
    <d v="2024-01-15T00:00:00"/>
    <x v="4"/>
    <x v="1"/>
    <x v="1"/>
    <n v="130.29"/>
    <n v="9.5299999999999994"/>
    <n v="3"/>
    <n v="61207.979999999989"/>
    <x v="1"/>
    <n v="12.671563483735572"/>
    <x v="461"/>
    <x v="1"/>
    <x v="2"/>
    <x v="0"/>
    <n v="43.43"/>
  </r>
  <r>
    <d v="2024-04-08T00:00:00"/>
    <x v="3"/>
    <x v="0"/>
    <x v="0"/>
    <n v="148.34"/>
    <n v="44.42"/>
    <n v="2"/>
    <n v="58562.910000000018"/>
    <x v="1"/>
    <n v="2.339486717694732"/>
    <x v="462"/>
    <x v="1"/>
    <x v="1"/>
    <x v="1"/>
    <n v="74.17"/>
  </r>
  <r>
    <d v="2024-02-09T00:00:00"/>
    <x v="2"/>
    <x v="2"/>
    <x v="1"/>
    <n v="161.75"/>
    <n v="28.98"/>
    <n v="3"/>
    <n v="48675.899999999936"/>
    <x v="0"/>
    <n v="4.5814354727398205"/>
    <x v="463"/>
    <x v="1"/>
    <x v="0"/>
    <x v="0"/>
    <n v="53.916666666666664"/>
  </r>
  <r>
    <d v="2024-01-20T00:00:00"/>
    <x v="2"/>
    <x v="1"/>
    <x v="1"/>
    <n v="106.48"/>
    <n v="19.62"/>
    <n v="3"/>
    <n v="61207.979999999989"/>
    <x v="1"/>
    <n v="4.4271151885830786"/>
    <x v="464"/>
    <x v="0"/>
    <x v="2"/>
    <x v="0"/>
    <n v="35.493333333333332"/>
  </r>
  <r>
    <d v="2024-04-06T00:00:00"/>
    <x v="4"/>
    <x v="1"/>
    <x v="1"/>
    <n v="184.12"/>
    <n v="13.15"/>
    <n v="0"/>
    <n v="58562.910000000018"/>
    <x v="1"/>
    <n v="13.001520912547528"/>
    <x v="465"/>
    <x v="1"/>
    <x v="1"/>
    <x v="1"/>
    <n v="0"/>
  </r>
  <r>
    <d v="2024-04-03T00:00:00"/>
    <x v="2"/>
    <x v="2"/>
    <x v="1"/>
    <n v="21.99"/>
    <n v="13.4"/>
    <n v="3"/>
    <n v="58562.910000000018"/>
    <x v="1"/>
    <n v="0.6410447761194028"/>
    <x v="466"/>
    <x v="0"/>
    <x v="1"/>
    <x v="1"/>
    <n v="7.3299999999999992"/>
  </r>
  <r>
    <d v="2024-03-02T00:00:00"/>
    <x v="1"/>
    <x v="2"/>
    <x v="0"/>
    <n v="20.96"/>
    <n v="4.33"/>
    <n v="1"/>
    <n v="54735.250000000029"/>
    <x v="0"/>
    <n v="3.8406466512702084"/>
    <x v="467"/>
    <x v="0"/>
    <x v="3"/>
    <x v="1"/>
    <n v="20.96"/>
  </r>
  <r>
    <d v="2024-04-10T00:00:00"/>
    <x v="4"/>
    <x v="2"/>
    <x v="0"/>
    <n v="63.49"/>
    <n v="14.82"/>
    <n v="0"/>
    <n v="58562.910000000018"/>
    <x v="1"/>
    <n v="3.2840755735492579"/>
    <x v="468"/>
    <x v="0"/>
    <x v="1"/>
    <x v="1"/>
    <n v="0"/>
  </r>
  <r>
    <d v="2024-01-26T00:00:00"/>
    <x v="4"/>
    <x v="1"/>
    <x v="1"/>
    <n v="125.96"/>
    <n v="41.75"/>
    <n v="3"/>
    <n v="61207.979999999989"/>
    <x v="1"/>
    <n v="2.0170059880239521"/>
    <x v="469"/>
    <x v="1"/>
    <x v="2"/>
    <x v="0"/>
    <n v="41.986666666666665"/>
  </r>
  <r>
    <d v="2024-04-29T00:00:00"/>
    <x v="3"/>
    <x v="1"/>
    <x v="1"/>
    <n v="138.29"/>
    <n v="25.65"/>
    <n v="3"/>
    <n v="58562.910000000018"/>
    <x v="1"/>
    <n v="4.3914230019493177"/>
    <x v="470"/>
    <x v="1"/>
    <x v="1"/>
    <x v="1"/>
    <n v="46.096666666666664"/>
  </r>
  <r>
    <d v="2024-04-10T00:00:00"/>
    <x v="4"/>
    <x v="2"/>
    <x v="0"/>
    <n v="134.76"/>
    <n v="11.12"/>
    <n v="3"/>
    <n v="58562.910000000018"/>
    <x v="1"/>
    <n v="11.118705035971223"/>
    <x v="471"/>
    <x v="1"/>
    <x v="1"/>
    <x v="1"/>
    <n v="44.919999999999995"/>
  </r>
  <r>
    <d v="2024-01-30T00:00:00"/>
    <x v="2"/>
    <x v="1"/>
    <x v="1"/>
    <n v="51.65"/>
    <n v="38.24"/>
    <n v="2"/>
    <n v="61207.979999999989"/>
    <x v="1"/>
    <n v="0.3506799163179915"/>
    <x v="472"/>
    <x v="1"/>
    <x v="2"/>
    <x v="0"/>
    <n v="25.824999999999999"/>
  </r>
  <r>
    <d v="2024-01-29T00:00:00"/>
    <x v="1"/>
    <x v="1"/>
    <x v="0"/>
    <n v="91.2"/>
    <n v="41.21"/>
    <n v="3"/>
    <n v="61207.979999999989"/>
    <x v="1"/>
    <n v="1.2130550837175442"/>
    <x v="473"/>
    <x v="1"/>
    <x v="2"/>
    <x v="0"/>
    <n v="30.400000000000002"/>
  </r>
  <r>
    <d v="2024-03-30T00:00:00"/>
    <x v="4"/>
    <x v="0"/>
    <x v="0"/>
    <n v="124.49"/>
    <n v="37.299999999999997"/>
    <n v="3"/>
    <n v="54735.250000000029"/>
    <x v="0"/>
    <n v="2.3375335120643435"/>
    <x v="474"/>
    <x v="1"/>
    <x v="3"/>
    <x v="1"/>
    <n v="41.496666666666663"/>
  </r>
  <r>
    <d v="2024-02-26T00:00:00"/>
    <x v="3"/>
    <x v="0"/>
    <x v="1"/>
    <n v="187.78"/>
    <n v="24.8"/>
    <n v="3"/>
    <n v="48675.899999999936"/>
    <x v="0"/>
    <n v="6.5717741935483867"/>
    <x v="475"/>
    <x v="0"/>
    <x v="0"/>
    <x v="0"/>
    <n v="62.593333333333334"/>
  </r>
  <r>
    <d v="2024-01-20T00:00:00"/>
    <x v="0"/>
    <x v="2"/>
    <x v="0"/>
    <n v="90.1"/>
    <n v="44.51"/>
    <n v="1"/>
    <n v="61207.979999999989"/>
    <x v="1"/>
    <n v="1.0242642102898225"/>
    <x v="476"/>
    <x v="0"/>
    <x v="2"/>
    <x v="0"/>
    <n v="90.1"/>
  </r>
  <r>
    <d v="2024-04-07T00:00:00"/>
    <x v="0"/>
    <x v="0"/>
    <x v="1"/>
    <n v="176.6"/>
    <n v="32.43"/>
    <n v="1"/>
    <n v="58562.910000000018"/>
    <x v="1"/>
    <n v="4.4455750847980262"/>
    <x v="477"/>
    <x v="1"/>
    <x v="1"/>
    <x v="1"/>
    <n v="176.6"/>
  </r>
  <r>
    <d v="2024-01-21T00:00:00"/>
    <x v="0"/>
    <x v="1"/>
    <x v="1"/>
    <n v="25.52"/>
    <n v="28.5"/>
    <n v="1"/>
    <n v="61207.979999999989"/>
    <x v="1"/>
    <n v="-0.10456140350877194"/>
    <x v="478"/>
    <x v="1"/>
    <x v="2"/>
    <x v="0"/>
    <n v="25.52"/>
  </r>
  <r>
    <d v="2024-01-16T00:00:00"/>
    <x v="1"/>
    <x v="0"/>
    <x v="1"/>
    <n v="163.5"/>
    <n v="12.74"/>
    <n v="0"/>
    <n v="61207.979999999989"/>
    <x v="1"/>
    <n v="11.833594976452119"/>
    <x v="479"/>
    <x v="0"/>
    <x v="2"/>
    <x v="0"/>
    <n v="0"/>
  </r>
  <r>
    <d v="2024-02-17T00:00:00"/>
    <x v="3"/>
    <x v="1"/>
    <x v="1"/>
    <n v="173.81"/>
    <n v="20.399999999999999"/>
    <n v="0"/>
    <n v="48675.899999999936"/>
    <x v="0"/>
    <n v="7.5200980392156866"/>
    <x v="480"/>
    <x v="1"/>
    <x v="0"/>
    <x v="0"/>
    <n v="0"/>
  </r>
  <r>
    <d v="2024-04-25T00:00:00"/>
    <x v="0"/>
    <x v="2"/>
    <x v="0"/>
    <n v="174.82"/>
    <n v="4.74"/>
    <n v="0"/>
    <n v="58562.910000000018"/>
    <x v="1"/>
    <n v="35.881856540084385"/>
    <x v="481"/>
    <x v="0"/>
    <x v="1"/>
    <x v="1"/>
    <n v="0"/>
  </r>
  <r>
    <d v="2024-01-28T00:00:00"/>
    <x v="1"/>
    <x v="1"/>
    <x v="0"/>
    <n v="102.68"/>
    <n v="0.21"/>
    <n v="0"/>
    <n v="61207.979999999989"/>
    <x v="1"/>
    <n v="487.95238095238102"/>
    <x v="482"/>
    <x v="1"/>
    <x v="2"/>
    <x v="0"/>
    <n v="0"/>
  </r>
  <r>
    <d v="2024-01-15T00:00:00"/>
    <x v="2"/>
    <x v="2"/>
    <x v="0"/>
    <n v="107.05"/>
    <n v="10.039999999999999"/>
    <n v="2"/>
    <n v="61207.979999999989"/>
    <x v="1"/>
    <n v="9.6623505976095618"/>
    <x v="483"/>
    <x v="1"/>
    <x v="2"/>
    <x v="0"/>
    <n v="53.524999999999999"/>
  </r>
  <r>
    <d v="2024-01-19T00:00:00"/>
    <x v="2"/>
    <x v="2"/>
    <x v="1"/>
    <n v="83.2"/>
    <n v="20.6"/>
    <n v="1"/>
    <n v="61207.979999999989"/>
    <x v="1"/>
    <n v="3.0388349514563107"/>
    <x v="484"/>
    <x v="0"/>
    <x v="2"/>
    <x v="0"/>
    <n v="83.2"/>
  </r>
  <r>
    <d v="2024-02-08T00:00:00"/>
    <x v="0"/>
    <x v="0"/>
    <x v="0"/>
    <n v="117.82"/>
    <n v="43.57"/>
    <n v="3"/>
    <n v="48675.899999999936"/>
    <x v="0"/>
    <n v="1.7041542345650678"/>
    <x v="485"/>
    <x v="0"/>
    <x v="0"/>
    <x v="0"/>
    <n v="39.273333333333333"/>
  </r>
  <r>
    <d v="2024-04-13T00:00:00"/>
    <x v="0"/>
    <x v="1"/>
    <x v="1"/>
    <n v="38.36"/>
    <n v="4.13"/>
    <n v="1"/>
    <n v="58562.910000000018"/>
    <x v="1"/>
    <n v="8.2881355932203391"/>
    <x v="486"/>
    <x v="0"/>
    <x v="1"/>
    <x v="1"/>
    <n v="38.36"/>
  </r>
  <r>
    <d v="2024-04-12T00:00:00"/>
    <x v="3"/>
    <x v="2"/>
    <x v="0"/>
    <n v="105.13"/>
    <n v="4.7300000000000004"/>
    <n v="2"/>
    <n v="58562.910000000018"/>
    <x v="1"/>
    <n v="21.226215644820293"/>
    <x v="487"/>
    <x v="0"/>
    <x v="1"/>
    <x v="1"/>
    <n v="52.564999999999998"/>
  </r>
  <r>
    <d v="2024-01-26T00:00:00"/>
    <x v="2"/>
    <x v="0"/>
    <x v="1"/>
    <n v="198.67"/>
    <n v="42.11"/>
    <n v="3"/>
    <n v="61207.979999999989"/>
    <x v="1"/>
    <n v="3.7178817383044409"/>
    <x v="488"/>
    <x v="0"/>
    <x v="2"/>
    <x v="0"/>
    <n v="66.223333333333329"/>
  </r>
  <r>
    <d v="2024-02-05T00:00:00"/>
    <x v="2"/>
    <x v="0"/>
    <x v="1"/>
    <n v="183.33"/>
    <n v="10.51"/>
    <n v="0"/>
    <n v="48675.899999999936"/>
    <x v="0"/>
    <n v="16.443387250237873"/>
    <x v="489"/>
    <x v="1"/>
    <x v="0"/>
    <x v="0"/>
    <n v="0"/>
  </r>
  <r>
    <d v="2024-03-15T00:00:00"/>
    <x v="3"/>
    <x v="2"/>
    <x v="1"/>
    <n v="58.58"/>
    <n v="26.83"/>
    <n v="2"/>
    <n v="54735.250000000029"/>
    <x v="0"/>
    <n v="1.1833768169959002"/>
    <x v="490"/>
    <x v="0"/>
    <x v="3"/>
    <x v="1"/>
    <n v="29.29"/>
  </r>
  <r>
    <d v="2024-01-19T00:00:00"/>
    <x v="2"/>
    <x v="2"/>
    <x v="0"/>
    <n v="120.13"/>
    <n v="13.83"/>
    <n v="1"/>
    <n v="61207.979999999989"/>
    <x v="1"/>
    <n v="7.6861894432393347"/>
    <x v="491"/>
    <x v="0"/>
    <x v="2"/>
    <x v="0"/>
    <n v="120.13"/>
  </r>
  <r>
    <d v="2024-02-26T00:00:00"/>
    <x v="4"/>
    <x v="0"/>
    <x v="0"/>
    <n v="136.28"/>
    <n v="25.01"/>
    <n v="0"/>
    <n v="48675.899999999936"/>
    <x v="0"/>
    <n v="4.4490203918432627"/>
    <x v="492"/>
    <x v="1"/>
    <x v="0"/>
    <x v="0"/>
    <n v="0"/>
  </r>
  <r>
    <d v="2024-01-30T00:00:00"/>
    <x v="3"/>
    <x v="2"/>
    <x v="1"/>
    <n v="138.4"/>
    <n v="35.659999999999997"/>
    <n v="2"/>
    <n v="61207.979999999989"/>
    <x v="1"/>
    <n v="2.881099270891756"/>
    <x v="493"/>
    <x v="1"/>
    <x v="2"/>
    <x v="0"/>
    <n v="69.2"/>
  </r>
  <r>
    <d v="2024-03-05T00:00:00"/>
    <x v="1"/>
    <x v="1"/>
    <x v="0"/>
    <n v="125.18"/>
    <n v="26.65"/>
    <n v="0"/>
    <n v="54735.250000000029"/>
    <x v="0"/>
    <n v="3.6971857410881803"/>
    <x v="494"/>
    <x v="0"/>
    <x v="3"/>
    <x v="1"/>
    <n v="0"/>
  </r>
  <r>
    <d v="2024-01-14T00:00:00"/>
    <x v="4"/>
    <x v="1"/>
    <x v="1"/>
    <n v="135.09"/>
    <n v="47.76"/>
    <n v="0"/>
    <n v="61207.979999999989"/>
    <x v="1"/>
    <n v="1.8285175879396989"/>
    <x v="495"/>
    <x v="1"/>
    <x v="2"/>
    <x v="0"/>
    <n v="0"/>
  </r>
  <r>
    <d v="2024-02-24T00:00:00"/>
    <x v="4"/>
    <x v="2"/>
    <x v="1"/>
    <n v="21.3"/>
    <n v="37.99"/>
    <n v="0"/>
    <n v="48675.899999999936"/>
    <x v="0"/>
    <n v="-0.4393261384574888"/>
    <x v="496"/>
    <x v="0"/>
    <x v="0"/>
    <x v="0"/>
    <n v="0"/>
  </r>
  <r>
    <d v="2024-02-25T00:00:00"/>
    <x v="2"/>
    <x v="1"/>
    <x v="0"/>
    <n v="74.73"/>
    <n v="33.57"/>
    <n v="1"/>
    <n v="48675.899999999936"/>
    <x v="0"/>
    <n v="1.2260947274352101"/>
    <x v="497"/>
    <x v="0"/>
    <x v="0"/>
    <x v="0"/>
    <n v="74.73"/>
  </r>
  <r>
    <d v="2024-03-27T00:00:00"/>
    <x v="0"/>
    <x v="0"/>
    <x v="0"/>
    <n v="157.38999999999999"/>
    <n v="30.57"/>
    <n v="0"/>
    <n v="54735.250000000029"/>
    <x v="0"/>
    <n v="4.1485116126921815"/>
    <x v="498"/>
    <x v="1"/>
    <x v="3"/>
    <x v="1"/>
    <n v="0"/>
  </r>
  <r>
    <d v="2024-03-19T00:00:00"/>
    <x v="2"/>
    <x v="1"/>
    <x v="1"/>
    <n v="108.61"/>
    <n v="21.21"/>
    <n v="0"/>
    <n v="54735.250000000029"/>
    <x v="0"/>
    <n v="4.120697784064121"/>
    <x v="499"/>
    <x v="1"/>
    <x v="3"/>
    <x v="1"/>
    <n v="0"/>
  </r>
  <r>
    <d v="2024-01-11T00:00:00"/>
    <x v="2"/>
    <x v="2"/>
    <x v="0"/>
    <n v="52.22"/>
    <n v="4.59"/>
    <n v="0"/>
    <n v="61207.979999999989"/>
    <x v="1"/>
    <n v="10.376906318082789"/>
    <x v="500"/>
    <x v="0"/>
    <x v="2"/>
    <x v="0"/>
    <n v="0"/>
  </r>
  <r>
    <d v="2024-02-07T00:00:00"/>
    <x v="0"/>
    <x v="0"/>
    <x v="1"/>
    <n v="111.96"/>
    <n v="10.31"/>
    <n v="1"/>
    <n v="48675.899999999936"/>
    <x v="0"/>
    <n v="9.8593598448108626"/>
    <x v="501"/>
    <x v="1"/>
    <x v="0"/>
    <x v="0"/>
    <n v="111.96"/>
  </r>
  <r>
    <d v="2024-02-19T00:00:00"/>
    <x v="2"/>
    <x v="2"/>
    <x v="1"/>
    <n v="65.180000000000007"/>
    <n v="25.69"/>
    <n v="3"/>
    <n v="48675.899999999936"/>
    <x v="0"/>
    <n v="1.5371739976644612"/>
    <x v="502"/>
    <x v="1"/>
    <x v="0"/>
    <x v="0"/>
    <n v="21.72666666666667"/>
  </r>
  <r>
    <d v="2024-01-06T00:00:00"/>
    <x v="2"/>
    <x v="0"/>
    <x v="1"/>
    <n v="80.28"/>
    <n v="26.71"/>
    <n v="2"/>
    <n v="61207.979999999989"/>
    <x v="1"/>
    <n v="2.0056158742044179"/>
    <x v="503"/>
    <x v="1"/>
    <x v="2"/>
    <x v="0"/>
    <n v="40.14"/>
  </r>
  <r>
    <d v="2024-04-11T00:00:00"/>
    <x v="2"/>
    <x v="0"/>
    <x v="1"/>
    <n v="70.13"/>
    <n v="15.28"/>
    <n v="1"/>
    <n v="58562.910000000018"/>
    <x v="1"/>
    <n v="3.5896596858638743"/>
    <x v="504"/>
    <x v="1"/>
    <x v="1"/>
    <x v="1"/>
    <n v="70.13"/>
  </r>
  <r>
    <d v="2024-04-23T00:00:00"/>
    <x v="3"/>
    <x v="0"/>
    <x v="0"/>
    <n v="194.72"/>
    <n v="47.73"/>
    <n v="1"/>
    <n v="58562.910000000018"/>
    <x v="1"/>
    <n v="3.0796144982191498"/>
    <x v="505"/>
    <x v="1"/>
    <x v="1"/>
    <x v="1"/>
    <n v="194.72"/>
  </r>
  <r>
    <d v="2024-04-28T00:00:00"/>
    <x v="1"/>
    <x v="1"/>
    <x v="0"/>
    <n v="68.400000000000006"/>
    <n v="26.17"/>
    <n v="2"/>
    <n v="58562.910000000018"/>
    <x v="1"/>
    <n v="1.6136797860145204"/>
    <x v="506"/>
    <x v="1"/>
    <x v="1"/>
    <x v="1"/>
    <n v="34.200000000000003"/>
  </r>
  <r>
    <d v="2024-03-11T00:00:00"/>
    <x v="1"/>
    <x v="0"/>
    <x v="1"/>
    <n v="26.08"/>
    <n v="39.69"/>
    <n v="1"/>
    <n v="54735.250000000029"/>
    <x v="0"/>
    <n v="-0.34290753338372387"/>
    <x v="507"/>
    <x v="1"/>
    <x v="3"/>
    <x v="1"/>
    <n v="26.08"/>
  </r>
  <r>
    <d v="2024-04-25T00:00:00"/>
    <x v="4"/>
    <x v="0"/>
    <x v="0"/>
    <n v="169.92"/>
    <n v="5.45"/>
    <n v="3"/>
    <n v="58562.910000000018"/>
    <x v="1"/>
    <n v="30.177981651376147"/>
    <x v="508"/>
    <x v="0"/>
    <x v="1"/>
    <x v="1"/>
    <n v="56.639999999999993"/>
  </r>
  <r>
    <d v="2024-02-24T00:00:00"/>
    <x v="3"/>
    <x v="1"/>
    <x v="0"/>
    <n v="189.44"/>
    <n v="46.38"/>
    <n v="3"/>
    <n v="48675.899999999936"/>
    <x v="0"/>
    <n v="3.0845191893057353"/>
    <x v="509"/>
    <x v="1"/>
    <x v="0"/>
    <x v="0"/>
    <n v="63.146666666666668"/>
  </r>
  <r>
    <d v="2024-03-17T00:00:00"/>
    <x v="2"/>
    <x v="2"/>
    <x v="0"/>
    <n v="80.11"/>
    <n v="30.87"/>
    <n v="2"/>
    <n v="54735.250000000029"/>
    <x v="0"/>
    <n v="1.5950761256883703"/>
    <x v="510"/>
    <x v="0"/>
    <x v="3"/>
    <x v="1"/>
    <n v="40.055"/>
  </r>
  <r>
    <d v="2024-03-02T00:00:00"/>
    <x v="2"/>
    <x v="2"/>
    <x v="1"/>
    <n v="139.18"/>
    <n v="28.91"/>
    <n v="2"/>
    <n v="54735.250000000029"/>
    <x v="0"/>
    <n v="3.8142511241784853"/>
    <x v="511"/>
    <x v="0"/>
    <x v="3"/>
    <x v="1"/>
    <n v="69.59"/>
  </r>
  <r>
    <d v="2024-01-18T00:00:00"/>
    <x v="0"/>
    <x v="1"/>
    <x v="0"/>
    <n v="151.38"/>
    <n v="1.95"/>
    <n v="2"/>
    <n v="61207.979999999989"/>
    <x v="1"/>
    <n v="76.630769230769232"/>
    <x v="512"/>
    <x v="1"/>
    <x v="2"/>
    <x v="0"/>
    <n v="75.69"/>
  </r>
  <r>
    <d v="2024-04-29T00:00:00"/>
    <x v="3"/>
    <x v="0"/>
    <x v="0"/>
    <n v="67.58"/>
    <n v="7.36"/>
    <n v="1"/>
    <n v="58562.910000000018"/>
    <x v="1"/>
    <n v="8.1820652173913047"/>
    <x v="513"/>
    <x v="0"/>
    <x v="1"/>
    <x v="1"/>
    <n v="67.58"/>
  </r>
  <r>
    <d v="2024-02-24T00:00:00"/>
    <x v="4"/>
    <x v="1"/>
    <x v="1"/>
    <n v="25.75"/>
    <n v="20.52"/>
    <n v="3"/>
    <n v="48675.899999999936"/>
    <x v="0"/>
    <n v="0.25487329434697858"/>
    <x v="514"/>
    <x v="0"/>
    <x v="0"/>
    <x v="0"/>
    <n v="8.5833333333333339"/>
  </r>
  <r>
    <d v="2024-02-11T00:00:00"/>
    <x v="1"/>
    <x v="2"/>
    <x v="0"/>
    <n v="191.45"/>
    <n v="22.19"/>
    <n v="3"/>
    <n v="48675.899999999936"/>
    <x v="0"/>
    <n v="7.6277602523659294"/>
    <x v="515"/>
    <x v="1"/>
    <x v="0"/>
    <x v="0"/>
    <n v="63.816666666666663"/>
  </r>
  <r>
    <d v="2024-02-21T00:00:00"/>
    <x v="1"/>
    <x v="2"/>
    <x v="0"/>
    <n v="99.75"/>
    <n v="11.6"/>
    <n v="3"/>
    <n v="48675.899999999936"/>
    <x v="0"/>
    <n v="7.5991379310344831"/>
    <x v="516"/>
    <x v="0"/>
    <x v="0"/>
    <x v="0"/>
    <n v="33.25"/>
  </r>
  <r>
    <d v="2024-02-10T00:00:00"/>
    <x v="0"/>
    <x v="1"/>
    <x v="1"/>
    <n v="31.99"/>
    <n v="9.8800000000000008"/>
    <n v="2"/>
    <n v="48675.899999999936"/>
    <x v="0"/>
    <n v="2.2378542510121453"/>
    <x v="517"/>
    <x v="0"/>
    <x v="0"/>
    <x v="0"/>
    <n v="15.994999999999999"/>
  </r>
  <r>
    <d v="2024-01-07T00:00:00"/>
    <x v="3"/>
    <x v="1"/>
    <x v="0"/>
    <n v="20.84"/>
    <n v="33.93"/>
    <n v="3"/>
    <n v="61207.979999999989"/>
    <x v="1"/>
    <n v="-0.38579428234600649"/>
    <x v="518"/>
    <x v="0"/>
    <x v="2"/>
    <x v="0"/>
    <n v="6.9466666666666663"/>
  </r>
  <r>
    <d v="2024-02-14T00:00:00"/>
    <x v="4"/>
    <x v="0"/>
    <x v="0"/>
    <n v="173.25"/>
    <n v="22.05"/>
    <n v="0"/>
    <n v="48675.899999999936"/>
    <x v="0"/>
    <n v="6.8571428571428568"/>
    <x v="519"/>
    <x v="0"/>
    <x v="0"/>
    <x v="0"/>
    <n v="0"/>
  </r>
  <r>
    <d v="2024-01-18T00:00:00"/>
    <x v="3"/>
    <x v="1"/>
    <x v="1"/>
    <n v="55.92"/>
    <n v="20.75"/>
    <n v="1"/>
    <n v="61207.979999999989"/>
    <x v="1"/>
    <n v="1.6949397590361446"/>
    <x v="520"/>
    <x v="0"/>
    <x v="2"/>
    <x v="0"/>
    <n v="55.92"/>
  </r>
  <r>
    <d v="2024-01-29T00:00:00"/>
    <x v="3"/>
    <x v="2"/>
    <x v="0"/>
    <n v="178.3"/>
    <n v="13.95"/>
    <n v="1"/>
    <n v="61207.979999999989"/>
    <x v="1"/>
    <n v="11.781362007168461"/>
    <x v="521"/>
    <x v="1"/>
    <x v="2"/>
    <x v="0"/>
    <n v="178.3"/>
  </r>
  <r>
    <d v="2024-04-02T00:00:00"/>
    <x v="1"/>
    <x v="0"/>
    <x v="1"/>
    <n v="28.46"/>
    <n v="2.48"/>
    <n v="2"/>
    <n v="58562.910000000018"/>
    <x v="1"/>
    <n v="10.475806451612904"/>
    <x v="522"/>
    <x v="1"/>
    <x v="1"/>
    <x v="1"/>
    <n v="14.23"/>
  </r>
  <r>
    <d v="2024-03-26T00:00:00"/>
    <x v="4"/>
    <x v="2"/>
    <x v="0"/>
    <n v="80.239999999999995"/>
    <n v="3.4"/>
    <n v="0"/>
    <n v="54735.250000000029"/>
    <x v="0"/>
    <n v="22.599999999999998"/>
    <x v="523"/>
    <x v="0"/>
    <x v="3"/>
    <x v="1"/>
    <n v="0"/>
  </r>
  <r>
    <d v="2024-03-15T00:00:00"/>
    <x v="2"/>
    <x v="2"/>
    <x v="0"/>
    <n v="66.63"/>
    <n v="19.739999999999998"/>
    <n v="1"/>
    <n v="54735.250000000029"/>
    <x v="0"/>
    <n v="2.3753799392097266"/>
    <x v="524"/>
    <x v="1"/>
    <x v="3"/>
    <x v="1"/>
    <n v="66.63"/>
  </r>
  <r>
    <d v="2024-03-24T00:00:00"/>
    <x v="4"/>
    <x v="2"/>
    <x v="0"/>
    <n v="124.4"/>
    <n v="19.309999999999999"/>
    <n v="2"/>
    <n v="54735.250000000029"/>
    <x v="0"/>
    <n v="5.4422578974624551"/>
    <x v="525"/>
    <x v="1"/>
    <x v="3"/>
    <x v="1"/>
    <n v="62.2"/>
  </r>
  <r>
    <d v="2024-03-05T00:00:00"/>
    <x v="4"/>
    <x v="0"/>
    <x v="0"/>
    <n v="94.82"/>
    <n v="3.18"/>
    <n v="3"/>
    <n v="54735.250000000029"/>
    <x v="0"/>
    <n v="28.817610062893078"/>
    <x v="526"/>
    <x v="0"/>
    <x v="3"/>
    <x v="1"/>
    <n v="31.606666666666666"/>
  </r>
  <r>
    <d v="2024-02-26T00:00:00"/>
    <x v="3"/>
    <x v="0"/>
    <x v="0"/>
    <n v="165.64"/>
    <n v="13.65"/>
    <n v="1"/>
    <n v="48675.899999999936"/>
    <x v="0"/>
    <n v="11.134798534798533"/>
    <x v="527"/>
    <x v="1"/>
    <x v="0"/>
    <x v="0"/>
    <n v="165.64"/>
  </r>
  <r>
    <d v="2024-03-20T00:00:00"/>
    <x v="1"/>
    <x v="1"/>
    <x v="1"/>
    <n v="127.94"/>
    <n v="0.13"/>
    <n v="3"/>
    <n v="54735.250000000029"/>
    <x v="0"/>
    <n v="983.15384615384619"/>
    <x v="528"/>
    <x v="1"/>
    <x v="3"/>
    <x v="1"/>
    <n v="42.646666666666668"/>
  </r>
  <r>
    <d v="2024-02-05T00:00:00"/>
    <x v="4"/>
    <x v="1"/>
    <x v="0"/>
    <n v="43.45"/>
    <n v="19.149999999999999"/>
    <n v="0"/>
    <n v="48675.899999999936"/>
    <x v="0"/>
    <n v="1.2689295039164494"/>
    <x v="529"/>
    <x v="1"/>
    <x v="0"/>
    <x v="0"/>
    <n v="0"/>
  </r>
  <r>
    <d v="2024-03-01T00:00:00"/>
    <x v="0"/>
    <x v="2"/>
    <x v="0"/>
    <n v="172.25"/>
    <n v="15.51"/>
    <n v="0"/>
    <n v="54735.250000000029"/>
    <x v="0"/>
    <n v="10.105738233397808"/>
    <x v="530"/>
    <x v="1"/>
    <x v="3"/>
    <x v="1"/>
    <n v="0"/>
  </r>
  <r>
    <d v="2024-01-27T00:00:00"/>
    <x v="3"/>
    <x v="0"/>
    <x v="1"/>
    <n v="175.97"/>
    <n v="6.06"/>
    <n v="3"/>
    <n v="61207.979999999989"/>
    <x v="1"/>
    <n v="28.03795379537954"/>
    <x v="531"/>
    <x v="0"/>
    <x v="2"/>
    <x v="0"/>
    <n v="58.656666666666666"/>
  </r>
  <r>
    <d v="2024-04-19T00:00:00"/>
    <x v="4"/>
    <x v="0"/>
    <x v="0"/>
    <n v="162.99"/>
    <n v="39.89"/>
    <n v="3"/>
    <n v="58562.910000000018"/>
    <x v="1"/>
    <n v="3.0859864627726248"/>
    <x v="532"/>
    <x v="0"/>
    <x v="1"/>
    <x v="1"/>
    <n v="54.330000000000005"/>
  </r>
  <r>
    <d v="2024-04-29T00:00:00"/>
    <x v="3"/>
    <x v="0"/>
    <x v="1"/>
    <n v="84.83"/>
    <n v="34.83"/>
    <n v="2"/>
    <n v="58562.910000000018"/>
    <x v="1"/>
    <n v="1.4355440712029861"/>
    <x v="533"/>
    <x v="1"/>
    <x v="1"/>
    <x v="1"/>
    <n v="42.414999999999999"/>
  </r>
  <r>
    <d v="2024-04-15T00:00:00"/>
    <x v="3"/>
    <x v="1"/>
    <x v="1"/>
    <n v="119.91"/>
    <n v="3.28"/>
    <n v="3"/>
    <n v="58562.910000000018"/>
    <x v="1"/>
    <n v="35.557926829268297"/>
    <x v="534"/>
    <x v="0"/>
    <x v="1"/>
    <x v="1"/>
    <n v="39.97"/>
  </r>
  <r>
    <d v="2024-04-17T00:00:00"/>
    <x v="4"/>
    <x v="2"/>
    <x v="1"/>
    <n v="182.91"/>
    <n v="9.9"/>
    <n v="2"/>
    <n v="58562.910000000018"/>
    <x v="1"/>
    <n v="17.475757575757573"/>
    <x v="535"/>
    <x v="1"/>
    <x v="1"/>
    <x v="1"/>
    <n v="91.454999999999998"/>
  </r>
  <r>
    <d v="2024-04-23T00:00:00"/>
    <x v="1"/>
    <x v="0"/>
    <x v="1"/>
    <n v="149.62"/>
    <n v="29.08"/>
    <n v="3"/>
    <n v="58562.910000000018"/>
    <x v="1"/>
    <n v="4.1451169188445673"/>
    <x v="536"/>
    <x v="1"/>
    <x v="1"/>
    <x v="1"/>
    <n v="49.873333333333335"/>
  </r>
  <r>
    <d v="2024-04-06T00:00:00"/>
    <x v="2"/>
    <x v="1"/>
    <x v="1"/>
    <n v="175.62"/>
    <n v="15.42"/>
    <n v="2"/>
    <n v="58562.910000000018"/>
    <x v="1"/>
    <n v="10.389105058365759"/>
    <x v="537"/>
    <x v="0"/>
    <x v="1"/>
    <x v="1"/>
    <n v="87.81"/>
  </r>
  <r>
    <d v="2024-04-11T00:00:00"/>
    <x v="2"/>
    <x v="1"/>
    <x v="1"/>
    <n v="146.69"/>
    <n v="14.43"/>
    <n v="2"/>
    <n v="58562.910000000018"/>
    <x v="1"/>
    <n v="9.165627165627166"/>
    <x v="538"/>
    <x v="1"/>
    <x v="1"/>
    <x v="1"/>
    <n v="73.344999999999999"/>
  </r>
  <r>
    <d v="2024-01-17T00:00:00"/>
    <x v="1"/>
    <x v="1"/>
    <x v="1"/>
    <n v="74.28"/>
    <n v="3.23"/>
    <n v="3"/>
    <n v="61207.979999999989"/>
    <x v="1"/>
    <n v="21.996904024767801"/>
    <x v="539"/>
    <x v="1"/>
    <x v="2"/>
    <x v="0"/>
    <n v="24.76"/>
  </r>
  <r>
    <d v="2024-01-06T00:00:00"/>
    <x v="4"/>
    <x v="0"/>
    <x v="1"/>
    <n v="115.24"/>
    <n v="33.6"/>
    <n v="3"/>
    <n v="61207.979999999989"/>
    <x v="1"/>
    <n v="2.4297619047619041"/>
    <x v="540"/>
    <x v="0"/>
    <x v="2"/>
    <x v="0"/>
    <n v="38.413333333333334"/>
  </r>
  <r>
    <d v="2024-03-25T00:00:00"/>
    <x v="4"/>
    <x v="2"/>
    <x v="1"/>
    <n v="111.74"/>
    <n v="20.04"/>
    <n v="0"/>
    <n v="54735.250000000029"/>
    <x v="0"/>
    <n v="4.5758483033932134"/>
    <x v="541"/>
    <x v="0"/>
    <x v="3"/>
    <x v="1"/>
    <n v="0"/>
  </r>
  <r>
    <d v="2024-04-13T00:00:00"/>
    <x v="2"/>
    <x v="2"/>
    <x v="1"/>
    <n v="83.9"/>
    <n v="34.28"/>
    <n v="2"/>
    <n v="58562.910000000018"/>
    <x v="1"/>
    <n v="1.4474912485414237"/>
    <x v="542"/>
    <x v="0"/>
    <x v="1"/>
    <x v="1"/>
    <n v="41.95"/>
  </r>
  <r>
    <d v="2024-02-09T00:00:00"/>
    <x v="3"/>
    <x v="1"/>
    <x v="0"/>
    <n v="48.27"/>
    <n v="4.46"/>
    <n v="3"/>
    <n v="48675.899999999936"/>
    <x v="0"/>
    <n v="9.8228699551569516"/>
    <x v="543"/>
    <x v="1"/>
    <x v="0"/>
    <x v="0"/>
    <n v="16.09"/>
  </r>
  <r>
    <d v="2024-02-20T00:00:00"/>
    <x v="3"/>
    <x v="2"/>
    <x v="0"/>
    <n v="131.31"/>
    <n v="30.51"/>
    <n v="1"/>
    <n v="48675.899999999936"/>
    <x v="0"/>
    <n v="3.303834808259587"/>
    <x v="544"/>
    <x v="1"/>
    <x v="0"/>
    <x v="0"/>
    <n v="131.31"/>
  </r>
  <r>
    <d v="2024-04-21T00:00:00"/>
    <x v="0"/>
    <x v="2"/>
    <x v="1"/>
    <n v="185.8"/>
    <n v="23.65"/>
    <n v="3"/>
    <n v="58562.910000000018"/>
    <x v="1"/>
    <n v="6.8562367864693456"/>
    <x v="545"/>
    <x v="0"/>
    <x v="1"/>
    <x v="1"/>
    <n v="61.933333333333337"/>
  </r>
  <r>
    <d v="2024-01-22T00:00:00"/>
    <x v="0"/>
    <x v="1"/>
    <x v="0"/>
    <n v="36.51"/>
    <n v="39.53"/>
    <n v="3"/>
    <n v="61207.979999999989"/>
    <x v="1"/>
    <n v="-7.6397672653680831E-2"/>
    <x v="546"/>
    <x v="0"/>
    <x v="2"/>
    <x v="0"/>
    <n v="12.17"/>
  </r>
  <r>
    <d v="2024-01-23T00:00:00"/>
    <x v="2"/>
    <x v="1"/>
    <x v="1"/>
    <n v="24.54"/>
    <n v="37.409999999999997"/>
    <n v="1"/>
    <n v="61207.979999999989"/>
    <x v="1"/>
    <n v="-0.34402566158781073"/>
    <x v="547"/>
    <x v="1"/>
    <x v="2"/>
    <x v="0"/>
    <n v="24.54"/>
  </r>
  <r>
    <d v="2024-03-17T00:00:00"/>
    <x v="2"/>
    <x v="2"/>
    <x v="0"/>
    <n v="32.630000000000003"/>
    <n v="15.87"/>
    <n v="0"/>
    <n v="54735.250000000029"/>
    <x v="0"/>
    <n v="1.0560806553245121"/>
    <x v="548"/>
    <x v="0"/>
    <x v="3"/>
    <x v="1"/>
    <n v="0"/>
  </r>
  <r>
    <d v="2024-03-07T00:00:00"/>
    <x v="1"/>
    <x v="0"/>
    <x v="1"/>
    <n v="62.44"/>
    <n v="23.22"/>
    <n v="0"/>
    <n v="54735.250000000029"/>
    <x v="0"/>
    <n v="1.6890611541774332"/>
    <x v="549"/>
    <x v="1"/>
    <x v="3"/>
    <x v="1"/>
    <n v="0"/>
  </r>
  <r>
    <d v="2024-04-18T00:00:00"/>
    <x v="0"/>
    <x v="1"/>
    <x v="0"/>
    <n v="55.11"/>
    <n v="4"/>
    <n v="2"/>
    <n v="58562.910000000018"/>
    <x v="1"/>
    <n v="12.7775"/>
    <x v="550"/>
    <x v="0"/>
    <x v="1"/>
    <x v="1"/>
    <n v="27.555"/>
  </r>
  <r>
    <d v="2024-02-05T00:00:00"/>
    <x v="2"/>
    <x v="2"/>
    <x v="1"/>
    <n v="87.74"/>
    <n v="0.81"/>
    <n v="1"/>
    <n v="48675.899999999936"/>
    <x v="0"/>
    <n v="107.32098765432097"/>
    <x v="551"/>
    <x v="1"/>
    <x v="0"/>
    <x v="0"/>
    <n v="87.74"/>
  </r>
  <r>
    <d v="2024-01-31T00:00:00"/>
    <x v="4"/>
    <x v="2"/>
    <x v="1"/>
    <n v="180.78"/>
    <n v="20.64"/>
    <n v="0"/>
    <n v="61207.979999999989"/>
    <x v="1"/>
    <n v="7.758720930232557"/>
    <x v="552"/>
    <x v="0"/>
    <x v="2"/>
    <x v="0"/>
    <n v="0"/>
  </r>
  <r>
    <d v="2024-04-30T00:00:00"/>
    <x v="4"/>
    <x v="1"/>
    <x v="1"/>
    <n v="71.67"/>
    <n v="23.76"/>
    <n v="1"/>
    <n v="58562.910000000018"/>
    <x v="1"/>
    <n v="2.016414141414141"/>
    <x v="553"/>
    <x v="0"/>
    <x v="1"/>
    <x v="1"/>
    <n v="71.67"/>
  </r>
  <r>
    <d v="2024-04-03T00:00:00"/>
    <x v="4"/>
    <x v="0"/>
    <x v="0"/>
    <n v="36.590000000000003"/>
    <n v="25.3"/>
    <n v="2"/>
    <n v="58562.910000000018"/>
    <x v="1"/>
    <n v="0.44624505928853764"/>
    <x v="554"/>
    <x v="1"/>
    <x v="1"/>
    <x v="1"/>
    <n v="18.295000000000002"/>
  </r>
  <r>
    <d v="2024-04-14T00:00:00"/>
    <x v="2"/>
    <x v="1"/>
    <x v="1"/>
    <n v="96.83"/>
    <n v="21.15"/>
    <n v="1"/>
    <n v="58562.910000000018"/>
    <x v="1"/>
    <n v="3.5782505910165492"/>
    <x v="555"/>
    <x v="0"/>
    <x v="1"/>
    <x v="1"/>
    <n v="96.83"/>
  </r>
  <r>
    <d v="2024-01-03T00:00:00"/>
    <x v="0"/>
    <x v="2"/>
    <x v="0"/>
    <n v="162.74"/>
    <n v="19.440000000000001"/>
    <n v="0"/>
    <n v="61207.979999999989"/>
    <x v="1"/>
    <n v="7.3713991769547329"/>
    <x v="556"/>
    <x v="0"/>
    <x v="2"/>
    <x v="0"/>
    <n v="0"/>
  </r>
  <r>
    <d v="2024-02-15T00:00:00"/>
    <x v="0"/>
    <x v="2"/>
    <x v="1"/>
    <n v="170.7"/>
    <n v="7.57"/>
    <n v="3"/>
    <n v="48675.899999999936"/>
    <x v="0"/>
    <n v="21.549537648612944"/>
    <x v="557"/>
    <x v="0"/>
    <x v="0"/>
    <x v="0"/>
    <n v="56.9"/>
  </r>
  <r>
    <d v="2024-03-30T00:00:00"/>
    <x v="3"/>
    <x v="0"/>
    <x v="1"/>
    <n v="121.95"/>
    <n v="21.51"/>
    <n v="3"/>
    <n v="54735.250000000029"/>
    <x v="0"/>
    <n v="4.6694560669456067"/>
    <x v="558"/>
    <x v="0"/>
    <x v="3"/>
    <x v="1"/>
    <n v="40.65"/>
  </r>
  <r>
    <d v="2024-02-08T00:00:00"/>
    <x v="0"/>
    <x v="0"/>
    <x v="1"/>
    <n v="48.73"/>
    <n v="30.91"/>
    <n v="2"/>
    <n v="48675.899999999936"/>
    <x v="0"/>
    <n v="0.57651245551601416"/>
    <x v="559"/>
    <x v="1"/>
    <x v="0"/>
    <x v="0"/>
    <n v="24.364999999999998"/>
  </r>
  <r>
    <d v="2024-02-27T00:00:00"/>
    <x v="1"/>
    <x v="2"/>
    <x v="0"/>
    <n v="92.98"/>
    <n v="20.82"/>
    <n v="2"/>
    <n v="48675.899999999936"/>
    <x v="0"/>
    <n v="3.4658981748318922"/>
    <x v="560"/>
    <x v="1"/>
    <x v="0"/>
    <x v="0"/>
    <n v="46.49"/>
  </r>
  <r>
    <d v="2024-04-30T00:00:00"/>
    <x v="0"/>
    <x v="0"/>
    <x v="1"/>
    <n v="61.25"/>
    <n v="7.42"/>
    <n v="3"/>
    <n v="58562.910000000018"/>
    <x v="1"/>
    <n v="7.2547169811320753"/>
    <x v="561"/>
    <x v="0"/>
    <x v="1"/>
    <x v="1"/>
    <n v="20.416666666666668"/>
  </r>
  <r>
    <d v="2024-04-12T00:00:00"/>
    <x v="0"/>
    <x v="1"/>
    <x v="0"/>
    <n v="54.62"/>
    <n v="43.99"/>
    <n v="0"/>
    <n v="58562.910000000018"/>
    <x v="1"/>
    <n v="0.24164582859740838"/>
    <x v="562"/>
    <x v="0"/>
    <x v="1"/>
    <x v="1"/>
    <n v="0"/>
  </r>
  <r>
    <d v="2024-04-19T00:00:00"/>
    <x v="1"/>
    <x v="1"/>
    <x v="1"/>
    <n v="178.38"/>
    <n v="9.08"/>
    <n v="3"/>
    <n v="58562.910000000018"/>
    <x v="1"/>
    <n v="18.645374449339204"/>
    <x v="563"/>
    <x v="0"/>
    <x v="1"/>
    <x v="1"/>
    <n v="59.46"/>
  </r>
  <r>
    <d v="2024-04-11T00:00:00"/>
    <x v="1"/>
    <x v="2"/>
    <x v="1"/>
    <n v="198.7"/>
    <n v="15.29"/>
    <n v="0"/>
    <n v="58562.910000000018"/>
    <x v="1"/>
    <n v="11.995421844342708"/>
    <x v="564"/>
    <x v="0"/>
    <x v="1"/>
    <x v="1"/>
    <n v="0"/>
  </r>
  <r>
    <d v="2024-04-24T00:00:00"/>
    <x v="4"/>
    <x v="1"/>
    <x v="1"/>
    <n v="167.46"/>
    <n v="3.19"/>
    <n v="2"/>
    <n v="58562.910000000018"/>
    <x v="1"/>
    <n v="51.495297805642636"/>
    <x v="565"/>
    <x v="0"/>
    <x v="1"/>
    <x v="1"/>
    <n v="83.73"/>
  </r>
  <r>
    <d v="2024-01-17T00:00:00"/>
    <x v="4"/>
    <x v="2"/>
    <x v="0"/>
    <n v="120.47"/>
    <n v="4.68"/>
    <n v="0"/>
    <n v="61207.979999999989"/>
    <x v="1"/>
    <n v="24.741452991452991"/>
    <x v="566"/>
    <x v="0"/>
    <x v="2"/>
    <x v="0"/>
    <n v="0"/>
  </r>
  <r>
    <d v="2024-04-08T00:00:00"/>
    <x v="2"/>
    <x v="2"/>
    <x v="1"/>
    <n v="144.24"/>
    <n v="44.32"/>
    <n v="0"/>
    <n v="58562.910000000018"/>
    <x v="1"/>
    <n v="2.2545126353790619"/>
    <x v="567"/>
    <x v="1"/>
    <x v="1"/>
    <x v="1"/>
    <n v="0"/>
  </r>
  <r>
    <d v="2024-01-17T00:00:00"/>
    <x v="1"/>
    <x v="2"/>
    <x v="0"/>
    <n v="63.91"/>
    <n v="40.69"/>
    <n v="1"/>
    <n v="61207.979999999989"/>
    <x v="1"/>
    <n v="0.57065618087982306"/>
    <x v="568"/>
    <x v="1"/>
    <x v="2"/>
    <x v="0"/>
    <n v="63.91"/>
  </r>
  <r>
    <d v="2024-04-27T00:00:00"/>
    <x v="2"/>
    <x v="0"/>
    <x v="0"/>
    <n v="49.3"/>
    <n v="11.71"/>
    <n v="2"/>
    <n v="58562.910000000018"/>
    <x v="1"/>
    <n v="3.2100768573868481"/>
    <x v="569"/>
    <x v="1"/>
    <x v="1"/>
    <x v="1"/>
    <n v="24.65"/>
  </r>
  <r>
    <d v="2024-04-25T00:00:00"/>
    <x v="1"/>
    <x v="0"/>
    <x v="0"/>
    <n v="55.47"/>
    <n v="15.68"/>
    <n v="0"/>
    <n v="58562.910000000018"/>
    <x v="1"/>
    <n v="2.537627551020408"/>
    <x v="570"/>
    <x v="0"/>
    <x v="1"/>
    <x v="1"/>
    <n v="0"/>
  </r>
  <r>
    <d v="2024-04-20T00:00:00"/>
    <x v="3"/>
    <x v="2"/>
    <x v="1"/>
    <n v="170.31"/>
    <n v="40.57"/>
    <n v="1"/>
    <n v="58562.910000000018"/>
    <x v="1"/>
    <n v="3.1979295045600198"/>
    <x v="571"/>
    <x v="0"/>
    <x v="1"/>
    <x v="1"/>
    <n v="170.31"/>
  </r>
  <r>
    <d v="2024-02-22T00:00:00"/>
    <x v="2"/>
    <x v="1"/>
    <x v="1"/>
    <n v="155.47999999999999"/>
    <n v="12.84"/>
    <n v="0"/>
    <n v="48675.899999999936"/>
    <x v="0"/>
    <n v="11.109034267912772"/>
    <x v="572"/>
    <x v="0"/>
    <x v="0"/>
    <x v="0"/>
    <n v="0"/>
  </r>
  <r>
    <d v="2024-03-02T00:00:00"/>
    <x v="3"/>
    <x v="2"/>
    <x v="0"/>
    <n v="52.39"/>
    <n v="32.18"/>
    <n v="3"/>
    <n v="54735.250000000029"/>
    <x v="0"/>
    <n v="0.62802983219390929"/>
    <x v="573"/>
    <x v="0"/>
    <x v="3"/>
    <x v="1"/>
    <n v="17.463333333333335"/>
  </r>
  <r>
    <d v="2024-01-13T00:00:00"/>
    <x v="4"/>
    <x v="1"/>
    <x v="1"/>
    <n v="94.95"/>
    <n v="8.56"/>
    <n v="2"/>
    <n v="61207.979999999989"/>
    <x v="1"/>
    <n v="10.092289719626168"/>
    <x v="574"/>
    <x v="1"/>
    <x v="2"/>
    <x v="0"/>
    <n v="47.475000000000001"/>
  </r>
  <r>
    <d v="2024-02-14T00:00:00"/>
    <x v="3"/>
    <x v="1"/>
    <x v="1"/>
    <n v="196.49"/>
    <n v="31.42"/>
    <n v="0"/>
    <n v="48675.899999999936"/>
    <x v="0"/>
    <n v="5.253660089115213"/>
    <x v="575"/>
    <x v="1"/>
    <x v="0"/>
    <x v="0"/>
    <n v="0"/>
  </r>
  <r>
    <d v="2024-04-25T00:00:00"/>
    <x v="0"/>
    <x v="1"/>
    <x v="1"/>
    <n v="37.47"/>
    <n v="45.82"/>
    <n v="1"/>
    <n v="58562.910000000018"/>
    <x v="1"/>
    <n v="-0.18223483195111309"/>
    <x v="576"/>
    <x v="0"/>
    <x v="1"/>
    <x v="1"/>
    <n v="37.47"/>
  </r>
  <r>
    <d v="2024-01-30T00:00:00"/>
    <x v="1"/>
    <x v="2"/>
    <x v="1"/>
    <n v="51.48"/>
    <n v="14.56"/>
    <n v="3"/>
    <n v="61207.979999999989"/>
    <x v="1"/>
    <n v="2.5357142857142851"/>
    <x v="577"/>
    <x v="1"/>
    <x v="2"/>
    <x v="0"/>
    <n v="17.16"/>
  </r>
  <r>
    <d v="2024-04-20T00:00:00"/>
    <x v="3"/>
    <x v="0"/>
    <x v="0"/>
    <n v="114.28"/>
    <n v="2.36"/>
    <n v="2"/>
    <n v="58562.910000000018"/>
    <x v="1"/>
    <n v="47.423728813559322"/>
    <x v="578"/>
    <x v="0"/>
    <x v="1"/>
    <x v="1"/>
    <n v="57.14"/>
  </r>
  <r>
    <d v="2024-03-11T00:00:00"/>
    <x v="0"/>
    <x v="1"/>
    <x v="1"/>
    <n v="28.74"/>
    <n v="1.04"/>
    <n v="1"/>
    <n v="54735.250000000029"/>
    <x v="0"/>
    <n v="26.634615384615383"/>
    <x v="579"/>
    <x v="0"/>
    <x v="3"/>
    <x v="1"/>
    <n v="28.74"/>
  </r>
  <r>
    <d v="2024-02-01T00:00:00"/>
    <x v="3"/>
    <x v="1"/>
    <x v="0"/>
    <n v="181.88"/>
    <n v="30.52"/>
    <n v="1"/>
    <n v="48675.899999999936"/>
    <x v="0"/>
    <n v="4.9593709043250325"/>
    <x v="580"/>
    <x v="0"/>
    <x v="0"/>
    <x v="0"/>
    <n v="181.88"/>
  </r>
  <r>
    <d v="2024-04-13T00:00:00"/>
    <x v="4"/>
    <x v="2"/>
    <x v="1"/>
    <n v="144.78"/>
    <n v="0.89"/>
    <n v="0"/>
    <n v="58562.910000000018"/>
    <x v="1"/>
    <n v="161.67415730337081"/>
    <x v="581"/>
    <x v="1"/>
    <x v="1"/>
    <x v="1"/>
    <n v="0"/>
  </r>
  <r>
    <d v="2024-04-29T00:00:00"/>
    <x v="4"/>
    <x v="1"/>
    <x v="0"/>
    <n v="52.59"/>
    <n v="43.55"/>
    <n v="1"/>
    <n v="58562.910000000018"/>
    <x v="1"/>
    <n v="0.20757749712973608"/>
    <x v="582"/>
    <x v="0"/>
    <x v="1"/>
    <x v="1"/>
    <n v="52.59"/>
  </r>
  <r>
    <d v="2024-03-23T00:00:00"/>
    <x v="0"/>
    <x v="2"/>
    <x v="1"/>
    <n v="164.96"/>
    <n v="22.02"/>
    <n v="0"/>
    <n v="54735.250000000029"/>
    <x v="0"/>
    <n v="6.4913714804722975"/>
    <x v="583"/>
    <x v="1"/>
    <x v="3"/>
    <x v="1"/>
    <n v="0"/>
  </r>
  <r>
    <d v="2024-01-17T00:00:00"/>
    <x v="2"/>
    <x v="1"/>
    <x v="0"/>
    <n v="41.3"/>
    <n v="49.96"/>
    <n v="1"/>
    <n v="61207.979999999989"/>
    <x v="1"/>
    <n v="-0.17333867093674948"/>
    <x v="584"/>
    <x v="1"/>
    <x v="2"/>
    <x v="0"/>
    <n v="41.3"/>
  </r>
  <r>
    <d v="2024-03-11T00:00:00"/>
    <x v="2"/>
    <x v="0"/>
    <x v="1"/>
    <n v="112.95"/>
    <n v="43.43"/>
    <n v="1"/>
    <n v="54735.250000000029"/>
    <x v="0"/>
    <n v="1.6007368178678336"/>
    <x v="372"/>
    <x v="1"/>
    <x v="3"/>
    <x v="1"/>
    <n v="112.95"/>
  </r>
  <r>
    <d v="2024-02-15T00:00:00"/>
    <x v="3"/>
    <x v="0"/>
    <x v="1"/>
    <n v="89.97"/>
    <n v="9.65"/>
    <n v="1"/>
    <n v="48675.899999999936"/>
    <x v="0"/>
    <n v="8.3233160621761648"/>
    <x v="585"/>
    <x v="1"/>
    <x v="0"/>
    <x v="0"/>
    <n v="89.97"/>
  </r>
  <r>
    <d v="2024-03-05T00:00:00"/>
    <x v="3"/>
    <x v="1"/>
    <x v="1"/>
    <n v="173.72"/>
    <n v="30.51"/>
    <n v="0"/>
    <n v="54735.250000000029"/>
    <x v="0"/>
    <n v="4.6938708620124547"/>
    <x v="586"/>
    <x v="0"/>
    <x v="3"/>
    <x v="1"/>
    <n v="0"/>
  </r>
  <r>
    <d v="2024-02-19T00:00:00"/>
    <x v="2"/>
    <x v="0"/>
    <x v="0"/>
    <n v="59.37"/>
    <n v="47.78"/>
    <n v="2"/>
    <n v="48675.899999999936"/>
    <x v="0"/>
    <n v="0.24257011301799908"/>
    <x v="587"/>
    <x v="0"/>
    <x v="0"/>
    <x v="0"/>
    <n v="29.684999999999999"/>
  </r>
  <r>
    <d v="2024-04-02T00:00:00"/>
    <x v="1"/>
    <x v="2"/>
    <x v="0"/>
    <n v="161.26"/>
    <n v="16.850000000000001"/>
    <n v="2"/>
    <n v="58562.910000000018"/>
    <x v="1"/>
    <n v="8.5703264094955482"/>
    <x v="588"/>
    <x v="1"/>
    <x v="1"/>
    <x v="1"/>
    <n v="80.63"/>
  </r>
  <r>
    <d v="2024-01-25T00:00:00"/>
    <x v="1"/>
    <x v="2"/>
    <x v="1"/>
    <n v="43.11"/>
    <n v="20.62"/>
    <n v="0"/>
    <n v="61207.979999999989"/>
    <x v="1"/>
    <n v="1.0906886517943744"/>
    <x v="589"/>
    <x v="1"/>
    <x v="2"/>
    <x v="0"/>
    <n v="0"/>
  </r>
  <r>
    <d v="2024-01-21T00:00:00"/>
    <x v="2"/>
    <x v="0"/>
    <x v="0"/>
    <n v="122.26"/>
    <n v="6.46"/>
    <n v="0"/>
    <n v="61207.979999999989"/>
    <x v="1"/>
    <n v="17.925696594427247"/>
    <x v="590"/>
    <x v="0"/>
    <x v="2"/>
    <x v="0"/>
    <n v="0"/>
  </r>
  <r>
    <d v="2024-03-25T00:00:00"/>
    <x v="2"/>
    <x v="1"/>
    <x v="1"/>
    <n v="47.31"/>
    <n v="9.49"/>
    <n v="0"/>
    <n v="54735.250000000029"/>
    <x v="0"/>
    <n v="3.9852476290832453"/>
    <x v="591"/>
    <x v="1"/>
    <x v="3"/>
    <x v="1"/>
    <n v="0"/>
  </r>
  <r>
    <d v="2024-04-18T00:00:00"/>
    <x v="4"/>
    <x v="1"/>
    <x v="0"/>
    <n v="76.59"/>
    <n v="30.77"/>
    <n v="2"/>
    <n v="58562.910000000018"/>
    <x v="1"/>
    <n v="1.4891127721806958"/>
    <x v="592"/>
    <x v="1"/>
    <x v="1"/>
    <x v="1"/>
    <n v="38.295000000000002"/>
  </r>
  <r>
    <d v="2024-02-06T00:00:00"/>
    <x v="2"/>
    <x v="2"/>
    <x v="1"/>
    <n v="90.88"/>
    <n v="28.28"/>
    <n v="2"/>
    <n v="48675.899999999936"/>
    <x v="0"/>
    <n v="2.2135785007072131"/>
    <x v="593"/>
    <x v="1"/>
    <x v="0"/>
    <x v="0"/>
    <n v="45.44"/>
  </r>
  <r>
    <d v="2024-02-04T00:00:00"/>
    <x v="1"/>
    <x v="1"/>
    <x v="0"/>
    <n v="128.51"/>
    <n v="39.54"/>
    <n v="3"/>
    <n v="48675.899999999936"/>
    <x v="0"/>
    <n v="2.250126454223571"/>
    <x v="594"/>
    <x v="1"/>
    <x v="0"/>
    <x v="0"/>
    <n v="42.836666666666666"/>
  </r>
  <r>
    <d v="2024-02-17T00:00:00"/>
    <x v="0"/>
    <x v="2"/>
    <x v="0"/>
    <n v="58.6"/>
    <n v="38.07"/>
    <n v="0"/>
    <n v="48675.899999999936"/>
    <x v="0"/>
    <n v="0.53926976622012091"/>
    <x v="595"/>
    <x v="1"/>
    <x v="0"/>
    <x v="0"/>
    <n v="0"/>
  </r>
  <r>
    <d v="2024-01-03T00:00:00"/>
    <x v="3"/>
    <x v="0"/>
    <x v="0"/>
    <n v="183.23"/>
    <n v="13.76"/>
    <n v="2"/>
    <n v="61207.979999999989"/>
    <x v="1"/>
    <n v="12.316133720930234"/>
    <x v="596"/>
    <x v="0"/>
    <x v="2"/>
    <x v="0"/>
    <n v="91.614999999999995"/>
  </r>
  <r>
    <d v="2024-03-15T00:00:00"/>
    <x v="1"/>
    <x v="2"/>
    <x v="0"/>
    <n v="22.24"/>
    <n v="24.74"/>
    <n v="1"/>
    <n v="54735.250000000029"/>
    <x v="0"/>
    <n v="-0.10105092966855296"/>
    <x v="597"/>
    <x v="0"/>
    <x v="3"/>
    <x v="1"/>
    <n v="22.24"/>
  </r>
  <r>
    <d v="2024-01-05T00:00:00"/>
    <x v="3"/>
    <x v="1"/>
    <x v="1"/>
    <n v="44.89"/>
    <n v="44.79"/>
    <n v="2"/>
    <n v="61207.979999999989"/>
    <x v="1"/>
    <n v="2.2326412145568524E-3"/>
    <x v="598"/>
    <x v="0"/>
    <x v="2"/>
    <x v="0"/>
    <n v="22.445"/>
  </r>
  <r>
    <d v="2024-02-16T00:00:00"/>
    <x v="0"/>
    <x v="1"/>
    <x v="1"/>
    <n v="153.44"/>
    <n v="5.62"/>
    <n v="3"/>
    <n v="48675.899999999936"/>
    <x v="0"/>
    <n v="26.302491103202847"/>
    <x v="599"/>
    <x v="1"/>
    <x v="0"/>
    <x v="0"/>
    <n v="51.146666666666668"/>
  </r>
  <r>
    <d v="2024-03-04T00:00:00"/>
    <x v="1"/>
    <x v="0"/>
    <x v="0"/>
    <n v="50.54"/>
    <n v="31.01"/>
    <n v="0"/>
    <n v="54735.250000000029"/>
    <x v="0"/>
    <n v="0.62979683972911948"/>
    <x v="600"/>
    <x v="1"/>
    <x v="3"/>
    <x v="1"/>
    <n v="0"/>
  </r>
  <r>
    <d v="2024-03-04T00:00:00"/>
    <x v="0"/>
    <x v="2"/>
    <x v="0"/>
    <n v="174.88"/>
    <n v="42.91"/>
    <n v="2"/>
    <n v="54735.250000000029"/>
    <x v="0"/>
    <n v="3.0755068748543466"/>
    <x v="601"/>
    <x v="0"/>
    <x v="3"/>
    <x v="1"/>
    <n v="87.44"/>
  </r>
  <r>
    <d v="2024-01-09T00:00:00"/>
    <x v="3"/>
    <x v="1"/>
    <x v="0"/>
    <n v="114.27"/>
    <n v="2.71"/>
    <n v="2"/>
    <n v="61207.979999999989"/>
    <x v="1"/>
    <n v="41.166051660516608"/>
    <x v="602"/>
    <x v="0"/>
    <x v="2"/>
    <x v="0"/>
    <n v="57.134999999999998"/>
  </r>
  <r>
    <d v="2024-03-01T00:00:00"/>
    <x v="0"/>
    <x v="1"/>
    <x v="1"/>
    <n v="178.51"/>
    <n v="40.729999999999997"/>
    <n v="3"/>
    <n v="54735.250000000029"/>
    <x v="0"/>
    <n v="3.382764547016941"/>
    <x v="603"/>
    <x v="1"/>
    <x v="3"/>
    <x v="1"/>
    <n v="59.50333333333333"/>
  </r>
  <r>
    <d v="2024-02-03T00:00:00"/>
    <x v="3"/>
    <x v="2"/>
    <x v="0"/>
    <n v="53.51"/>
    <n v="34.880000000000003"/>
    <n v="0"/>
    <n v="48675.899999999936"/>
    <x v="0"/>
    <n v="0.53411697247706402"/>
    <x v="604"/>
    <x v="1"/>
    <x v="0"/>
    <x v="0"/>
    <n v="0"/>
  </r>
  <r>
    <d v="2024-01-07T00:00:00"/>
    <x v="0"/>
    <x v="1"/>
    <x v="0"/>
    <n v="23.11"/>
    <n v="2.64"/>
    <n v="2"/>
    <n v="61207.979999999989"/>
    <x v="1"/>
    <n v="7.753787878787878"/>
    <x v="605"/>
    <x v="0"/>
    <x v="2"/>
    <x v="0"/>
    <n v="11.555"/>
  </r>
  <r>
    <d v="2024-03-29T00:00:00"/>
    <x v="0"/>
    <x v="1"/>
    <x v="1"/>
    <n v="172.56"/>
    <n v="10.74"/>
    <n v="3"/>
    <n v="54735.250000000029"/>
    <x v="0"/>
    <n v="15.06703910614525"/>
    <x v="606"/>
    <x v="1"/>
    <x v="3"/>
    <x v="1"/>
    <n v="57.52"/>
  </r>
  <r>
    <d v="2024-03-07T00:00:00"/>
    <x v="4"/>
    <x v="2"/>
    <x v="0"/>
    <n v="195.63"/>
    <n v="42.73"/>
    <n v="0"/>
    <n v="54735.250000000029"/>
    <x v="0"/>
    <n v="3.5782822373040024"/>
    <x v="607"/>
    <x v="0"/>
    <x v="3"/>
    <x v="1"/>
    <n v="0"/>
  </r>
  <r>
    <d v="2024-04-28T00:00:00"/>
    <x v="0"/>
    <x v="2"/>
    <x v="1"/>
    <n v="93.14"/>
    <n v="39.270000000000003"/>
    <n v="2"/>
    <n v="58562.910000000018"/>
    <x v="1"/>
    <n v="1.3717850776674305"/>
    <x v="608"/>
    <x v="1"/>
    <x v="1"/>
    <x v="1"/>
    <n v="46.57"/>
  </r>
  <r>
    <d v="2024-02-17T00:00:00"/>
    <x v="4"/>
    <x v="2"/>
    <x v="0"/>
    <n v="114.02"/>
    <n v="15.19"/>
    <n v="2"/>
    <n v="48675.899999999936"/>
    <x v="0"/>
    <n v="6.5062541145490451"/>
    <x v="609"/>
    <x v="0"/>
    <x v="0"/>
    <x v="0"/>
    <n v="57.01"/>
  </r>
  <r>
    <d v="2024-04-17T00:00:00"/>
    <x v="2"/>
    <x v="1"/>
    <x v="0"/>
    <n v="193.64"/>
    <n v="28.97"/>
    <n v="1"/>
    <n v="58562.910000000018"/>
    <x v="1"/>
    <n v="5.6841560234725579"/>
    <x v="610"/>
    <x v="0"/>
    <x v="1"/>
    <x v="1"/>
    <n v="193.64"/>
  </r>
  <r>
    <d v="2024-01-24T00:00:00"/>
    <x v="1"/>
    <x v="2"/>
    <x v="1"/>
    <n v="192.18"/>
    <n v="27.31"/>
    <n v="2"/>
    <n v="61207.979999999989"/>
    <x v="1"/>
    <n v="6.0369827901867454"/>
    <x v="70"/>
    <x v="1"/>
    <x v="2"/>
    <x v="0"/>
    <n v="96.09"/>
  </r>
  <r>
    <d v="2024-01-23T00:00:00"/>
    <x v="2"/>
    <x v="2"/>
    <x v="0"/>
    <n v="173.23"/>
    <n v="40.31"/>
    <n v="2"/>
    <n v="61207.979999999989"/>
    <x v="1"/>
    <n v="3.2974448027784664"/>
    <x v="611"/>
    <x v="0"/>
    <x v="2"/>
    <x v="0"/>
    <n v="86.614999999999995"/>
  </r>
  <r>
    <d v="2024-01-15T00:00:00"/>
    <x v="4"/>
    <x v="1"/>
    <x v="1"/>
    <n v="136.94999999999999"/>
    <n v="23.91"/>
    <n v="3"/>
    <n v="61207.979999999989"/>
    <x v="1"/>
    <n v="4.7277289836888325"/>
    <x v="612"/>
    <x v="1"/>
    <x v="2"/>
    <x v="0"/>
    <n v="45.65"/>
  </r>
  <r>
    <d v="2024-04-15T00:00:00"/>
    <x v="2"/>
    <x v="0"/>
    <x v="0"/>
    <n v="119.45"/>
    <n v="22.05"/>
    <n v="1"/>
    <n v="58562.910000000018"/>
    <x v="1"/>
    <n v="4.4172335600907031"/>
    <x v="613"/>
    <x v="1"/>
    <x v="1"/>
    <x v="1"/>
    <n v="119.45"/>
  </r>
  <r>
    <d v="2024-04-23T00:00:00"/>
    <x v="2"/>
    <x v="1"/>
    <x v="1"/>
    <n v="154.75"/>
    <n v="11.65"/>
    <n v="0"/>
    <n v="58562.910000000018"/>
    <x v="1"/>
    <n v="12.283261802575106"/>
    <x v="614"/>
    <x v="1"/>
    <x v="1"/>
    <x v="1"/>
    <n v="0"/>
  </r>
  <r>
    <d v="2024-04-16T00:00:00"/>
    <x v="0"/>
    <x v="2"/>
    <x v="1"/>
    <n v="180.04"/>
    <n v="16.059999999999999"/>
    <n v="1"/>
    <n v="58562.910000000018"/>
    <x v="1"/>
    <n v="10.210460772104607"/>
    <x v="615"/>
    <x v="0"/>
    <x v="1"/>
    <x v="1"/>
    <n v="180.04"/>
  </r>
  <r>
    <d v="2024-01-22T00:00:00"/>
    <x v="2"/>
    <x v="1"/>
    <x v="0"/>
    <n v="121.3"/>
    <n v="13.99"/>
    <n v="0"/>
    <n v="61207.979999999989"/>
    <x v="1"/>
    <n v="7.6704789135096494"/>
    <x v="616"/>
    <x v="0"/>
    <x v="2"/>
    <x v="0"/>
    <n v="0"/>
  </r>
  <r>
    <d v="2024-03-05T00:00:00"/>
    <x v="0"/>
    <x v="1"/>
    <x v="0"/>
    <n v="177.12"/>
    <n v="19.11"/>
    <n v="0"/>
    <n v="54735.250000000029"/>
    <x v="0"/>
    <n v="8.2684458398744116"/>
    <x v="617"/>
    <x v="1"/>
    <x v="3"/>
    <x v="1"/>
    <n v="0"/>
  </r>
  <r>
    <d v="2024-01-19T00:00:00"/>
    <x v="3"/>
    <x v="0"/>
    <x v="1"/>
    <n v="40.229999999999997"/>
    <n v="14.13"/>
    <n v="0"/>
    <n v="61207.979999999989"/>
    <x v="1"/>
    <n v="1.847133757961783"/>
    <x v="618"/>
    <x v="1"/>
    <x v="2"/>
    <x v="0"/>
    <n v="0"/>
  </r>
  <r>
    <d v="2024-04-20T00:00:00"/>
    <x v="0"/>
    <x v="1"/>
    <x v="0"/>
    <n v="36.32"/>
    <n v="2.13"/>
    <n v="0"/>
    <n v="58562.910000000018"/>
    <x v="1"/>
    <n v="16.051643192488264"/>
    <x v="619"/>
    <x v="0"/>
    <x v="1"/>
    <x v="1"/>
    <n v="0"/>
  </r>
  <r>
    <d v="2024-03-26T00:00:00"/>
    <x v="0"/>
    <x v="0"/>
    <x v="1"/>
    <n v="184.37"/>
    <n v="30.63"/>
    <n v="0"/>
    <n v="54735.250000000029"/>
    <x v="0"/>
    <n v="5.0192621612797916"/>
    <x v="620"/>
    <x v="0"/>
    <x v="3"/>
    <x v="1"/>
    <n v="0"/>
  </r>
  <r>
    <d v="2024-02-24T00:00:00"/>
    <x v="4"/>
    <x v="1"/>
    <x v="0"/>
    <n v="78.77"/>
    <n v="41.88"/>
    <n v="1"/>
    <n v="48675.899999999936"/>
    <x v="0"/>
    <n v="0.88085004775549169"/>
    <x v="621"/>
    <x v="1"/>
    <x v="0"/>
    <x v="0"/>
    <n v="78.77"/>
  </r>
  <r>
    <d v="2024-04-28T00:00:00"/>
    <x v="3"/>
    <x v="0"/>
    <x v="0"/>
    <n v="118.83"/>
    <n v="27.98"/>
    <n v="0"/>
    <n v="58562.910000000018"/>
    <x v="1"/>
    <n v="3.2469621157969977"/>
    <x v="622"/>
    <x v="0"/>
    <x v="1"/>
    <x v="1"/>
    <n v="0"/>
  </r>
  <r>
    <d v="2024-04-11T00:00:00"/>
    <x v="2"/>
    <x v="2"/>
    <x v="0"/>
    <n v="40.98"/>
    <n v="19.84"/>
    <n v="3"/>
    <n v="58562.910000000018"/>
    <x v="1"/>
    <n v="1.065524193548387"/>
    <x v="623"/>
    <x v="1"/>
    <x v="1"/>
    <x v="1"/>
    <n v="13.659999999999998"/>
  </r>
  <r>
    <d v="2024-02-13T00:00:00"/>
    <x v="1"/>
    <x v="0"/>
    <x v="0"/>
    <n v="152.86000000000001"/>
    <n v="22.74"/>
    <n v="2"/>
    <n v="48675.899999999936"/>
    <x v="0"/>
    <n v="5.7220756376429209"/>
    <x v="624"/>
    <x v="1"/>
    <x v="0"/>
    <x v="0"/>
    <n v="76.430000000000007"/>
  </r>
  <r>
    <d v="2024-04-14T00:00:00"/>
    <x v="3"/>
    <x v="1"/>
    <x v="0"/>
    <n v="94.49"/>
    <n v="42.18"/>
    <n v="3"/>
    <n v="58562.910000000018"/>
    <x v="1"/>
    <n v="1.2401612138454243"/>
    <x v="625"/>
    <x v="0"/>
    <x v="1"/>
    <x v="1"/>
    <n v="31.496666666666666"/>
  </r>
  <r>
    <d v="2024-04-20T00:00:00"/>
    <x v="4"/>
    <x v="2"/>
    <x v="0"/>
    <n v="96.93"/>
    <n v="22.96"/>
    <n v="0"/>
    <n v="58562.910000000018"/>
    <x v="1"/>
    <n v="3.2216898954703832"/>
    <x v="626"/>
    <x v="1"/>
    <x v="1"/>
    <x v="1"/>
    <n v="0"/>
  </r>
  <r>
    <d v="2024-03-28T00:00:00"/>
    <x v="4"/>
    <x v="2"/>
    <x v="0"/>
    <n v="117.18"/>
    <n v="5.61"/>
    <n v="1"/>
    <n v="54735.250000000029"/>
    <x v="0"/>
    <n v="19.887700534759357"/>
    <x v="627"/>
    <x v="0"/>
    <x v="3"/>
    <x v="1"/>
    <n v="117.18"/>
  </r>
  <r>
    <d v="2024-03-26T00:00:00"/>
    <x v="3"/>
    <x v="1"/>
    <x v="1"/>
    <n v="129.4"/>
    <n v="21.86"/>
    <n v="0"/>
    <n v="54735.250000000029"/>
    <x v="0"/>
    <n v="4.9194876486733765"/>
    <x v="628"/>
    <x v="1"/>
    <x v="3"/>
    <x v="1"/>
    <n v="0"/>
  </r>
  <r>
    <d v="2024-01-19T00:00:00"/>
    <x v="0"/>
    <x v="1"/>
    <x v="0"/>
    <n v="43.45"/>
    <n v="34.94"/>
    <n v="2"/>
    <n v="61207.979999999989"/>
    <x v="1"/>
    <n v="0.24356038923869508"/>
    <x v="629"/>
    <x v="1"/>
    <x v="2"/>
    <x v="0"/>
    <n v="21.725000000000001"/>
  </r>
  <r>
    <d v="2024-01-16T00:00:00"/>
    <x v="2"/>
    <x v="0"/>
    <x v="1"/>
    <n v="50.91"/>
    <n v="18"/>
    <n v="0"/>
    <n v="61207.979999999989"/>
    <x v="1"/>
    <n v="1.8283333333333331"/>
    <x v="630"/>
    <x v="0"/>
    <x v="2"/>
    <x v="0"/>
    <n v="0"/>
  </r>
  <r>
    <d v="2024-01-19T00:00:00"/>
    <x v="4"/>
    <x v="0"/>
    <x v="0"/>
    <n v="38.700000000000003"/>
    <n v="46.8"/>
    <n v="3"/>
    <n v="61207.979999999989"/>
    <x v="1"/>
    <n v="-0.17307692307692296"/>
    <x v="631"/>
    <x v="0"/>
    <x v="2"/>
    <x v="0"/>
    <n v="12.9"/>
  </r>
  <r>
    <d v="2024-04-03T00:00:00"/>
    <x v="3"/>
    <x v="0"/>
    <x v="1"/>
    <n v="126.5"/>
    <n v="40.53"/>
    <n v="0"/>
    <n v="58562.910000000018"/>
    <x v="1"/>
    <n v="2.1211448309893903"/>
    <x v="632"/>
    <x v="1"/>
    <x v="1"/>
    <x v="1"/>
    <n v="0"/>
  </r>
  <r>
    <d v="2024-02-06T00:00:00"/>
    <x v="0"/>
    <x v="0"/>
    <x v="0"/>
    <n v="176.71"/>
    <n v="30.6"/>
    <n v="2"/>
    <n v="48675.899999999936"/>
    <x v="0"/>
    <n v="4.7748366013071895"/>
    <x v="633"/>
    <x v="0"/>
    <x v="0"/>
    <x v="0"/>
    <n v="88.355000000000004"/>
  </r>
  <r>
    <d v="2024-02-14T00:00:00"/>
    <x v="2"/>
    <x v="0"/>
    <x v="0"/>
    <n v="51.08"/>
    <n v="24.03"/>
    <n v="0"/>
    <n v="48675.899999999936"/>
    <x v="0"/>
    <n v="1.1256762380357885"/>
    <x v="634"/>
    <x v="1"/>
    <x v="0"/>
    <x v="0"/>
    <n v="0"/>
  </r>
  <r>
    <d v="2024-02-28T00:00:00"/>
    <x v="3"/>
    <x v="1"/>
    <x v="1"/>
    <n v="49.02"/>
    <n v="36.69"/>
    <n v="0"/>
    <n v="48675.899999999936"/>
    <x v="0"/>
    <n v="0.33605887162714654"/>
    <x v="635"/>
    <x v="1"/>
    <x v="0"/>
    <x v="0"/>
    <n v="0"/>
  </r>
  <r>
    <d v="2024-04-30T00:00:00"/>
    <x v="3"/>
    <x v="2"/>
    <x v="0"/>
    <n v="171.13"/>
    <n v="6.64"/>
    <n v="2"/>
    <n v="58562.910000000018"/>
    <x v="1"/>
    <n v="24.772590361445786"/>
    <x v="636"/>
    <x v="1"/>
    <x v="1"/>
    <x v="1"/>
    <n v="85.564999999999998"/>
  </r>
  <r>
    <d v="2024-04-14T00:00:00"/>
    <x v="2"/>
    <x v="0"/>
    <x v="0"/>
    <n v="100.14"/>
    <n v="18.25"/>
    <n v="1"/>
    <n v="58562.910000000018"/>
    <x v="1"/>
    <n v="4.487123287671233"/>
    <x v="637"/>
    <x v="0"/>
    <x v="1"/>
    <x v="1"/>
    <n v="100.14"/>
  </r>
  <r>
    <d v="2024-03-07T00:00:00"/>
    <x v="0"/>
    <x v="0"/>
    <x v="0"/>
    <n v="130.97999999999999"/>
    <n v="45.86"/>
    <n v="2"/>
    <n v="54735.250000000029"/>
    <x v="0"/>
    <n v="1.8560837331007412"/>
    <x v="638"/>
    <x v="0"/>
    <x v="3"/>
    <x v="1"/>
    <n v="65.489999999999995"/>
  </r>
  <r>
    <d v="2024-04-01T00:00:00"/>
    <x v="4"/>
    <x v="1"/>
    <x v="1"/>
    <n v="165.2"/>
    <n v="32.46"/>
    <n v="2"/>
    <n v="58562.910000000018"/>
    <x v="1"/>
    <n v="4.0893407270486746"/>
    <x v="639"/>
    <x v="0"/>
    <x v="1"/>
    <x v="1"/>
    <n v="82.6"/>
  </r>
  <r>
    <d v="2024-02-09T00:00:00"/>
    <x v="2"/>
    <x v="2"/>
    <x v="0"/>
    <n v="99.25"/>
    <n v="19.32"/>
    <n v="0"/>
    <n v="48675.899999999936"/>
    <x v="0"/>
    <n v="4.1371635610766049"/>
    <x v="640"/>
    <x v="1"/>
    <x v="0"/>
    <x v="0"/>
    <n v="0"/>
  </r>
  <r>
    <d v="2024-04-20T00:00:00"/>
    <x v="0"/>
    <x v="2"/>
    <x v="0"/>
    <n v="78.17"/>
    <n v="32.409999999999997"/>
    <n v="1"/>
    <n v="58562.910000000018"/>
    <x v="1"/>
    <n v="1.4119099043505094"/>
    <x v="641"/>
    <x v="1"/>
    <x v="1"/>
    <x v="1"/>
    <n v="78.17"/>
  </r>
  <r>
    <d v="2024-03-19T00:00:00"/>
    <x v="0"/>
    <x v="2"/>
    <x v="1"/>
    <n v="133.62"/>
    <n v="6.17"/>
    <n v="0"/>
    <n v="54735.250000000029"/>
    <x v="0"/>
    <n v="20.656401944894654"/>
    <x v="642"/>
    <x v="0"/>
    <x v="3"/>
    <x v="1"/>
    <n v="0"/>
  </r>
  <r>
    <d v="2024-04-11T00:00:00"/>
    <x v="0"/>
    <x v="0"/>
    <x v="1"/>
    <n v="157.32"/>
    <n v="13.89"/>
    <n v="0"/>
    <n v="58562.910000000018"/>
    <x v="1"/>
    <n v="10.326133909287257"/>
    <x v="643"/>
    <x v="1"/>
    <x v="1"/>
    <x v="1"/>
    <n v="0"/>
  </r>
  <r>
    <d v="2024-01-15T00:00:00"/>
    <x v="2"/>
    <x v="2"/>
    <x v="0"/>
    <n v="198.46"/>
    <n v="40.79"/>
    <n v="1"/>
    <n v="61207.979999999989"/>
    <x v="1"/>
    <n v="3.8654081882814419"/>
    <x v="644"/>
    <x v="1"/>
    <x v="2"/>
    <x v="0"/>
    <n v="198.46"/>
  </r>
  <r>
    <d v="2024-04-17T00:00:00"/>
    <x v="1"/>
    <x v="1"/>
    <x v="1"/>
    <n v="21.76"/>
    <n v="49.92"/>
    <n v="2"/>
    <n v="58562.910000000018"/>
    <x v="1"/>
    <n v="-0.5641025641025641"/>
    <x v="645"/>
    <x v="0"/>
    <x v="1"/>
    <x v="1"/>
    <n v="10.88"/>
  </r>
  <r>
    <d v="2024-01-26T00:00:00"/>
    <x v="3"/>
    <x v="0"/>
    <x v="1"/>
    <n v="189.89"/>
    <n v="12.13"/>
    <n v="3"/>
    <n v="61207.979999999989"/>
    <x v="1"/>
    <n v="14.65457543281121"/>
    <x v="646"/>
    <x v="1"/>
    <x v="2"/>
    <x v="0"/>
    <n v="63.29666666666666"/>
  </r>
  <r>
    <d v="2024-02-26T00:00:00"/>
    <x v="2"/>
    <x v="1"/>
    <x v="1"/>
    <n v="69.38"/>
    <n v="15.18"/>
    <n v="0"/>
    <n v="48675.899999999936"/>
    <x v="0"/>
    <n v="3.5704874835309615"/>
    <x v="647"/>
    <x v="0"/>
    <x v="0"/>
    <x v="0"/>
    <n v="0"/>
  </r>
  <r>
    <d v="2024-02-29T00:00:00"/>
    <x v="4"/>
    <x v="2"/>
    <x v="1"/>
    <n v="47.23"/>
    <n v="10.85"/>
    <n v="3"/>
    <n v="48675.899999999936"/>
    <x v="0"/>
    <n v="3.3529953917050688"/>
    <x v="648"/>
    <x v="0"/>
    <x v="0"/>
    <x v="0"/>
    <n v="15.743333333333332"/>
  </r>
  <r>
    <d v="2024-03-27T00:00:00"/>
    <x v="2"/>
    <x v="0"/>
    <x v="1"/>
    <n v="76.930000000000007"/>
    <n v="43.86"/>
    <n v="3"/>
    <n v="54735.250000000029"/>
    <x v="0"/>
    <n v="0.75398996808025553"/>
    <x v="649"/>
    <x v="0"/>
    <x v="3"/>
    <x v="1"/>
    <n v="25.643333333333334"/>
  </r>
  <r>
    <d v="2024-01-24T00:00:00"/>
    <x v="1"/>
    <x v="1"/>
    <x v="1"/>
    <n v="187.05"/>
    <n v="1.23"/>
    <n v="2"/>
    <n v="61207.979999999989"/>
    <x v="1"/>
    <n v="151.07317073170734"/>
    <x v="650"/>
    <x v="0"/>
    <x v="2"/>
    <x v="0"/>
    <n v="93.525000000000006"/>
  </r>
  <r>
    <d v="2024-03-27T00:00:00"/>
    <x v="0"/>
    <x v="0"/>
    <x v="0"/>
    <n v="139.54"/>
    <n v="46.38"/>
    <n v="0"/>
    <n v="54735.250000000029"/>
    <x v="0"/>
    <n v="2.0086244070720136"/>
    <x v="651"/>
    <x v="1"/>
    <x v="3"/>
    <x v="1"/>
    <n v="0"/>
  </r>
  <r>
    <d v="2024-02-04T00:00:00"/>
    <x v="1"/>
    <x v="0"/>
    <x v="0"/>
    <n v="94.71"/>
    <n v="48.03"/>
    <n v="0"/>
    <n v="48675.899999999936"/>
    <x v="0"/>
    <n v="0.97189256714553385"/>
    <x v="652"/>
    <x v="0"/>
    <x v="0"/>
    <x v="0"/>
    <n v="0"/>
  </r>
  <r>
    <d v="2024-03-24T00:00:00"/>
    <x v="0"/>
    <x v="2"/>
    <x v="1"/>
    <n v="66.5"/>
    <n v="32.78"/>
    <n v="3"/>
    <n v="54735.250000000029"/>
    <x v="0"/>
    <n v="1.0286760219646125"/>
    <x v="653"/>
    <x v="0"/>
    <x v="3"/>
    <x v="1"/>
    <n v="22.166666666666668"/>
  </r>
  <r>
    <d v="2024-03-17T00:00:00"/>
    <x v="3"/>
    <x v="0"/>
    <x v="0"/>
    <n v="186.5"/>
    <n v="16.16"/>
    <n v="2"/>
    <n v="54735.250000000029"/>
    <x v="0"/>
    <n v="10.540841584158416"/>
    <x v="654"/>
    <x v="0"/>
    <x v="3"/>
    <x v="1"/>
    <n v="93.25"/>
  </r>
  <r>
    <d v="2024-03-31T00:00:00"/>
    <x v="4"/>
    <x v="0"/>
    <x v="1"/>
    <n v="91.57"/>
    <n v="43.1"/>
    <n v="1"/>
    <n v="54735.250000000029"/>
    <x v="0"/>
    <n v="1.1245939675174013"/>
    <x v="655"/>
    <x v="0"/>
    <x v="3"/>
    <x v="1"/>
    <n v="91.57"/>
  </r>
  <r>
    <d v="2024-04-25T00:00:00"/>
    <x v="3"/>
    <x v="2"/>
    <x v="1"/>
    <n v="199.06"/>
    <n v="19.29"/>
    <n v="0"/>
    <n v="58562.910000000018"/>
    <x v="1"/>
    <n v="9.3193364437532402"/>
    <x v="656"/>
    <x v="0"/>
    <x v="1"/>
    <x v="1"/>
    <n v="0"/>
  </r>
  <r>
    <d v="2024-04-29T00:00:00"/>
    <x v="4"/>
    <x v="1"/>
    <x v="0"/>
    <n v="59.7"/>
    <n v="43.84"/>
    <n v="3"/>
    <n v="58562.910000000018"/>
    <x v="1"/>
    <n v="0.3617700729927007"/>
    <x v="657"/>
    <x v="0"/>
    <x v="1"/>
    <x v="1"/>
    <n v="19.900000000000002"/>
  </r>
  <r>
    <d v="2024-04-27T00:00:00"/>
    <x v="0"/>
    <x v="2"/>
    <x v="0"/>
    <n v="141.08000000000001"/>
    <n v="6.13"/>
    <n v="2"/>
    <n v="58562.910000000018"/>
    <x v="1"/>
    <n v="22.014681892332792"/>
    <x v="658"/>
    <x v="1"/>
    <x v="1"/>
    <x v="1"/>
    <n v="70.540000000000006"/>
  </r>
  <r>
    <d v="2024-03-20T00:00:00"/>
    <x v="2"/>
    <x v="2"/>
    <x v="0"/>
    <n v="110.06"/>
    <n v="18.02"/>
    <n v="0"/>
    <n v="54735.250000000029"/>
    <x v="0"/>
    <n v="5.1076581576026641"/>
    <x v="659"/>
    <x v="1"/>
    <x v="3"/>
    <x v="1"/>
    <n v="0"/>
  </r>
  <r>
    <d v="2024-04-02T00:00:00"/>
    <x v="4"/>
    <x v="1"/>
    <x v="0"/>
    <n v="133.87"/>
    <n v="49.87"/>
    <n v="0"/>
    <n v="58562.910000000018"/>
    <x v="1"/>
    <n v="1.6843793864046521"/>
    <x v="660"/>
    <x v="0"/>
    <x v="1"/>
    <x v="1"/>
    <n v="0"/>
  </r>
  <r>
    <d v="2024-03-06T00:00:00"/>
    <x v="4"/>
    <x v="1"/>
    <x v="0"/>
    <n v="192.19"/>
    <n v="20.72"/>
    <n v="1"/>
    <n v="54735.250000000029"/>
    <x v="0"/>
    <n v="8.2755791505791514"/>
    <x v="661"/>
    <x v="1"/>
    <x v="3"/>
    <x v="1"/>
    <n v="192.19"/>
  </r>
  <r>
    <d v="2024-03-23T00:00:00"/>
    <x v="2"/>
    <x v="2"/>
    <x v="1"/>
    <n v="178.45"/>
    <n v="38.049999999999997"/>
    <n v="0"/>
    <n v="54735.250000000029"/>
    <x v="0"/>
    <n v="3.6898817345597896"/>
    <x v="662"/>
    <x v="1"/>
    <x v="3"/>
    <x v="1"/>
    <n v="0"/>
  </r>
  <r>
    <d v="2024-04-29T00:00:00"/>
    <x v="3"/>
    <x v="2"/>
    <x v="1"/>
    <n v="46.08"/>
    <n v="21.79"/>
    <n v="1"/>
    <n v="58562.910000000018"/>
    <x v="1"/>
    <n v="1.114731528223956"/>
    <x v="663"/>
    <x v="0"/>
    <x v="1"/>
    <x v="1"/>
    <n v="46.08"/>
  </r>
  <r>
    <d v="2024-04-01T00:00:00"/>
    <x v="4"/>
    <x v="2"/>
    <x v="1"/>
    <n v="79.540000000000006"/>
    <n v="22.46"/>
    <n v="1"/>
    <n v="58562.910000000018"/>
    <x v="1"/>
    <n v="2.5414069456812114"/>
    <x v="664"/>
    <x v="0"/>
    <x v="1"/>
    <x v="1"/>
    <n v="79.540000000000006"/>
  </r>
  <r>
    <d v="2024-03-31T00:00:00"/>
    <x v="2"/>
    <x v="0"/>
    <x v="0"/>
    <n v="153.6"/>
    <n v="8.07"/>
    <n v="3"/>
    <n v="54735.250000000029"/>
    <x v="0"/>
    <n v="18.033457249070633"/>
    <x v="665"/>
    <x v="0"/>
    <x v="3"/>
    <x v="1"/>
    <n v="51.199999999999996"/>
  </r>
  <r>
    <d v="2024-04-26T00:00:00"/>
    <x v="4"/>
    <x v="1"/>
    <x v="1"/>
    <n v="46.88"/>
    <n v="28.07"/>
    <n v="2"/>
    <n v="58562.910000000018"/>
    <x v="1"/>
    <n v="0.67011043819023874"/>
    <x v="666"/>
    <x v="0"/>
    <x v="1"/>
    <x v="1"/>
    <n v="23.44"/>
  </r>
  <r>
    <d v="2024-04-14T00:00:00"/>
    <x v="0"/>
    <x v="0"/>
    <x v="1"/>
    <n v="134.63999999999999"/>
    <n v="44.25"/>
    <n v="3"/>
    <n v="58562.910000000018"/>
    <x v="1"/>
    <n v="2.0427118644067792"/>
    <x v="667"/>
    <x v="1"/>
    <x v="1"/>
    <x v="1"/>
    <n v="44.879999999999995"/>
  </r>
  <r>
    <d v="2024-01-29T00:00:00"/>
    <x v="1"/>
    <x v="1"/>
    <x v="1"/>
    <n v="35.880000000000003"/>
    <n v="27.2"/>
    <n v="3"/>
    <n v="61207.979999999989"/>
    <x v="1"/>
    <n v="0.31911764705882367"/>
    <x v="668"/>
    <x v="1"/>
    <x v="2"/>
    <x v="0"/>
    <n v="11.96"/>
  </r>
  <r>
    <d v="2024-02-11T00:00:00"/>
    <x v="0"/>
    <x v="1"/>
    <x v="1"/>
    <n v="37.58"/>
    <n v="32.39"/>
    <n v="1"/>
    <n v="48675.899999999936"/>
    <x v="0"/>
    <n v="0.16023464032108667"/>
    <x v="669"/>
    <x v="0"/>
    <x v="0"/>
    <x v="0"/>
    <n v="37.58"/>
  </r>
  <r>
    <d v="2024-04-06T00:00:00"/>
    <x v="2"/>
    <x v="0"/>
    <x v="1"/>
    <n v="134.66999999999999"/>
    <n v="11.17"/>
    <n v="2"/>
    <n v="58562.910000000018"/>
    <x v="1"/>
    <n v="11.056401074306176"/>
    <x v="670"/>
    <x v="0"/>
    <x v="1"/>
    <x v="1"/>
    <n v="67.334999999999994"/>
  </r>
  <r>
    <d v="2024-01-08T00:00:00"/>
    <x v="0"/>
    <x v="1"/>
    <x v="1"/>
    <n v="133.9"/>
    <n v="47.39"/>
    <n v="0"/>
    <n v="61207.979999999989"/>
    <x v="1"/>
    <n v="1.8254906098332984"/>
    <x v="671"/>
    <x v="1"/>
    <x v="2"/>
    <x v="0"/>
    <n v="0"/>
  </r>
  <r>
    <d v="2024-04-20T00:00:00"/>
    <x v="0"/>
    <x v="0"/>
    <x v="0"/>
    <n v="40.56"/>
    <n v="45.85"/>
    <n v="0"/>
    <n v="58562.910000000018"/>
    <x v="1"/>
    <n v="-0.11537622682660849"/>
    <x v="672"/>
    <x v="1"/>
    <x v="1"/>
    <x v="1"/>
    <n v="0"/>
  </r>
  <r>
    <d v="2024-03-03T00:00:00"/>
    <x v="2"/>
    <x v="0"/>
    <x v="1"/>
    <n v="100.27"/>
    <n v="48.69"/>
    <n v="1"/>
    <n v="54735.250000000029"/>
    <x v="0"/>
    <n v="1.0593551037173958"/>
    <x v="673"/>
    <x v="1"/>
    <x v="3"/>
    <x v="1"/>
    <n v="100.27"/>
  </r>
  <r>
    <d v="2024-01-28T00:00:00"/>
    <x v="3"/>
    <x v="1"/>
    <x v="0"/>
    <n v="144.76"/>
    <n v="29.82"/>
    <n v="0"/>
    <n v="61207.979999999989"/>
    <x v="1"/>
    <n v="3.8544600938967135"/>
    <x v="674"/>
    <x v="0"/>
    <x v="2"/>
    <x v="0"/>
    <n v="0"/>
  </r>
  <r>
    <d v="2024-03-11T00:00:00"/>
    <x v="0"/>
    <x v="2"/>
    <x v="1"/>
    <n v="20.399999999999999"/>
    <n v="36.58"/>
    <n v="3"/>
    <n v="54735.250000000029"/>
    <x v="0"/>
    <n v="-0.44231820667031163"/>
    <x v="675"/>
    <x v="0"/>
    <x v="3"/>
    <x v="1"/>
    <n v="6.8"/>
  </r>
  <r>
    <d v="2024-02-12T00:00:00"/>
    <x v="3"/>
    <x v="1"/>
    <x v="0"/>
    <n v="43.06"/>
    <n v="45.25"/>
    <n v="2"/>
    <n v="48675.899999999936"/>
    <x v="0"/>
    <n v="-4.8397790055248566E-2"/>
    <x v="676"/>
    <x v="0"/>
    <x v="0"/>
    <x v="0"/>
    <n v="21.53"/>
  </r>
  <r>
    <d v="2024-04-26T00:00:00"/>
    <x v="0"/>
    <x v="1"/>
    <x v="0"/>
    <n v="187.74"/>
    <n v="39.99"/>
    <n v="2"/>
    <n v="58562.910000000018"/>
    <x v="1"/>
    <n v="3.6946736684171042"/>
    <x v="677"/>
    <x v="1"/>
    <x v="1"/>
    <x v="1"/>
    <n v="93.87"/>
  </r>
  <r>
    <d v="2024-04-05T00:00:00"/>
    <x v="3"/>
    <x v="2"/>
    <x v="1"/>
    <n v="89.17"/>
    <n v="27.92"/>
    <n v="0"/>
    <n v="58562.910000000018"/>
    <x v="1"/>
    <n v="2.1937679083094554"/>
    <x v="678"/>
    <x v="0"/>
    <x v="1"/>
    <x v="1"/>
    <n v="0"/>
  </r>
  <r>
    <d v="2024-02-15T00:00:00"/>
    <x v="3"/>
    <x v="1"/>
    <x v="1"/>
    <n v="50.66"/>
    <n v="35.049999999999997"/>
    <n v="2"/>
    <n v="48675.899999999936"/>
    <x v="0"/>
    <n v="0.44536376604850214"/>
    <x v="679"/>
    <x v="1"/>
    <x v="0"/>
    <x v="0"/>
    <n v="25.33"/>
  </r>
  <r>
    <d v="2024-02-10T00:00:00"/>
    <x v="3"/>
    <x v="2"/>
    <x v="1"/>
    <n v="37.24"/>
    <n v="1.82"/>
    <n v="1"/>
    <n v="48675.899999999936"/>
    <x v="0"/>
    <n v="19.461538461538463"/>
    <x v="680"/>
    <x v="0"/>
    <x v="0"/>
    <x v="0"/>
    <n v="37.24"/>
  </r>
  <r>
    <d v="2024-02-15T00:00:00"/>
    <x v="3"/>
    <x v="0"/>
    <x v="1"/>
    <n v="159.35"/>
    <n v="29.7"/>
    <n v="2"/>
    <n v="48675.899999999936"/>
    <x v="0"/>
    <n v="4.3653198653198659"/>
    <x v="681"/>
    <x v="1"/>
    <x v="0"/>
    <x v="0"/>
    <n v="79.674999999999997"/>
  </r>
  <r>
    <d v="2024-03-03T00:00:00"/>
    <x v="2"/>
    <x v="2"/>
    <x v="1"/>
    <n v="21.06"/>
    <n v="49.49"/>
    <n v="3"/>
    <n v="54735.250000000029"/>
    <x v="0"/>
    <n v="-0.57445948676500302"/>
    <x v="682"/>
    <x v="0"/>
    <x v="3"/>
    <x v="1"/>
    <n v="7.02"/>
  </r>
  <r>
    <d v="2024-03-04T00:00:00"/>
    <x v="0"/>
    <x v="2"/>
    <x v="0"/>
    <n v="133.16"/>
    <n v="11.75"/>
    <n v="2"/>
    <n v="54735.250000000029"/>
    <x v="0"/>
    <n v="10.332765957446808"/>
    <x v="683"/>
    <x v="0"/>
    <x v="3"/>
    <x v="1"/>
    <n v="66.58"/>
  </r>
  <r>
    <d v="2024-04-27T00:00:00"/>
    <x v="3"/>
    <x v="1"/>
    <x v="1"/>
    <n v="151.74"/>
    <n v="38.17"/>
    <n v="3"/>
    <n v="58562.910000000018"/>
    <x v="1"/>
    <n v="2.9753733298401888"/>
    <x v="684"/>
    <x v="0"/>
    <x v="1"/>
    <x v="1"/>
    <n v="50.580000000000005"/>
  </r>
  <r>
    <d v="2024-03-27T00:00:00"/>
    <x v="1"/>
    <x v="2"/>
    <x v="0"/>
    <n v="141.19"/>
    <n v="5.26"/>
    <n v="2"/>
    <n v="54735.250000000029"/>
    <x v="0"/>
    <n v="25.842205323193919"/>
    <x v="685"/>
    <x v="0"/>
    <x v="3"/>
    <x v="1"/>
    <n v="70.594999999999999"/>
  </r>
  <r>
    <d v="2024-02-08T00:00:00"/>
    <x v="3"/>
    <x v="1"/>
    <x v="0"/>
    <n v="195.26"/>
    <n v="32.78"/>
    <n v="1"/>
    <n v="48675.899999999936"/>
    <x v="0"/>
    <n v="4.9566809029896275"/>
    <x v="686"/>
    <x v="1"/>
    <x v="0"/>
    <x v="0"/>
    <n v="195.26"/>
  </r>
  <r>
    <d v="2024-02-25T00:00:00"/>
    <x v="0"/>
    <x v="1"/>
    <x v="0"/>
    <n v="50.48"/>
    <n v="35.42"/>
    <n v="1"/>
    <n v="48675.899999999936"/>
    <x v="0"/>
    <n v="0.42518351214003375"/>
    <x v="687"/>
    <x v="0"/>
    <x v="0"/>
    <x v="0"/>
    <n v="50.48"/>
  </r>
  <r>
    <d v="2024-02-28T00:00:00"/>
    <x v="4"/>
    <x v="0"/>
    <x v="1"/>
    <n v="66.459999999999994"/>
    <n v="46.57"/>
    <n v="3"/>
    <n v="48675.899999999936"/>
    <x v="0"/>
    <n v="0.4270989907665878"/>
    <x v="688"/>
    <x v="0"/>
    <x v="0"/>
    <x v="0"/>
    <n v="22.153333333333332"/>
  </r>
  <r>
    <d v="2024-03-04T00:00:00"/>
    <x v="4"/>
    <x v="0"/>
    <x v="1"/>
    <n v="64.53"/>
    <n v="11.47"/>
    <n v="2"/>
    <n v="54735.250000000029"/>
    <x v="0"/>
    <n v="4.6259808195292065"/>
    <x v="689"/>
    <x v="1"/>
    <x v="3"/>
    <x v="1"/>
    <n v="32.265000000000001"/>
  </r>
  <r>
    <d v="2024-01-16T00:00:00"/>
    <x v="3"/>
    <x v="2"/>
    <x v="1"/>
    <n v="96.12"/>
    <n v="29.53"/>
    <n v="1"/>
    <n v="61207.979999999989"/>
    <x v="1"/>
    <n v="2.2549949204199118"/>
    <x v="690"/>
    <x v="1"/>
    <x v="2"/>
    <x v="0"/>
    <n v="96.12"/>
  </r>
  <r>
    <d v="2024-04-07T00:00:00"/>
    <x v="3"/>
    <x v="0"/>
    <x v="1"/>
    <n v="163.43"/>
    <n v="47.86"/>
    <n v="2"/>
    <n v="58562.910000000018"/>
    <x v="1"/>
    <n v="2.414751358127873"/>
    <x v="691"/>
    <x v="0"/>
    <x v="1"/>
    <x v="1"/>
    <n v="81.715000000000003"/>
  </r>
  <r>
    <d v="2024-03-18T00:00:00"/>
    <x v="3"/>
    <x v="2"/>
    <x v="0"/>
    <n v="150.21"/>
    <n v="26.34"/>
    <n v="1"/>
    <n v="54735.250000000029"/>
    <x v="0"/>
    <n v="4.7027334851936224"/>
    <x v="692"/>
    <x v="0"/>
    <x v="3"/>
    <x v="1"/>
    <n v="150.21"/>
  </r>
  <r>
    <d v="2024-02-27T00:00:00"/>
    <x v="4"/>
    <x v="1"/>
    <x v="1"/>
    <n v="127.94"/>
    <n v="21.49"/>
    <n v="0"/>
    <n v="48675.899999999936"/>
    <x v="0"/>
    <n v="4.953466728711029"/>
    <x v="693"/>
    <x v="1"/>
    <x v="0"/>
    <x v="0"/>
    <n v="0"/>
  </r>
  <r>
    <d v="2024-03-17T00:00:00"/>
    <x v="4"/>
    <x v="2"/>
    <x v="1"/>
    <n v="25.74"/>
    <n v="9.58"/>
    <n v="3"/>
    <n v="54735.250000000029"/>
    <x v="0"/>
    <n v="1.6868475991649265"/>
    <x v="694"/>
    <x v="1"/>
    <x v="3"/>
    <x v="1"/>
    <n v="8.58"/>
  </r>
  <r>
    <d v="2024-01-19T00:00:00"/>
    <x v="4"/>
    <x v="2"/>
    <x v="1"/>
    <n v="22.76"/>
    <n v="43.33"/>
    <n v="0"/>
    <n v="61207.979999999989"/>
    <x v="1"/>
    <n v="-0.47472882529425336"/>
    <x v="695"/>
    <x v="0"/>
    <x v="2"/>
    <x v="0"/>
    <n v="0"/>
  </r>
  <r>
    <d v="2024-01-07T00:00:00"/>
    <x v="4"/>
    <x v="0"/>
    <x v="1"/>
    <n v="155.01"/>
    <n v="45.46"/>
    <n v="0"/>
    <n v="61207.979999999989"/>
    <x v="1"/>
    <n v="2.4098108227012753"/>
    <x v="696"/>
    <x v="0"/>
    <x v="2"/>
    <x v="0"/>
    <n v="0"/>
  </r>
  <r>
    <d v="2024-02-27T00:00:00"/>
    <x v="0"/>
    <x v="0"/>
    <x v="1"/>
    <n v="182.43"/>
    <n v="14.76"/>
    <n v="2"/>
    <n v="48675.899999999936"/>
    <x v="0"/>
    <n v="11.359756097560977"/>
    <x v="697"/>
    <x v="1"/>
    <x v="0"/>
    <x v="0"/>
    <n v="91.215000000000003"/>
  </r>
  <r>
    <d v="2024-01-07T00:00:00"/>
    <x v="2"/>
    <x v="2"/>
    <x v="0"/>
    <n v="130.75"/>
    <n v="18.170000000000002"/>
    <n v="1"/>
    <n v="61207.979999999989"/>
    <x v="1"/>
    <n v="6.1959273527793055"/>
    <x v="698"/>
    <x v="1"/>
    <x v="2"/>
    <x v="0"/>
    <n v="130.75"/>
  </r>
  <r>
    <d v="2024-04-14T00:00:00"/>
    <x v="0"/>
    <x v="1"/>
    <x v="0"/>
    <n v="114.47"/>
    <n v="6.31"/>
    <n v="2"/>
    <n v="58562.910000000018"/>
    <x v="1"/>
    <n v="17.141045958795562"/>
    <x v="13"/>
    <x v="1"/>
    <x v="1"/>
    <x v="1"/>
    <n v="57.234999999999999"/>
  </r>
  <r>
    <d v="2024-03-21T00:00:00"/>
    <x v="4"/>
    <x v="2"/>
    <x v="1"/>
    <n v="185.54"/>
    <n v="24.97"/>
    <n v="2"/>
    <n v="54735.250000000029"/>
    <x v="0"/>
    <n v="6.4305166199439325"/>
    <x v="699"/>
    <x v="1"/>
    <x v="3"/>
    <x v="1"/>
    <n v="92.77"/>
  </r>
  <r>
    <d v="2024-01-22T00:00:00"/>
    <x v="3"/>
    <x v="0"/>
    <x v="1"/>
    <n v="170.39"/>
    <n v="43.44"/>
    <n v="1"/>
    <n v="61207.979999999989"/>
    <x v="1"/>
    <n v="2.9224217311233884"/>
    <x v="700"/>
    <x v="0"/>
    <x v="2"/>
    <x v="0"/>
    <n v="170.39"/>
  </r>
  <r>
    <d v="2024-04-22T00:00:00"/>
    <x v="3"/>
    <x v="0"/>
    <x v="0"/>
    <n v="199.8"/>
    <n v="1.86"/>
    <n v="0"/>
    <n v="58562.910000000018"/>
    <x v="1"/>
    <n v="106.41935483870967"/>
    <x v="701"/>
    <x v="0"/>
    <x v="1"/>
    <x v="1"/>
    <n v="0"/>
  </r>
  <r>
    <d v="2024-03-04T00:00:00"/>
    <x v="3"/>
    <x v="1"/>
    <x v="0"/>
    <n v="170.08"/>
    <n v="33.630000000000003"/>
    <n v="1"/>
    <n v="54735.250000000029"/>
    <x v="0"/>
    <n v="4.0573892358013683"/>
    <x v="702"/>
    <x v="0"/>
    <x v="3"/>
    <x v="1"/>
    <n v="170.08"/>
  </r>
  <r>
    <d v="2024-01-23T00:00:00"/>
    <x v="0"/>
    <x v="0"/>
    <x v="0"/>
    <n v="125.14"/>
    <n v="47.44"/>
    <n v="1"/>
    <n v="61207.979999999989"/>
    <x v="1"/>
    <n v="1.6378583473861721"/>
    <x v="703"/>
    <x v="0"/>
    <x v="2"/>
    <x v="0"/>
    <n v="125.14"/>
  </r>
  <r>
    <d v="2024-01-03T00:00:00"/>
    <x v="0"/>
    <x v="2"/>
    <x v="1"/>
    <n v="30.96"/>
    <n v="41.51"/>
    <n v="2"/>
    <n v="61207.979999999989"/>
    <x v="1"/>
    <n v="-0.25415562515056606"/>
    <x v="704"/>
    <x v="0"/>
    <x v="2"/>
    <x v="0"/>
    <n v="15.48"/>
  </r>
  <r>
    <d v="2024-01-03T00:00:00"/>
    <x v="0"/>
    <x v="1"/>
    <x v="0"/>
    <n v="116.98"/>
    <n v="23.53"/>
    <n v="2"/>
    <n v="61207.979999999989"/>
    <x v="1"/>
    <n v="3.9715257118572036"/>
    <x v="705"/>
    <x v="1"/>
    <x v="2"/>
    <x v="0"/>
    <n v="58.49"/>
  </r>
  <r>
    <d v="2024-02-11T00:00:00"/>
    <x v="2"/>
    <x v="2"/>
    <x v="1"/>
    <n v="63.6"/>
    <n v="45.07"/>
    <n v="0"/>
    <n v="48675.899999999936"/>
    <x v="0"/>
    <n v="0.41113822942090084"/>
    <x v="706"/>
    <x v="1"/>
    <x v="0"/>
    <x v="0"/>
    <n v="0"/>
  </r>
  <r>
    <d v="2024-01-04T00:00:00"/>
    <x v="0"/>
    <x v="2"/>
    <x v="1"/>
    <n v="62.88"/>
    <n v="19.149999999999999"/>
    <n v="2"/>
    <n v="61207.979999999989"/>
    <x v="1"/>
    <n v="2.2835509138381207"/>
    <x v="707"/>
    <x v="1"/>
    <x v="2"/>
    <x v="0"/>
    <n v="31.44"/>
  </r>
  <r>
    <d v="2024-03-21T00:00:00"/>
    <x v="3"/>
    <x v="0"/>
    <x v="0"/>
    <n v="51.43"/>
    <n v="12.6"/>
    <n v="1"/>
    <n v="54735.250000000029"/>
    <x v="0"/>
    <n v="3.0817460317460319"/>
    <x v="708"/>
    <x v="0"/>
    <x v="3"/>
    <x v="1"/>
    <n v="51.43"/>
  </r>
  <r>
    <d v="2024-03-02T00:00:00"/>
    <x v="3"/>
    <x v="0"/>
    <x v="0"/>
    <n v="44.19"/>
    <n v="46.04"/>
    <n v="3"/>
    <n v="54735.250000000029"/>
    <x v="0"/>
    <n v="-4.0182450043440517E-2"/>
    <x v="709"/>
    <x v="1"/>
    <x v="3"/>
    <x v="1"/>
    <n v="14.729999999999999"/>
  </r>
  <r>
    <d v="2024-04-30T00:00:00"/>
    <x v="0"/>
    <x v="0"/>
    <x v="1"/>
    <n v="172.05"/>
    <n v="25.43"/>
    <n v="2"/>
    <n v="58562.910000000018"/>
    <x v="1"/>
    <n v="5.7656311443177355"/>
    <x v="710"/>
    <x v="1"/>
    <x v="1"/>
    <x v="1"/>
    <n v="86.025000000000006"/>
  </r>
  <r>
    <d v="2024-04-16T00:00:00"/>
    <x v="2"/>
    <x v="0"/>
    <x v="0"/>
    <n v="154.59"/>
    <n v="7.71"/>
    <n v="1"/>
    <n v="58562.910000000018"/>
    <x v="1"/>
    <n v="19.050583657587548"/>
    <x v="711"/>
    <x v="1"/>
    <x v="1"/>
    <x v="1"/>
    <n v="154.59"/>
  </r>
  <r>
    <d v="2024-02-11T00:00:00"/>
    <x v="4"/>
    <x v="1"/>
    <x v="1"/>
    <n v="42.65"/>
    <n v="38.72"/>
    <n v="2"/>
    <n v="48675.899999999936"/>
    <x v="0"/>
    <n v="0.10149793388429752"/>
    <x v="712"/>
    <x v="1"/>
    <x v="0"/>
    <x v="0"/>
    <n v="21.324999999999999"/>
  </r>
  <r>
    <d v="2024-04-30T00:00:00"/>
    <x v="1"/>
    <x v="2"/>
    <x v="0"/>
    <n v="160.33000000000001"/>
    <n v="27.12"/>
    <n v="3"/>
    <n v="58562.910000000018"/>
    <x v="1"/>
    <n v="4.9118731563421827"/>
    <x v="713"/>
    <x v="0"/>
    <x v="1"/>
    <x v="1"/>
    <n v="53.443333333333335"/>
  </r>
  <r>
    <d v="2024-01-14T00:00:00"/>
    <x v="4"/>
    <x v="1"/>
    <x v="1"/>
    <n v="183.1"/>
    <n v="12.92"/>
    <n v="3"/>
    <n v="61207.979999999989"/>
    <x v="1"/>
    <n v="13.171826625386997"/>
    <x v="714"/>
    <x v="1"/>
    <x v="2"/>
    <x v="0"/>
    <n v="61.033333333333331"/>
  </r>
  <r>
    <d v="2024-03-18T00:00:00"/>
    <x v="2"/>
    <x v="1"/>
    <x v="1"/>
    <n v="115.15"/>
    <n v="5.95"/>
    <n v="3"/>
    <n v="54735.250000000029"/>
    <x v="0"/>
    <n v="18.352941176470587"/>
    <x v="715"/>
    <x v="0"/>
    <x v="3"/>
    <x v="1"/>
    <n v="38.383333333333333"/>
  </r>
  <r>
    <d v="2024-03-05T00:00:00"/>
    <x v="2"/>
    <x v="0"/>
    <x v="1"/>
    <n v="109.97"/>
    <n v="13.99"/>
    <n v="0"/>
    <n v="54735.250000000029"/>
    <x v="0"/>
    <n v="6.8606147248034315"/>
    <x v="716"/>
    <x v="0"/>
    <x v="3"/>
    <x v="1"/>
    <n v="0"/>
  </r>
  <r>
    <d v="2024-04-10T00:00:00"/>
    <x v="4"/>
    <x v="0"/>
    <x v="0"/>
    <n v="26.94"/>
    <n v="12.8"/>
    <n v="2"/>
    <n v="58562.910000000018"/>
    <x v="1"/>
    <n v="1.1046875"/>
    <x v="717"/>
    <x v="0"/>
    <x v="1"/>
    <x v="1"/>
    <n v="13.47"/>
  </r>
  <r>
    <d v="2024-02-14T00:00:00"/>
    <x v="2"/>
    <x v="2"/>
    <x v="1"/>
    <n v="155.61000000000001"/>
    <n v="41.32"/>
    <n v="2"/>
    <n v="48675.899999999936"/>
    <x v="0"/>
    <n v="2.7659728944820916"/>
    <x v="718"/>
    <x v="0"/>
    <x v="0"/>
    <x v="0"/>
    <n v="77.805000000000007"/>
  </r>
  <r>
    <d v="2024-03-30T00:00:00"/>
    <x v="4"/>
    <x v="1"/>
    <x v="1"/>
    <n v="190.52"/>
    <n v="19.54"/>
    <n v="3"/>
    <n v="54735.250000000029"/>
    <x v="0"/>
    <n v="8.7502558853633587"/>
    <x v="719"/>
    <x v="0"/>
    <x v="3"/>
    <x v="1"/>
    <n v="63.506666666666668"/>
  </r>
  <r>
    <d v="2024-01-10T00:00:00"/>
    <x v="2"/>
    <x v="1"/>
    <x v="0"/>
    <n v="96.09"/>
    <n v="23.11"/>
    <n v="3"/>
    <n v="61207.979999999989"/>
    <x v="1"/>
    <n v="3.1579402855906538"/>
    <x v="720"/>
    <x v="0"/>
    <x v="2"/>
    <x v="0"/>
    <n v="32.03"/>
  </r>
  <r>
    <d v="2024-01-02T00:00:00"/>
    <x v="0"/>
    <x v="2"/>
    <x v="1"/>
    <n v="83.96"/>
    <n v="3.38"/>
    <n v="2"/>
    <n v="61207.979999999989"/>
    <x v="1"/>
    <n v="23.840236686390533"/>
    <x v="721"/>
    <x v="0"/>
    <x v="2"/>
    <x v="0"/>
    <n v="41.98"/>
  </r>
  <r>
    <d v="2024-04-05T00:00:00"/>
    <x v="0"/>
    <x v="1"/>
    <x v="0"/>
    <n v="148.84"/>
    <n v="9.1"/>
    <n v="1"/>
    <n v="58562.910000000018"/>
    <x v="1"/>
    <n v="15.356043956043958"/>
    <x v="722"/>
    <x v="0"/>
    <x v="1"/>
    <x v="1"/>
    <n v="148.84"/>
  </r>
  <r>
    <d v="2024-04-16T00:00:00"/>
    <x v="1"/>
    <x v="1"/>
    <x v="1"/>
    <n v="61.34"/>
    <n v="26.56"/>
    <n v="1"/>
    <n v="58562.910000000018"/>
    <x v="1"/>
    <n v="1.3094879518072291"/>
    <x v="723"/>
    <x v="0"/>
    <x v="1"/>
    <x v="1"/>
    <n v="61.34"/>
  </r>
  <r>
    <d v="2024-01-21T00:00:00"/>
    <x v="4"/>
    <x v="1"/>
    <x v="1"/>
    <n v="32.75"/>
    <n v="16.13"/>
    <n v="3"/>
    <n v="61207.979999999989"/>
    <x v="1"/>
    <n v="1.0303781773093617"/>
    <x v="724"/>
    <x v="0"/>
    <x v="2"/>
    <x v="0"/>
    <n v="10.916666666666666"/>
  </r>
  <r>
    <d v="2024-02-17T00:00:00"/>
    <x v="2"/>
    <x v="0"/>
    <x v="0"/>
    <n v="73.510000000000005"/>
    <n v="27.73"/>
    <n v="0"/>
    <n v="48675.899999999936"/>
    <x v="0"/>
    <n v="1.6509195816804905"/>
    <x v="725"/>
    <x v="1"/>
    <x v="0"/>
    <x v="0"/>
    <n v="0"/>
  </r>
  <r>
    <d v="2024-04-15T00:00:00"/>
    <x v="4"/>
    <x v="0"/>
    <x v="1"/>
    <n v="170.27"/>
    <n v="18.09"/>
    <n v="2"/>
    <n v="58562.910000000018"/>
    <x v="1"/>
    <n v="8.4123825317855179"/>
    <x v="726"/>
    <x v="0"/>
    <x v="1"/>
    <x v="1"/>
    <n v="85.135000000000005"/>
  </r>
  <r>
    <d v="2024-01-14T00:00:00"/>
    <x v="3"/>
    <x v="0"/>
    <x v="1"/>
    <n v="80.81"/>
    <n v="7.55"/>
    <n v="2"/>
    <n v="61207.979999999989"/>
    <x v="1"/>
    <n v="9.7033112582781467"/>
    <x v="727"/>
    <x v="1"/>
    <x v="2"/>
    <x v="0"/>
    <n v="40.405000000000001"/>
  </r>
  <r>
    <d v="2024-01-17T00:00:00"/>
    <x v="4"/>
    <x v="2"/>
    <x v="1"/>
    <n v="101.07"/>
    <n v="49.54"/>
    <n v="3"/>
    <n v="61207.979999999989"/>
    <x v="1"/>
    <n v="1.0401695599515541"/>
    <x v="728"/>
    <x v="1"/>
    <x v="2"/>
    <x v="0"/>
    <n v="33.69"/>
  </r>
  <r>
    <d v="2024-01-10T00:00:00"/>
    <x v="1"/>
    <x v="0"/>
    <x v="1"/>
    <n v="126.91"/>
    <n v="18.07"/>
    <n v="2"/>
    <n v="61207.979999999989"/>
    <x v="1"/>
    <n v="6.0232429441062534"/>
    <x v="729"/>
    <x v="0"/>
    <x v="2"/>
    <x v="0"/>
    <n v="63.454999999999998"/>
  </r>
  <r>
    <d v="2024-02-02T00:00:00"/>
    <x v="4"/>
    <x v="0"/>
    <x v="0"/>
    <n v="174.05"/>
    <n v="10.83"/>
    <n v="0"/>
    <n v="48675.899999999936"/>
    <x v="0"/>
    <n v="15.071098799630656"/>
    <x v="730"/>
    <x v="0"/>
    <x v="0"/>
    <x v="0"/>
    <n v="0"/>
  </r>
  <r>
    <d v="2024-04-19T00:00:00"/>
    <x v="1"/>
    <x v="2"/>
    <x v="1"/>
    <n v="77.930000000000007"/>
    <n v="24.85"/>
    <n v="1"/>
    <n v="58562.910000000018"/>
    <x v="1"/>
    <n v="2.136016096579477"/>
    <x v="731"/>
    <x v="0"/>
    <x v="1"/>
    <x v="1"/>
    <n v="77.930000000000007"/>
  </r>
  <r>
    <d v="2024-01-15T00:00:00"/>
    <x v="4"/>
    <x v="2"/>
    <x v="1"/>
    <n v="109.99"/>
    <n v="15.77"/>
    <n v="0"/>
    <n v="61207.979999999989"/>
    <x v="1"/>
    <n v="5.9746353836398223"/>
    <x v="732"/>
    <x v="0"/>
    <x v="2"/>
    <x v="0"/>
    <n v="0"/>
  </r>
  <r>
    <d v="2024-02-12T00:00:00"/>
    <x v="1"/>
    <x v="1"/>
    <x v="0"/>
    <n v="145.1"/>
    <n v="18.8"/>
    <n v="1"/>
    <n v="48675.899999999936"/>
    <x v="0"/>
    <n v="6.7180851063829783"/>
    <x v="733"/>
    <x v="0"/>
    <x v="0"/>
    <x v="0"/>
    <n v="145.1"/>
  </r>
  <r>
    <d v="2024-03-15T00:00:00"/>
    <x v="4"/>
    <x v="2"/>
    <x v="1"/>
    <n v="82.99"/>
    <n v="11.89"/>
    <n v="0"/>
    <n v="54735.250000000029"/>
    <x v="0"/>
    <n v="5.9798149705634982"/>
    <x v="734"/>
    <x v="1"/>
    <x v="3"/>
    <x v="1"/>
    <n v="0"/>
  </r>
  <r>
    <d v="2024-01-02T00:00:00"/>
    <x v="4"/>
    <x v="2"/>
    <x v="1"/>
    <n v="181.98"/>
    <n v="41.93"/>
    <n v="0"/>
    <n v="61207.979999999989"/>
    <x v="1"/>
    <n v="3.340090627235869"/>
    <x v="735"/>
    <x v="0"/>
    <x v="2"/>
    <x v="0"/>
    <n v="0"/>
  </r>
  <r>
    <d v="2024-01-13T00:00:00"/>
    <x v="1"/>
    <x v="0"/>
    <x v="1"/>
    <n v="80.08"/>
    <n v="13.57"/>
    <n v="3"/>
    <n v="61207.979999999989"/>
    <x v="1"/>
    <n v="4.9012527634487837"/>
    <x v="736"/>
    <x v="0"/>
    <x v="2"/>
    <x v="0"/>
    <n v="26.693333333333332"/>
  </r>
  <r>
    <d v="2024-01-16T00:00:00"/>
    <x v="1"/>
    <x v="2"/>
    <x v="1"/>
    <n v="154.30000000000001"/>
    <n v="45.17"/>
    <n v="2"/>
    <n v="61207.979999999989"/>
    <x v="1"/>
    <n v="2.4159840602169584"/>
    <x v="737"/>
    <x v="0"/>
    <x v="2"/>
    <x v="0"/>
    <n v="77.150000000000006"/>
  </r>
  <r>
    <d v="2024-01-30T00:00:00"/>
    <x v="3"/>
    <x v="1"/>
    <x v="1"/>
    <n v="139.44"/>
    <n v="43.01"/>
    <n v="1"/>
    <n v="61207.979999999989"/>
    <x v="1"/>
    <n v="2.2420367356428739"/>
    <x v="738"/>
    <x v="0"/>
    <x v="2"/>
    <x v="0"/>
    <n v="139.44"/>
  </r>
  <r>
    <d v="2024-02-05T00:00:00"/>
    <x v="4"/>
    <x v="1"/>
    <x v="1"/>
    <n v="99.36"/>
    <n v="26.76"/>
    <n v="0"/>
    <n v="48675.899999999936"/>
    <x v="0"/>
    <n v="2.7130044843049324"/>
    <x v="739"/>
    <x v="0"/>
    <x v="0"/>
    <x v="0"/>
    <n v="0"/>
  </r>
  <r>
    <d v="2024-04-05T00:00:00"/>
    <x v="1"/>
    <x v="2"/>
    <x v="0"/>
    <n v="123.72"/>
    <n v="12.81"/>
    <n v="1"/>
    <n v="58562.910000000018"/>
    <x v="1"/>
    <n v="8.6580796252927392"/>
    <x v="740"/>
    <x v="0"/>
    <x v="1"/>
    <x v="1"/>
    <n v="123.72"/>
  </r>
  <r>
    <d v="2024-04-09T00:00:00"/>
    <x v="3"/>
    <x v="0"/>
    <x v="1"/>
    <n v="176.85"/>
    <n v="49.73"/>
    <n v="3"/>
    <n v="58562.910000000018"/>
    <x v="1"/>
    <n v="2.5562034988940279"/>
    <x v="741"/>
    <x v="1"/>
    <x v="1"/>
    <x v="1"/>
    <n v="58.949999999999996"/>
  </r>
  <r>
    <d v="2024-03-08T00:00:00"/>
    <x v="0"/>
    <x v="2"/>
    <x v="0"/>
    <n v="29.86"/>
    <n v="13.82"/>
    <n v="1"/>
    <n v="54735.250000000029"/>
    <x v="0"/>
    <n v="1.1606367583212733"/>
    <x v="742"/>
    <x v="0"/>
    <x v="3"/>
    <x v="1"/>
    <n v="29.86"/>
  </r>
  <r>
    <d v="2024-01-07T00:00:00"/>
    <x v="2"/>
    <x v="2"/>
    <x v="1"/>
    <n v="60.82"/>
    <n v="42.5"/>
    <n v="2"/>
    <n v="61207.979999999989"/>
    <x v="1"/>
    <n v="0.43105882352941177"/>
    <x v="743"/>
    <x v="0"/>
    <x v="2"/>
    <x v="0"/>
    <n v="30.41"/>
  </r>
  <r>
    <d v="2024-04-15T00:00:00"/>
    <x v="0"/>
    <x v="1"/>
    <x v="0"/>
    <n v="178.12"/>
    <n v="24.35"/>
    <n v="1"/>
    <n v="58562.910000000018"/>
    <x v="1"/>
    <n v="6.3149897330595479"/>
    <x v="744"/>
    <x v="1"/>
    <x v="1"/>
    <x v="1"/>
    <n v="178.12"/>
  </r>
  <r>
    <d v="2024-03-11T00:00:00"/>
    <x v="4"/>
    <x v="1"/>
    <x v="1"/>
    <n v="182.08"/>
    <n v="40.590000000000003"/>
    <n v="1"/>
    <n v="54735.250000000029"/>
    <x v="0"/>
    <n v="3.4858339492485833"/>
    <x v="745"/>
    <x v="1"/>
    <x v="3"/>
    <x v="1"/>
    <n v="182.08"/>
  </r>
  <r>
    <d v="2024-03-12T00:00:00"/>
    <x v="1"/>
    <x v="1"/>
    <x v="1"/>
    <n v="154.1"/>
    <n v="12.27"/>
    <n v="3"/>
    <n v="54735.250000000029"/>
    <x v="0"/>
    <n v="11.559087204563976"/>
    <x v="746"/>
    <x v="1"/>
    <x v="3"/>
    <x v="1"/>
    <n v="51.366666666666667"/>
  </r>
  <r>
    <d v="2024-01-30T00:00:00"/>
    <x v="3"/>
    <x v="1"/>
    <x v="1"/>
    <n v="57.09"/>
    <n v="25.99"/>
    <n v="1"/>
    <n v="61207.979999999989"/>
    <x v="1"/>
    <n v="1.1966140823393616"/>
    <x v="747"/>
    <x v="0"/>
    <x v="2"/>
    <x v="0"/>
    <n v="57.09"/>
  </r>
  <r>
    <d v="2024-03-11T00:00:00"/>
    <x v="4"/>
    <x v="1"/>
    <x v="1"/>
    <n v="156.12"/>
    <n v="29.7"/>
    <n v="0"/>
    <n v="54735.250000000029"/>
    <x v="0"/>
    <n v="4.2565656565656571"/>
    <x v="748"/>
    <x v="0"/>
    <x v="3"/>
    <x v="1"/>
    <n v="0"/>
  </r>
  <r>
    <d v="2024-02-16T00:00:00"/>
    <x v="0"/>
    <x v="1"/>
    <x v="0"/>
    <n v="117.44"/>
    <n v="27"/>
    <n v="2"/>
    <n v="48675.899999999936"/>
    <x v="0"/>
    <n v="3.3496296296296295"/>
    <x v="749"/>
    <x v="1"/>
    <x v="0"/>
    <x v="0"/>
    <n v="58.72"/>
  </r>
  <r>
    <d v="2024-01-07T00:00:00"/>
    <x v="4"/>
    <x v="0"/>
    <x v="1"/>
    <n v="117.82"/>
    <n v="8.7100000000000009"/>
    <n v="0"/>
    <n v="61207.979999999989"/>
    <x v="1"/>
    <n v="12.52698048220436"/>
    <x v="750"/>
    <x v="0"/>
    <x v="2"/>
    <x v="0"/>
    <n v="0"/>
  </r>
  <r>
    <d v="2024-01-12T00:00:00"/>
    <x v="0"/>
    <x v="2"/>
    <x v="0"/>
    <n v="77.66"/>
    <n v="9.7200000000000006"/>
    <n v="0"/>
    <n v="61207.979999999989"/>
    <x v="1"/>
    <n v="6.9897119341563778"/>
    <x v="751"/>
    <x v="1"/>
    <x v="2"/>
    <x v="0"/>
    <n v="0"/>
  </r>
  <r>
    <d v="2024-03-25T00:00:00"/>
    <x v="0"/>
    <x v="0"/>
    <x v="1"/>
    <n v="104.25"/>
    <n v="35.67"/>
    <n v="2"/>
    <n v="54735.250000000029"/>
    <x v="0"/>
    <n v="1.9226240538267449"/>
    <x v="752"/>
    <x v="1"/>
    <x v="3"/>
    <x v="1"/>
    <n v="52.125"/>
  </r>
  <r>
    <d v="2024-02-17T00:00:00"/>
    <x v="2"/>
    <x v="2"/>
    <x v="0"/>
    <n v="51.88"/>
    <n v="20.6"/>
    <n v="3"/>
    <n v="48675.899999999936"/>
    <x v="0"/>
    <n v="1.5184466019417475"/>
    <x v="753"/>
    <x v="0"/>
    <x v="0"/>
    <x v="0"/>
    <n v="17.293333333333333"/>
  </r>
  <r>
    <d v="2024-01-17T00:00:00"/>
    <x v="1"/>
    <x v="2"/>
    <x v="1"/>
    <n v="31.24"/>
    <n v="49.73"/>
    <n v="2"/>
    <n v="61207.979999999989"/>
    <x v="1"/>
    <n v="-0.3718077619143374"/>
    <x v="754"/>
    <x v="0"/>
    <x v="2"/>
    <x v="0"/>
    <n v="15.62"/>
  </r>
  <r>
    <d v="2024-01-10T00:00:00"/>
    <x v="0"/>
    <x v="2"/>
    <x v="0"/>
    <n v="163.87"/>
    <n v="37.19"/>
    <n v="2"/>
    <n v="61207.979999999989"/>
    <x v="1"/>
    <n v="3.4062920139822537"/>
    <x v="755"/>
    <x v="1"/>
    <x v="2"/>
    <x v="0"/>
    <n v="81.935000000000002"/>
  </r>
  <r>
    <d v="2024-02-09T00:00:00"/>
    <x v="2"/>
    <x v="0"/>
    <x v="1"/>
    <n v="80.02"/>
    <n v="4.41"/>
    <n v="0"/>
    <n v="48675.899999999936"/>
    <x v="0"/>
    <n v="17.145124716553287"/>
    <x v="756"/>
    <x v="0"/>
    <x v="0"/>
    <x v="0"/>
    <n v="0"/>
  </r>
  <r>
    <d v="2024-03-29T00:00:00"/>
    <x v="3"/>
    <x v="1"/>
    <x v="0"/>
    <n v="95.05"/>
    <n v="18.73"/>
    <n v="3"/>
    <n v="54735.250000000029"/>
    <x v="0"/>
    <n v="4.0747463961558994"/>
    <x v="757"/>
    <x v="0"/>
    <x v="3"/>
    <x v="1"/>
    <n v="31.683333333333334"/>
  </r>
  <r>
    <d v="2024-02-25T00:00:00"/>
    <x v="2"/>
    <x v="2"/>
    <x v="0"/>
    <n v="49.95"/>
    <n v="25.45"/>
    <n v="2"/>
    <n v="48675.899999999936"/>
    <x v="0"/>
    <n v="0.9626719056974461"/>
    <x v="758"/>
    <x v="0"/>
    <x v="0"/>
    <x v="0"/>
    <n v="24.975000000000001"/>
  </r>
  <r>
    <d v="2024-03-22T00:00:00"/>
    <x v="0"/>
    <x v="2"/>
    <x v="0"/>
    <n v="99.86"/>
    <n v="3.38"/>
    <n v="0"/>
    <n v="54735.250000000029"/>
    <x v="0"/>
    <n v="28.544378698224854"/>
    <x v="759"/>
    <x v="0"/>
    <x v="3"/>
    <x v="1"/>
    <n v="0"/>
  </r>
  <r>
    <d v="2024-04-05T00:00:00"/>
    <x v="1"/>
    <x v="0"/>
    <x v="0"/>
    <n v="196.9"/>
    <n v="13.96"/>
    <n v="0"/>
    <n v="58562.910000000018"/>
    <x v="1"/>
    <n v="13.104584527220629"/>
    <x v="760"/>
    <x v="1"/>
    <x v="1"/>
    <x v="1"/>
    <n v="0"/>
  </r>
  <r>
    <d v="2024-01-31T00:00:00"/>
    <x v="4"/>
    <x v="2"/>
    <x v="0"/>
    <n v="141.41"/>
    <n v="31.51"/>
    <n v="0"/>
    <n v="61207.979999999989"/>
    <x v="1"/>
    <n v="3.4877816566169466"/>
    <x v="761"/>
    <x v="0"/>
    <x v="2"/>
    <x v="0"/>
    <n v="0"/>
  </r>
  <r>
    <d v="2024-03-14T00:00:00"/>
    <x v="0"/>
    <x v="1"/>
    <x v="1"/>
    <n v="199.86"/>
    <n v="38.200000000000003"/>
    <n v="2"/>
    <n v="54735.250000000029"/>
    <x v="0"/>
    <n v="4.2319371727748694"/>
    <x v="762"/>
    <x v="0"/>
    <x v="3"/>
    <x v="1"/>
    <n v="99.93"/>
  </r>
  <r>
    <d v="2024-01-18T00:00:00"/>
    <x v="1"/>
    <x v="0"/>
    <x v="0"/>
    <n v="111.63"/>
    <n v="28.09"/>
    <n v="2"/>
    <n v="61207.979999999989"/>
    <x v="1"/>
    <n v="2.9740121039515839"/>
    <x v="763"/>
    <x v="0"/>
    <x v="2"/>
    <x v="0"/>
    <n v="55.814999999999998"/>
  </r>
  <r>
    <d v="2024-03-27T00:00:00"/>
    <x v="3"/>
    <x v="1"/>
    <x v="0"/>
    <n v="188.47"/>
    <n v="46.16"/>
    <n v="2"/>
    <n v="54735.250000000029"/>
    <x v="0"/>
    <n v="3.0829722703639519"/>
    <x v="764"/>
    <x v="1"/>
    <x v="3"/>
    <x v="1"/>
    <n v="94.234999999999999"/>
  </r>
  <r>
    <d v="2024-01-18T00:00:00"/>
    <x v="2"/>
    <x v="1"/>
    <x v="1"/>
    <n v="128.03"/>
    <n v="30.02"/>
    <n v="0"/>
    <n v="61207.979999999989"/>
    <x v="1"/>
    <n v="3.2648234510326453"/>
    <x v="765"/>
    <x v="0"/>
    <x v="2"/>
    <x v="0"/>
    <n v="0"/>
  </r>
  <r>
    <d v="2024-03-06T00:00:00"/>
    <x v="2"/>
    <x v="2"/>
    <x v="1"/>
    <n v="25.02"/>
    <n v="39.92"/>
    <n v="2"/>
    <n v="54735.250000000029"/>
    <x v="0"/>
    <n v="-0.37324649298597196"/>
    <x v="766"/>
    <x v="1"/>
    <x v="3"/>
    <x v="1"/>
    <n v="12.51"/>
  </r>
  <r>
    <d v="2024-01-14T00:00:00"/>
    <x v="2"/>
    <x v="1"/>
    <x v="0"/>
    <n v="138.9"/>
    <n v="36.96"/>
    <n v="1"/>
    <n v="61207.979999999989"/>
    <x v="1"/>
    <n v="2.758116883116883"/>
    <x v="767"/>
    <x v="1"/>
    <x v="2"/>
    <x v="0"/>
    <n v="138.9"/>
  </r>
  <r>
    <d v="2024-01-09T00:00:00"/>
    <x v="2"/>
    <x v="1"/>
    <x v="1"/>
    <n v="174.67"/>
    <n v="34.36"/>
    <n v="0"/>
    <n v="61207.979999999989"/>
    <x v="1"/>
    <n v="4.0835273573923168"/>
    <x v="768"/>
    <x v="1"/>
    <x v="2"/>
    <x v="0"/>
    <n v="0"/>
  </r>
  <r>
    <d v="2024-02-07T00:00:00"/>
    <x v="2"/>
    <x v="1"/>
    <x v="0"/>
    <n v="190.53"/>
    <n v="25.02"/>
    <n v="1"/>
    <n v="48675.899999999936"/>
    <x v="0"/>
    <n v="6.6151079136690649"/>
    <x v="769"/>
    <x v="1"/>
    <x v="0"/>
    <x v="0"/>
    <n v="190.53"/>
  </r>
  <r>
    <d v="2024-03-08T00:00:00"/>
    <x v="2"/>
    <x v="1"/>
    <x v="1"/>
    <n v="25.94"/>
    <n v="46.04"/>
    <n v="2"/>
    <n v="54735.250000000029"/>
    <x v="0"/>
    <n v="-0.43657688966116415"/>
    <x v="770"/>
    <x v="1"/>
    <x v="3"/>
    <x v="1"/>
    <n v="12.97"/>
  </r>
  <r>
    <d v="2024-02-21T00:00:00"/>
    <x v="2"/>
    <x v="2"/>
    <x v="1"/>
    <n v="124.81"/>
    <n v="5.09"/>
    <n v="3"/>
    <n v="48675.899999999936"/>
    <x v="0"/>
    <n v="23.520628683693516"/>
    <x v="771"/>
    <x v="0"/>
    <x v="0"/>
    <x v="0"/>
    <n v="41.603333333333332"/>
  </r>
  <r>
    <d v="2024-01-04T00:00:00"/>
    <x v="3"/>
    <x v="0"/>
    <x v="0"/>
    <n v="162.57"/>
    <n v="46.99"/>
    <n v="3"/>
    <n v="61207.979999999989"/>
    <x v="1"/>
    <n v="2.4596722706958922"/>
    <x v="772"/>
    <x v="1"/>
    <x v="2"/>
    <x v="0"/>
    <n v="54.19"/>
  </r>
  <r>
    <d v="2024-04-13T00:00:00"/>
    <x v="2"/>
    <x v="2"/>
    <x v="1"/>
    <n v="134.09"/>
    <n v="1.62"/>
    <n v="3"/>
    <n v="58562.910000000018"/>
    <x v="1"/>
    <n v="81.771604938271594"/>
    <x v="773"/>
    <x v="0"/>
    <x v="1"/>
    <x v="1"/>
    <n v="44.696666666666665"/>
  </r>
  <r>
    <d v="2024-03-21T00:00:00"/>
    <x v="4"/>
    <x v="0"/>
    <x v="0"/>
    <n v="117.04"/>
    <n v="21.2"/>
    <n v="1"/>
    <n v="54735.250000000029"/>
    <x v="0"/>
    <n v="4.5207547169811324"/>
    <x v="774"/>
    <x v="1"/>
    <x v="3"/>
    <x v="1"/>
    <n v="117.04"/>
  </r>
  <r>
    <d v="2024-02-21T00:00:00"/>
    <x v="1"/>
    <x v="0"/>
    <x v="1"/>
    <n v="141.05000000000001"/>
    <n v="41.97"/>
    <n v="1"/>
    <n v="48675.899999999936"/>
    <x v="0"/>
    <n v="2.3607338575172747"/>
    <x v="775"/>
    <x v="0"/>
    <x v="0"/>
    <x v="0"/>
    <n v="141.05000000000001"/>
  </r>
  <r>
    <d v="2024-03-15T00:00:00"/>
    <x v="4"/>
    <x v="0"/>
    <x v="1"/>
    <n v="104.07"/>
    <n v="37.369999999999997"/>
    <n v="1"/>
    <n v="54735.250000000029"/>
    <x v="0"/>
    <n v="1.7848541610917847"/>
    <x v="776"/>
    <x v="1"/>
    <x v="3"/>
    <x v="1"/>
    <n v="104.07"/>
  </r>
  <r>
    <d v="2024-03-19T00:00:00"/>
    <x v="3"/>
    <x v="0"/>
    <x v="1"/>
    <n v="78.31"/>
    <n v="3.07"/>
    <n v="3"/>
    <n v="54735.250000000029"/>
    <x v="0"/>
    <n v="24.508143322475576"/>
    <x v="777"/>
    <x v="1"/>
    <x v="3"/>
    <x v="1"/>
    <n v="26.103333333333335"/>
  </r>
  <r>
    <d v="2024-03-06T00:00:00"/>
    <x v="3"/>
    <x v="0"/>
    <x v="0"/>
    <n v="165.9"/>
    <n v="9.89"/>
    <n v="3"/>
    <n v="54735.250000000029"/>
    <x v="0"/>
    <n v="15.774519716885742"/>
    <x v="778"/>
    <x v="1"/>
    <x v="3"/>
    <x v="1"/>
    <n v="55.300000000000004"/>
  </r>
  <r>
    <d v="2024-02-09T00:00:00"/>
    <x v="3"/>
    <x v="1"/>
    <x v="0"/>
    <n v="118.33"/>
    <n v="24.08"/>
    <n v="3"/>
    <n v="48675.899999999936"/>
    <x v="0"/>
    <n v="3.9140365448504988"/>
    <x v="779"/>
    <x v="0"/>
    <x v="0"/>
    <x v="0"/>
    <n v="39.443333333333335"/>
  </r>
  <r>
    <d v="2024-03-28T00:00:00"/>
    <x v="4"/>
    <x v="0"/>
    <x v="1"/>
    <n v="161.58000000000001"/>
    <n v="4.9400000000000004"/>
    <n v="0"/>
    <n v="54735.250000000029"/>
    <x v="0"/>
    <n v="31.708502024291498"/>
    <x v="780"/>
    <x v="0"/>
    <x v="3"/>
    <x v="1"/>
    <n v="0"/>
  </r>
  <r>
    <d v="2024-02-28T00:00:00"/>
    <x v="0"/>
    <x v="2"/>
    <x v="1"/>
    <n v="46.8"/>
    <n v="36.11"/>
    <n v="3"/>
    <n v="48675.899999999936"/>
    <x v="0"/>
    <n v="0.29603987815009686"/>
    <x v="781"/>
    <x v="0"/>
    <x v="0"/>
    <x v="0"/>
    <n v="15.6"/>
  </r>
  <r>
    <d v="2024-02-28T00:00:00"/>
    <x v="0"/>
    <x v="0"/>
    <x v="0"/>
    <n v="145.9"/>
    <n v="35.61"/>
    <n v="1"/>
    <n v="48675.899999999936"/>
    <x v="0"/>
    <n v="3.0971637180567257"/>
    <x v="782"/>
    <x v="1"/>
    <x v="0"/>
    <x v="0"/>
    <n v="145.9"/>
  </r>
  <r>
    <d v="2024-01-20T00:00:00"/>
    <x v="2"/>
    <x v="1"/>
    <x v="1"/>
    <n v="23.35"/>
    <n v="3.6"/>
    <n v="3"/>
    <n v="61207.979999999989"/>
    <x v="1"/>
    <n v="5.4861111111111107"/>
    <x v="783"/>
    <x v="1"/>
    <x v="2"/>
    <x v="0"/>
    <n v="7.7833333333333341"/>
  </r>
  <r>
    <d v="2024-04-21T00:00:00"/>
    <x v="2"/>
    <x v="0"/>
    <x v="1"/>
    <n v="131.91"/>
    <n v="13.64"/>
    <n v="2"/>
    <n v="58562.910000000018"/>
    <x v="1"/>
    <n v="8.6708211143695006"/>
    <x v="784"/>
    <x v="0"/>
    <x v="1"/>
    <x v="1"/>
    <n v="65.954999999999998"/>
  </r>
  <r>
    <d v="2024-01-31T00:00:00"/>
    <x v="0"/>
    <x v="2"/>
    <x v="1"/>
    <n v="133.93"/>
    <n v="49.54"/>
    <n v="1"/>
    <n v="61207.979999999989"/>
    <x v="1"/>
    <n v="1.7034719418651598"/>
    <x v="785"/>
    <x v="0"/>
    <x v="2"/>
    <x v="0"/>
    <n v="133.93"/>
  </r>
  <r>
    <d v="2024-02-21T00:00:00"/>
    <x v="0"/>
    <x v="2"/>
    <x v="1"/>
    <n v="71.53"/>
    <n v="27.45"/>
    <n v="0"/>
    <n v="48675.899999999936"/>
    <x v="0"/>
    <n v="1.6058287795992714"/>
    <x v="786"/>
    <x v="0"/>
    <x v="0"/>
    <x v="0"/>
    <n v="0"/>
  </r>
  <r>
    <d v="2024-03-09T00:00:00"/>
    <x v="2"/>
    <x v="0"/>
    <x v="1"/>
    <n v="191.1"/>
    <n v="8.89"/>
    <n v="2"/>
    <n v="54735.250000000029"/>
    <x v="0"/>
    <n v="20.496062992125982"/>
    <x v="787"/>
    <x v="0"/>
    <x v="3"/>
    <x v="1"/>
    <n v="95.55"/>
  </r>
  <r>
    <d v="2024-01-11T00:00:00"/>
    <x v="0"/>
    <x v="1"/>
    <x v="0"/>
    <n v="124.26"/>
    <n v="36.520000000000003"/>
    <n v="1"/>
    <n v="61207.979999999989"/>
    <x v="1"/>
    <n v="2.4025191675794084"/>
    <x v="788"/>
    <x v="1"/>
    <x v="2"/>
    <x v="0"/>
    <n v="124.26"/>
  </r>
  <r>
    <d v="2024-04-11T00:00:00"/>
    <x v="0"/>
    <x v="2"/>
    <x v="0"/>
    <n v="38.869999999999997"/>
    <n v="4.82"/>
    <n v="1"/>
    <n v="58562.910000000018"/>
    <x v="1"/>
    <n v="7.0643153526970943"/>
    <x v="789"/>
    <x v="0"/>
    <x v="1"/>
    <x v="1"/>
    <n v="38.869999999999997"/>
  </r>
  <r>
    <d v="2024-03-26T00:00:00"/>
    <x v="2"/>
    <x v="1"/>
    <x v="1"/>
    <n v="125.22"/>
    <n v="16.260000000000002"/>
    <n v="0"/>
    <n v="54735.250000000029"/>
    <x v="0"/>
    <n v="6.7011070110701096"/>
    <x v="790"/>
    <x v="0"/>
    <x v="3"/>
    <x v="1"/>
    <n v="0"/>
  </r>
  <r>
    <d v="2024-02-29T00:00:00"/>
    <x v="1"/>
    <x v="2"/>
    <x v="1"/>
    <n v="119.87"/>
    <n v="42.94"/>
    <n v="2"/>
    <n v="48675.899999999936"/>
    <x v="0"/>
    <n v="1.7915696320447139"/>
    <x v="791"/>
    <x v="0"/>
    <x v="0"/>
    <x v="0"/>
    <n v="59.935000000000002"/>
  </r>
  <r>
    <d v="2024-04-21T00:00:00"/>
    <x v="4"/>
    <x v="1"/>
    <x v="1"/>
    <n v="111.55"/>
    <n v="14.32"/>
    <n v="2"/>
    <n v="58562.910000000018"/>
    <x v="1"/>
    <n v="6.7898044692737418"/>
    <x v="792"/>
    <x v="0"/>
    <x v="1"/>
    <x v="1"/>
    <n v="55.774999999999999"/>
  </r>
  <r>
    <d v="2024-01-24T00:00:00"/>
    <x v="0"/>
    <x v="1"/>
    <x v="1"/>
    <n v="175.47"/>
    <n v="36.1"/>
    <n v="0"/>
    <n v="61207.979999999989"/>
    <x v="1"/>
    <n v="3.8606648199445983"/>
    <x v="793"/>
    <x v="1"/>
    <x v="2"/>
    <x v="0"/>
    <n v="0"/>
  </r>
  <r>
    <d v="2024-04-05T00:00:00"/>
    <x v="1"/>
    <x v="1"/>
    <x v="0"/>
    <n v="66.72"/>
    <n v="8.73"/>
    <n v="1"/>
    <n v="58562.910000000018"/>
    <x v="1"/>
    <n v="6.6426116838487967"/>
    <x v="794"/>
    <x v="1"/>
    <x v="1"/>
    <x v="1"/>
    <n v="66.72"/>
  </r>
  <r>
    <d v="2024-01-21T00:00:00"/>
    <x v="3"/>
    <x v="0"/>
    <x v="0"/>
    <n v="181.22"/>
    <n v="7.03"/>
    <n v="1"/>
    <n v="61207.979999999989"/>
    <x v="1"/>
    <n v="24.778093883357041"/>
    <x v="795"/>
    <x v="0"/>
    <x v="2"/>
    <x v="0"/>
    <n v="181.22"/>
  </r>
  <r>
    <d v="2024-04-13T00:00:00"/>
    <x v="0"/>
    <x v="0"/>
    <x v="1"/>
    <n v="156"/>
    <n v="19.79"/>
    <n v="2"/>
    <n v="58562.910000000018"/>
    <x v="1"/>
    <n v="6.8827690752905513"/>
    <x v="796"/>
    <x v="0"/>
    <x v="1"/>
    <x v="1"/>
    <n v="78"/>
  </r>
  <r>
    <d v="2024-04-04T00:00:00"/>
    <x v="2"/>
    <x v="0"/>
    <x v="1"/>
    <n v="22.21"/>
    <n v="46.19"/>
    <n v="3"/>
    <n v="58562.910000000018"/>
    <x v="1"/>
    <n v="-0.51915999134011681"/>
    <x v="797"/>
    <x v="0"/>
    <x v="1"/>
    <x v="1"/>
    <n v="7.4033333333333333"/>
  </r>
  <r>
    <d v="2024-02-24T00:00:00"/>
    <x v="2"/>
    <x v="1"/>
    <x v="0"/>
    <n v="165.16"/>
    <n v="20.22"/>
    <n v="2"/>
    <n v="48675.899999999936"/>
    <x v="0"/>
    <n v="7.1681503461918892"/>
    <x v="798"/>
    <x v="0"/>
    <x v="0"/>
    <x v="0"/>
    <n v="82.58"/>
  </r>
  <r>
    <d v="2024-04-24T00:00:00"/>
    <x v="0"/>
    <x v="1"/>
    <x v="0"/>
    <n v="109.44"/>
    <n v="36.32"/>
    <n v="2"/>
    <n v="58562.910000000018"/>
    <x v="1"/>
    <n v="2.0132158590308373"/>
    <x v="799"/>
    <x v="1"/>
    <x v="1"/>
    <x v="1"/>
    <n v="54.72"/>
  </r>
  <r>
    <d v="2024-03-06T00:00:00"/>
    <x v="2"/>
    <x v="0"/>
    <x v="0"/>
    <n v="66.38"/>
    <n v="44.75"/>
    <n v="3"/>
    <n v="54735.250000000029"/>
    <x v="0"/>
    <n v="0.48335195530726249"/>
    <x v="800"/>
    <x v="0"/>
    <x v="3"/>
    <x v="1"/>
    <n v="22.126666666666665"/>
  </r>
  <r>
    <d v="2024-01-06T00:00:00"/>
    <x v="0"/>
    <x v="2"/>
    <x v="0"/>
    <n v="193.89"/>
    <n v="17.02"/>
    <n v="1"/>
    <n v="61207.979999999989"/>
    <x v="1"/>
    <n v="10.391891891891891"/>
    <x v="801"/>
    <x v="0"/>
    <x v="2"/>
    <x v="0"/>
    <n v="193.89"/>
  </r>
  <r>
    <d v="2024-01-20T00:00:00"/>
    <x v="0"/>
    <x v="1"/>
    <x v="0"/>
    <n v="136.37"/>
    <n v="26.77"/>
    <n v="2"/>
    <n v="61207.979999999989"/>
    <x v="1"/>
    <n v="4.0941352259992536"/>
    <x v="802"/>
    <x v="1"/>
    <x v="2"/>
    <x v="0"/>
    <n v="68.185000000000002"/>
  </r>
  <r>
    <d v="2024-03-21T00:00:00"/>
    <x v="1"/>
    <x v="1"/>
    <x v="1"/>
    <n v="89.6"/>
    <n v="39.380000000000003"/>
    <n v="3"/>
    <n v="54735.250000000029"/>
    <x v="0"/>
    <n v="1.275266632808532"/>
    <x v="803"/>
    <x v="1"/>
    <x v="3"/>
    <x v="1"/>
    <n v="29.866666666666664"/>
  </r>
  <r>
    <d v="2024-04-08T00:00:00"/>
    <x v="2"/>
    <x v="2"/>
    <x v="1"/>
    <n v="29.96"/>
    <n v="35.65"/>
    <n v="2"/>
    <n v="58562.910000000018"/>
    <x v="1"/>
    <n v="-0.15960729312762967"/>
    <x v="804"/>
    <x v="0"/>
    <x v="1"/>
    <x v="1"/>
    <n v="14.98"/>
  </r>
  <r>
    <d v="2024-01-25T00:00:00"/>
    <x v="1"/>
    <x v="1"/>
    <x v="1"/>
    <n v="113.49"/>
    <n v="27.55"/>
    <n v="2"/>
    <n v="61207.979999999989"/>
    <x v="1"/>
    <n v="3.119419237749546"/>
    <x v="805"/>
    <x v="1"/>
    <x v="2"/>
    <x v="0"/>
    <n v="56.744999999999997"/>
  </r>
  <r>
    <d v="2024-03-04T00:00:00"/>
    <x v="2"/>
    <x v="0"/>
    <x v="1"/>
    <n v="81.99"/>
    <n v="35.31"/>
    <n v="2"/>
    <n v="54735.250000000029"/>
    <x v="0"/>
    <n v="1.322005097706032"/>
    <x v="652"/>
    <x v="0"/>
    <x v="3"/>
    <x v="1"/>
    <n v="40.994999999999997"/>
  </r>
  <r>
    <d v="2024-04-02T00:00:00"/>
    <x v="0"/>
    <x v="1"/>
    <x v="1"/>
    <n v="173.74"/>
    <n v="27.57"/>
    <n v="3"/>
    <n v="58562.910000000018"/>
    <x v="1"/>
    <n v="5.3017772941603196"/>
    <x v="806"/>
    <x v="1"/>
    <x v="1"/>
    <x v="1"/>
    <n v="57.913333333333334"/>
  </r>
  <r>
    <d v="2024-02-23T00:00:00"/>
    <x v="0"/>
    <x v="2"/>
    <x v="1"/>
    <n v="98.1"/>
    <n v="8.5399999999999991"/>
    <n v="3"/>
    <n v="48675.899999999936"/>
    <x v="0"/>
    <n v="10.487119437939111"/>
    <x v="807"/>
    <x v="1"/>
    <x v="0"/>
    <x v="0"/>
    <n v="32.699999999999996"/>
  </r>
  <r>
    <d v="2024-03-06T00:00:00"/>
    <x v="0"/>
    <x v="1"/>
    <x v="0"/>
    <n v="109.9"/>
    <n v="13.16"/>
    <n v="3"/>
    <n v="54735.250000000029"/>
    <x v="0"/>
    <n v="7.3510638297872344"/>
    <x v="808"/>
    <x v="1"/>
    <x v="3"/>
    <x v="1"/>
    <n v="36.633333333333333"/>
  </r>
  <r>
    <d v="2024-01-30T00:00:00"/>
    <x v="3"/>
    <x v="2"/>
    <x v="0"/>
    <n v="62.28"/>
    <n v="31.14"/>
    <n v="0"/>
    <n v="61207.979999999989"/>
    <x v="1"/>
    <n v="1"/>
    <x v="809"/>
    <x v="0"/>
    <x v="2"/>
    <x v="0"/>
    <n v="0"/>
  </r>
  <r>
    <d v="2024-02-03T00:00:00"/>
    <x v="3"/>
    <x v="0"/>
    <x v="0"/>
    <n v="135.07"/>
    <n v="48.48"/>
    <n v="0"/>
    <n v="48675.899999999936"/>
    <x v="0"/>
    <n v="1.7860973597359737"/>
    <x v="810"/>
    <x v="1"/>
    <x v="0"/>
    <x v="0"/>
    <n v="0"/>
  </r>
  <r>
    <d v="2024-03-16T00:00:00"/>
    <x v="0"/>
    <x v="2"/>
    <x v="1"/>
    <n v="62.89"/>
    <n v="48.8"/>
    <n v="0"/>
    <n v="54735.250000000029"/>
    <x v="0"/>
    <n v="0.28872950819672139"/>
    <x v="811"/>
    <x v="0"/>
    <x v="3"/>
    <x v="1"/>
    <n v="0"/>
  </r>
  <r>
    <d v="2024-04-18T00:00:00"/>
    <x v="2"/>
    <x v="1"/>
    <x v="0"/>
    <n v="111.39"/>
    <n v="29"/>
    <n v="3"/>
    <n v="58562.910000000018"/>
    <x v="1"/>
    <n v="2.8410344827586207"/>
    <x v="812"/>
    <x v="1"/>
    <x v="1"/>
    <x v="1"/>
    <n v="37.130000000000003"/>
  </r>
  <r>
    <d v="2024-01-17T00:00:00"/>
    <x v="0"/>
    <x v="1"/>
    <x v="0"/>
    <n v="91.05"/>
    <n v="0.75"/>
    <n v="3"/>
    <n v="61207.979999999989"/>
    <x v="1"/>
    <n v="120.39999999999999"/>
    <x v="813"/>
    <x v="0"/>
    <x v="2"/>
    <x v="0"/>
    <n v="30.349999999999998"/>
  </r>
  <r>
    <d v="2024-01-05T00:00:00"/>
    <x v="4"/>
    <x v="1"/>
    <x v="0"/>
    <n v="54.78"/>
    <n v="17.78"/>
    <n v="1"/>
    <n v="61207.979999999989"/>
    <x v="1"/>
    <n v="2.0809898762654666"/>
    <x v="814"/>
    <x v="0"/>
    <x v="2"/>
    <x v="0"/>
    <n v="54.78"/>
  </r>
  <r>
    <d v="2024-04-20T00:00:00"/>
    <x v="3"/>
    <x v="1"/>
    <x v="0"/>
    <n v="54.5"/>
    <n v="46.19"/>
    <n v="2"/>
    <n v="58562.910000000018"/>
    <x v="1"/>
    <n v="0.17990907122753849"/>
    <x v="815"/>
    <x v="0"/>
    <x v="1"/>
    <x v="1"/>
    <n v="27.25"/>
  </r>
  <r>
    <d v="2024-04-19T00:00:00"/>
    <x v="2"/>
    <x v="0"/>
    <x v="0"/>
    <n v="54.1"/>
    <n v="33.74"/>
    <n v="1"/>
    <n v="58562.910000000018"/>
    <x v="1"/>
    <n v="0.60343805572021336"/>
    <x v="816"/>
    <x v="1"/>
    <x v="1"/>
    <x v="1"/>
    <n v="54.1"/>
  </r>
  <r>
    <d v="2024-04-19T00:00:00"/>
    <x v="4"/>
    <x v="1"/>
    <x v="0"/>
    <n v="56.27"/>
    <n v="20.79"/>
    <n v="3"/>
    <n v="58562.910000000018"/>
    <x v="1"/>
    <n v="1.7065897065897069"/>
    <x v="817"/>
    <x v="1"/>
    <x v="1"/>
    <x v="1"/>
    <n v="18.756666666666668"/>
  </r>
  <r>
    <d v="2024-03-07T00:00:00"/>
    <x v="2"/>
    <x v="0"/>
    <x v="0"/>
    <n v="43.29"/>
    <n v="39.11"/>
    <n v="0"/>
    <n v="54735.250000000029"/>
    <x v="0"/>
    <n v="0.10687803630784964"/>
    <x v="818"/>
    <x v="0"/>
    <x v="3"/>
    <x v="1"/>
    <n v="0"/>
  </r>
  <r>
    <d v="2024-04-07T00:00:00"/>
    <x v="2"/>
    <x v="2"/>
    <x v="1"/>
    <n v="23.18"/>
    <n v="29.21"/>
    <n v="2"/>
    <n v="58562.910000000018"/>
    <x v="1"/>
    <n v="-0.20643615200273882"/>
    <x v="819"/>
    <x v="1"/>
    <x v="1"/>
    <x v="1"/>
    <n v="11.59"/>
  </r>
  <r>
    <d v="2024-01-06T00:00:00"/>
    <x v="4"/>
    <x v="1"/>
    <x v="1"/>
    <n v="97.19"/>
    <n v="40.26"/>
    <n v="2"/>
    <n v="61207.979999999989"/>
    <x v="1"/>
    <n v="1.4140586189766517"/>
    <x v="820"/>
    <x v="0"/>
    <x v="2"/>
    <x v="0"/>
    <n v="48.594999999999999"/>
  </r>
  <r>
    <d v="2024-03-07T00:00:00"/>
    <x v="1"/>
    <x v="1"/>
    <x v="1"/>
    <n v="89"/>
    <n v="18.47"/>
    <n v="1"/>
    <n v="54735.250000000029"/>
    <x v="0"/>
    <n v="3.8186247969680567"/>
    <x v="821"/>
    <x v="0"/>
    <x v="3"/>
    <x v="1"/>
    <n v="89"/>
  </r>
  <r>
    <d v="2024-04-20T00:00:00"/>
    <x v="1"/>
    <x v="0"/>
    <x v="1"/>
    <n v="43.42"/>
    <n v="33.53"/>
    <n v="1"/>
    <n v="58562.910000000018"/>
    <x v="1"/>
    <n v="0.29495973754846405"/>
    <x v="822"/>
    <x v="0"/>
    <x v="1"/>
    <x v="1"/>
    <n v="43.42"/>
  </r>
  <r>
    <d v="2024-02-13T00:00:00"/>
    <x v="2"/>
    <x v="2"/>
    <x v="1"/>
    <n v="64.25"/>
    <n v="7.06"/>
    <n v="2"/>
    <n v="48675.899999999936"/>
    <x v="0"/>
    <n v="8.1005665722379607"/>
    <x v="823"/>
    <x v="0"/>
    <x v="0"/>
    <x v="0"/>
    <n v="32.125"/>
  </r>
  <r>
    <d v="2024-02-23T00:00:00"/>
    <x v="4"/>
    <x v="2"/>
    <x v="1"/>
    <n v="100.6"/>
    <n v="19.309999999999999"/>
    <n v="1"/>
    <n v="48675.899999999936"/>
    <x v="0"/>
    <n v="4.2097358881408597"/>
    <x v="824"/>
    <x v="1"/>
    <x v="0"/>
    <x v="0"/>
    <n v="100.6"/>
  </r>
  <r>
    <d v="2024-01-14T00:00:00"/>
    <x v="2"/>
    <x v="1"/>
    <x v="0"/>
    <n v="39.85"/>
    <n v="15.91"/>
    <n v="0"/>
    <n v="61207.979999999989"/>
    <x v="1"/>
    <n v="1.5047140163419235"/>
    <x v="825"/>
    <x v="0"/>
    <x v="2"/>
    <x v="0"/>
    <n v="0"/>
  </r>
  <r>
    <d v="2024-04-06T00:00:00"/>
    <x v="1"/>
    <x v="1"/>
    <x v="1"/>
    <n v="130.66"/>
    <n v="19.53"/>
    <n v="1"/>
    <n v="58562.910000000018"/>
    <x v="1"/>
    <n v="5.6902201740911416"/>
    <x v="826"/>
    <x v="1"/>
    <x v="1"/>
    <x v="1"/>
    <n v="130.66"/>
  </r>
  <r>
    <d v="2024-02-24T00:00:00"/>
    <x v="1"/>
    <x v="0"/>
    <x v="1"/>
    <n v="188.04"/>
    <n v="0.63"/>
    <n v="3"/>
    <n v="48675.899999999936"/>
    <x v="0"/>
    <n v="297.47619047619048"/>
    <x v="827"/>
    <x v="1"/>
    <x v="0"/>
    <x v="0"/>
    <n v="62.68"/>
  </r>
  <r>
    <d v="2024-02-01T00:00:00"/>
    <x v="0"/>
    <x v="2"/>
    <x v="0"/>
    <n v="24.46"/>
    <n v="41.9"/>
    <n v="0"/>
    <n v="48675.899999999936"/>
    <x v="0"/>
    <n v="-0.41622911694510734"/>
    <x v="828"/>
    <x v="0"/>
    <x v="0"/>
    <x v="0"/>
    <n v="0"/>
  </r>
  <r>
    <d v="2024-04-30T00:00:00"/>
    <x v="0"/>
    <x v="0"/>
    <x v="0"/>
    <n v="124.86"/>
    <n v="12.71"/>
    <n v="3"/>
    <n v="58562.910000000018"/>
    <x v="1"/>
    <n v="8.8237608182533442"/>
    <x v="829"/>
    <x v="0"/>
    <x v="1"/>
    <x v="1"/>
    <n v="41.62"/>
  </r>
  <r>
    <d v="2024-02-23T00:00:00"/>
    <x v="4"/>
    <x v="0"/>
    <x v="1"/>
    <n v="42.02"/>
    <n v="21.76"/>
    <n v="0"/>
    <n v="48675.899999999936"/>
    <x v="0"/>
    <n v="0.9310661764705882"/>
    <x v="830"/>
    <x v="1"/>
    <x v="0"/>
    <x v="0"/>
    <n v="0"/>
  </r>
  <r>
    <d v="2024-02-16T00:00:00"/>
    <x v="4"/>
    <x v="0"/>
    <x v="1"/>
    <n v="157.52000000000001"/>
    <n v="4.07"/>
    <n v="1"/>
    <n v="48675.899999999936"/>
    <x v="0"/>
    <n v="37.702702702702702"/>
    <x v="831"/>
    <x v="1"/>
    <x v="0"/>
    <x v="0"/>
    <n v="157.52000000000001"/>
  </r>
  <r>
    <d v="2024-01-29T00:00:00"/>
    <x v="4"/>
    <x v="1"/>
    <x v="0"/>
    <n v="126.77"/>
    <n v="12.44"/>
    <n v="3"/>
    <n v="61207.979999999989"/>
    <x v="1"/>
    <n v="9.190514469453376"/>
    <x v="832"/>
    <x v="0"/>
    <x v="2"/>
    <x v="0"/>
    <n v="42.256666666666668"/>
  </r>
  <r>
    <d v="2024-04-03T00:00:00"/>
    <x v="4"/>
    <x v="2"/>
    <x v="1"/>
    <n v="188.83"/>
    <n v="44.91"/>
    <n v="0"/>
    <n v="58562.910000000018"/>
    <x v="1"/>
    <n v="3.2046314851926079"/>
    <x v="833"/>
    <x v="1"/>
    <x v="1"/>
    <x v="1"/>
    <n v="0"/>
  </r>
  <r>
    <d v="2024-04-18T00:00:00"/>
    <x v="2"/>
    <x v="2"/>
    <x v="0"/>
    <n v="34.869999999999997"/>
    <n v="13.81"/>
    <n v="2"/>
    <n v="58562.910000000018"/>
    <x v="1"/>
    <n v="1.524981897175959"/>
    <x v="834"/>
    <x v="1"/>
    <x v="1"/>
    <x v="1"/>
    <n v="17.434999999999999"/>
  </r>
  <r>
    <d v="2024-04-18T00:00:00"/>
    <x v="4"/>
    <x v="1"/>
    <x v="0"/>
    <n v="115.1"/>
    <n v="43.24"/>
    <n v="2"/>
    <n v="58562.910000000018"/>
    <x v="1"/>
    <n v="1.6618871415356147"/>
    <x v="835"/>
    <x v="0"/>
    <x v="1"/>
    <x v="1"/>
    <n v="57.55"/>
  </r>
  <r>
    <d v="2024-04-13T00:00:00"/>
    <x v="0"/>
    <x v="1"/>
    <x v="0"/>
    <n v="183.68"/>
    <n v="8.44"/>
    <n v="3"/>
    <n v="58562.910000000018"/>
    <x v="1"/>
    <n v="20.763033175355453"/>
    <x v="836"/>
    <x v="0"/>
    <x v="1"/>
    <x v="1"/>
    <n v="61.226666666666667"/>
  </r>
  <r>
    <d v="2024-01-18T00:00:00"/>
    <x v="4"/>
    <x v="2"/>
    <x v="0"/>
    <n v="30.57"/>
    <n v="21.33"/>
    <n v="3"/>
    <n v="61207.979999999989"/>
    <x v="1"/>
    <n v="0.43319268635724345"/>
    <x v="837"/>
    <x v="1"/>
    <x v="2"/>
    <x v="0"/>
    <n v="10.19"/>
  </r>
  <r>
    <d v="2024-01-16T00:00:00"/>
    <x v="4"/>
    <x v="1"/>
    <x v="1"/>
    <n v="169.36"/>
    <n v="2.0699999999999998"/>
    <n v="3"/>
    <n v="61207.979999999989"/>
    <x v="1"/>
    <n v="80.816425120772962"/>
    <x v="838"/>
    <x v="1"/>
    <x v="2"/>
    <x v="0"/>
    <n v="56.45333333333334"/>
  </r>
  <r>
    <d v="2024-04-17T00:00:00"/>
    <x v="2"/>
    <x v="0"/>
    <x v="0"/>
    <n v="124.16"/>
    <n v="38.03"/>
    <n v="1"/>
    <n v="58562.910000000018"/>
    <x v="1"/>
    <n v="2.2647909545095977"/>
    <x v="839"/>
    <x v="1"/>
    <x v="1"/>
    <x v="1"/>
    <n v="124.16"/>
  </r>
  <r>
    <d v="2024-02-12T00:00:00"/>
    <x v="1"/>
    <x v="0"/>
    <x v="1"/>
    <n v="38.409999999999997"/>
    <n v="24.46"/>
    <n v="1"/>
    <n v="48675.899999999936"/>
    <x v="0"/>
    <n v="0.57031888798037589"/>
    <x v="840"/>
    <x v="0"/>
    <x v="0"/>
    <x v="0"/>
    <n v="38.409999999999997"/>
  </r>
  <r>
    <d v="2024-01-17T00:00:00"/>
    <x v="1"/>
    <x v="0"/>
    <x v="0"/>
    <n v="101.95"/>
    <n v="25.13"/>
    <n v="1"/>
    <n v="61207.979999999989"/>
    <x v="1"/>
    <n v="3.0569040986868288"/>
    <x v="841"/>
    <x v="1"/>
    <x v="2"/>
    <x v="0"/>
    <n v="101.95"/>
  </r>
  <r>
    <d v="2024-01-31T00:00:00"/>
    <x v="0"/>
    <x v="1"/>
    <x v="1"/>
    <n v="49.17"/>
    <n v="27.27"/>
    <n v="2"/>
    <n v="61207.979999999989"/>
    <x v="1"/>
    <n v="0.80308030803080321"/>
    <x v="842"/>
    <x v="0"/>
    <x v="2"/>
    <x v="0"/>
    <n v="24.585000000000001"/>
  </r>
  <r>
    <d v="2024-01-21T00:00:00"/>
    <x v="0"/>
    <x v="0"/>
    <x v="0"/>
    <n v="180.66"/>
    <n v="47.6"/>
    <n v="0"/>
    <n v="61207.979999999989"/>
    <x v="1"/>
    <n v="2.795378151260504"/>
    <x v="843"/>
    <x v="1"/>
    <x v="2"/>
    <x v="0"/>
    <n v="0"/>
  </r>
  <r>
    <d v="2024-01-12T00:00:00"/>
    <x v="2"/>
    <x v="2"/>
    <x v="1"/>
    <n v="85.49"/>
    <n v="38.44"/>
    <n v="0"/>
    <n v="61207.979999999989"/>
    <x v="1"/>
    <n v="1.2239854318418315"/>
    <x v="844"/>
    <x v="1"/>
    <x v="2"/>
    <x v="0"/>
    <n v="0"/>
  </r>
  <r>
    <d v="2024-04-10T00:00:00"/>
    <x v="1"/>
    <x v="0"/>
    <x v="0"/>
    <n v="45.74"/>
    <n v="6.2"/>
    <n v="1"/>
    <n v="58562.910000000018"/>
    <x v="1"/>
    <n v="6.3774193548387093"/>
    <x v="845"/>
    <x v="0"/>
    <x v="1"/>
    <x v="1"/>
    <n v="45.74"/>
  </r>
  <r>
    <d v="2024-01-31T00:00:00"/>
    <x v="0"/>
    <x v="1"/>
    <x v="0"/>
    <n v="111.46"/>
    <n v="48.72"/>
    <n v="2"/>
    <n v="61207.979999999989"/>
    <x v="1"/>
    <n v="1.287766830870279"/>
    <x v="846"/>
    <x v="1"/>
    <x v="2"/>
    <x v="0"/>
    <n v="55.73"/>
  </r>
  <r>
    <d v="2024-03-23T00:00:00"/>
    <x v="3"/>
    <x v="0"/>
    <x v="0"/>
    <n v="90.39"/>
    <n v="23.74"/>
    <n v="2"/>
    <n v="54735.250000000029"/>
    <x v="0"/>
    <n v="2.8074978938500426"/>
    <x v="847"/>
    <x v="1"/>
    <x v="3"/>
    <x v="1"/>
    <n v="45.195"/>
  </r>
  <r>
    <d v="2024-03-20T00:00:00"/>
    <x v="3"/>
    <x v="1"/>
    <x v="1"/>
    <n v="192.61"/>
    <n v="46.59"/>
    <n v="0"/>
    <n v="54735.250000000029"/>
    <x v="0"/>
    <n v="3.1341489590040781"/>
    <x v="848"/>
    <x v="0"/>
    <x v="3"/>
    <x v="1"/>
    <n v="0"/>
  </r>
  <r>
    <d v="2024-03-23T00:00:00"/>
    <x v="3"/>
    <x v="0"/>
    <x v="1"/>
    <n v="56.91"/>
    <n v="45.95"/>
    <n v="0"/>
    <n v="54735.250000000029"/>
    <x v="0"/>
    <n v="0.23852013057671367"/>
    <x v="849"/>
    <x v="1"/>
    <x v="3"/>
    <x v="1"/>
    <n v="0"/>
  </r>
  <r>
    <d v="2024-02-06T00:00:00"/>
    <x v="3"/>
    <x v="0"/>
    <x v="1"/>
    <n v="90.76"/>
    <n v="49.88"/>
    <n v="1"/>
    <n v="48675.899999999936"/>
    <x v="0"/>
    <n v="0.81956696070569368"/>
    <x v="850"/>
    <x v="1"/>
    <x v="0"/>
    <x v="0"/>
    <n v="90.76"/>
  </r>
  <r>
    <d v="2024-04-02T00:00:00"/>
    <x v="4"/>
    <x v="0"/>
    <x v="1"/>
    <n v="153.28"/>
    <n v="2.34"/>
    <n v="1"/>
    <n v="58562.910000000018"/>
    <x v="1"/>
    <n v="64.504273504273513"/>
    <x v="851"/>
    <x v="1"/>
    <x v="1"/>
    <x v="1"/>
    <n v="153.28"/>
  </r>
  <r>
    <d v="2024-04-28T00:00:00"/>
    <x v="4"/>
    <x v="1"/>
    <x v="1"/>
    <n v="112.69"/>
    <n v="48.84"/>
    <n v="0"/>
    <n v="58562.910000000018"/>
    <x v="1"/>
    <n v="1.307330057330057"/>
    <x v="852"/>
    <x v="0"/>
    <x v="1"/>
    <x v="1"/>
    <n v="0"/>
  </r>
  <r>
    <d v="2024-02-17T00:00:00"/>
    <x v="4"/>
    <x v="1"/>
    <x v="1"/>
    <n v="133.29"/>
    <n v="5.2"/>
    <n v="3"/>
    <n v="48675.899999999936"/>
    <x v="0"/>
    <n v="24.632692307692306"/>
    <x v="853"/>
    <x v="1"/>
    <x v="0"/>
    <x v="0"/>
    <n v="44.43"/>
  </r>
  <r>
    <d v="2024-03-24T00:00:00"/>
    <x v="1"/>
    <x v="1"/>
    <x v="1"/>
    <n v="115.53"/>
    <n v="27.95"/>
    <n v="2"/>
    <n v="54735.250000000029"/>
    <x v="0"/>
    <n v="3.1334525939177102"/>
    <x v="854"/>
    <x v="1"/>
    <x v="3"/>
    <x v="1"/>
    <n v="57.765000000000001"/>
  </r>
  <r>
    <d v="2024-01-10T00:00:00"/>
    <x v="2"/>
    <x v="2"/>
    <x v="1"/>
    <n v="140.58000000000001"/>
    <n v="19.600000000000001"/>
    <n v="1"/>
    <n v="61207.979999999989"/>
    <x v="1"/>
    <n v="6.1724489795918371"/>
    <x v="855"/>
    <x v="1"/>
    <x v="2"/>
    <x v="0"/>
    <n v="140.58000000000001"/>
  </r>
  <r>
    <d v="2024-04-15T00:00:00"/>
    <x v="3"/>
    <x v="2"/>
    <x v="1"/>
    <n v="172.89"/>
    <n v="6.93"/>
    <n v="0"/>
    <n v="58562.910000000018"/>
    <x v="1"/>
    <n v="23.948051948051948"/>
    <x v="856"/>
    <x v="1"/>
    <x v="1"/>
    <x v="1"/>
    <n v="0"/>
  </r>
  <r>
    <d v="2024-01-07T00:00:00"/>
    <x v="3"/>
    <x v="1"/>
    <x v="0"/>
    <n v="106.8"/>
    <n v="32.22"/>
    <n v="2"/>
    <n v="61207.979999999989"/>
    <x v="1"/>
    <n v="2.3147113594040967"/>
    <x v="857"/>
    <x v="0"/>
    <x v="2"/>
    <x v="0"/>
    <n v="53.4"/>
  </r>
  <r>
    <d v="2024-04-07T00:00:00"/>
    <x v="0"/>
    <x v="1"/>
    <x v="0"/>
    <n v="198.4"/>
    <n v="21.34"/>
    <n v="2"/>
    <n v="58562.910000000018"/>
    <x v="1"/>
    <n v="8.2970946579194003"/>
    <x v="858"/>
    <x v="0"/>
    <x v="1"/>
    <x v="1"/>
    <n v="99.2"/>
  </r>
  <r>
    <d v="2024-01-23T00:00:00"/>
    <x v="0"/>
    <x v="1"/>
    <x v="1"/>
    <n v="66.22"/>
    <n v="33.03"/>
    <n v="1"/>
    <n v="61207.979999999989"/>
    <x v="1"/>
    <n v="1.004844081138359"/>
    <x v="859"/>
    <x v="1"/>
    <x v="2"/>
    <x v="0"/>
    <n v="66.22"/>
  </r>
  <r>
    <d v="2024-03-02T00:00:00"/>
    <x v="3"/>
    <x v="0"/>
    <x v="1"/>
    <n v="20.07"/>
    <n v="16.34"/>
    <n v="0"/>
    <n v="54735.250000000029"/>
    <x v="0"/>
    <n v="0.22827417380660958"/>
    <x v="860"/>
    <x v="1"/>
    <x v="3"/>
    <x v="1"/>
    <n v="0"/>
  </r>
  <r>
    <d v="2024-01-29T00:00:00"/>
    <x v="0"/>
    <x v="0"/>
    <x v="0"/>
    <n v="162.06"/>
    <n v="49.86"/>
    <n v="2"/>
    <n v="61207.979999999989"/>
    <x v="1"/>
    <n v="2.2503008423586044"/>
    <x v="861"/>
    <x v="0"/>
    <x v="2"/>
    <x v="0"/>
    <n v="81.03"/>
  </r>
  <r>
    <d v="2024-04-24T00:00:00"/>
    <x v="3"/>
    <x v="0"/>
    <x v="0"/>
    <n v="156.30000000000001"/>
    <n v="36.659999999999997"/>
    <n v="3"/>
    <n v="58562.910000000018"/>
    <x v="1"/>
    <n v="3.2635024549918175"/>
    <x v="862"/>
    <x v="0"/>
    <x v="1"/>
    <x v="1"/>
    <n v="52.1"/>
  </r>
  <r>
    <d v="2024-04-13T00:00:00"/>
    <x v="4"/>
    <x v="1"/>
    <x v="0"/>
    <n v="195.81"/>
    <n v="9.2799999999999994"/>
    <n v="0"/>
    <n v="58562.910000000018"/>
    <x v="1"/>
    <n v="20.100215517241381"/>
    <x v="863"/>
    <x v="0"/>
    <x v="1"/>
    <x v="1"/>
    <n v="0"/>
  </r>
  <r>
    <d v="2024-01-23T00:00:00"/>
    <x v="0"/>
    <x v="2"/>
    <x v="0"/>
    <n v="156.34"/>
    <n v="36.03"/>
    <n v="2"/>
    <n v="61207.979999999989"/>
    <x v="1"/>
    <n v="3.3391618096031084"/>
    <x v="864"/>
    <x v="1"/>
    <x v="2"/>
    <x v="0"/>
    <n v="78.17"/>
  </r>
  <r>
    <d v="2024-03-20T00:00:00"/>
    <x v="0"/>
    <x v="0"/>
    <x v="1"/>
    <n v="151.72"/>
    <n v="29.92"/>
    <n v="0"/>
    <n v="54735.250000000029"/>
    <x v="0"/>
    <n v="4.0708556149732615"/>
    <x v="865"/>
    <x v="0"/>
    <x v="3"/>
    <x v="1"/>
    <n v="0"/>
  </r>
  <r>
    <d v="2024-03-18T00:00:00"/>
    <x v="2"/>
    <x v="0"/>
    <x v="0"/>
    <n v="60.53"/>
    <n v="40.729999999999997"/>
    <n v="0"/>
    <n v="54735.250000000029"/>
    <x v="0"/>
    <n v="0.48612816106064338"/>
    <x v="866"/>
    <x v="0"/>
    <x v="3"/>
    <x v="1"/>
    <n v="0"/>
  </r>
  <r>
    <d v="2024-03-21T00:00:00"/>
    <x v="2"/>
    <x v="2"/>
    <x v="0"/>
    <n v="54.48"/>
    <n v="33.58"/>
    <n v="3"/>
    <n v="54735.250000000029"/>
    <x v="0"/>
    <n v="0.62239428231089933"/>
    <x v="867"/>
    <x v="0"/>
    <x v="3"/>
    <x v="1"/>
    <n v="18.16"/>
  </r>
  <r>
    <d v="2024-03-18T00:00:00"/>
    <x v="3"/>
    <x v="1"/>
    <x v="0"/>
    <n v="157.29"/>
    <n v="14.46"/>
    <n v="3"/>
    <n v="54735.250000000029"/>
    <x v="0"/>
    <n v="9.8775933609958493"/>
    <x v="868"/>
    <x v="0"/>
    <x v="3"/>
    <x v="1"/>
    <n v="52.43"/>
  </r>
  <r>
    <d v="2024-04-08T00:00:00"/>
    <x v="3"/>
    <x v="2"/>
    <x v="1"/>
    <n v="51.97"/>
    <n v="25.08"/>
    <n v="0"/>
    <n v="58562.910000000018"/>
    <x v="1"/>
    <n v="1.0721690590111643"/>
    <x v="869"/>
    <x v="0"/>
    <x v="1"/>
    <x v="1"/>
    <n v="0"/>
  </r>
  <r>
    <d v="2024-02-25T00:00:00"/>
    <x v="4"/>
    <x v="1"/>
    <x v="1"/>
    <n v="107.92"/>
    <n v="2.34"/>
    <n v="3"/>
    <n v="48675.899999999936"/>
    <x v="0"/>
    <n v="45.119658119658119"/>
    <x v="870"/>
    <x v="0"/>
    <x v="0"/>
    <x v="0"/>
    <n v="35.973333333333336"/>
  </r>
  <r>
    <d v="2024-02-01T00:00:00"/>
    <x v="2"/>
    <x v="1"/>
    <x v="1"/>
    <n v="115.28"/>
    <n v="2.16"/>
    <n v="0"/>
    <n v="48675.899999999936"/>
    <x v="0"/>
    <n v="52.370370370370367"/>
    <x v="871"/>
    <x v="1"/>
    <x v="0"/>
    <x v="0"/>
    <n v="0"/>
  </r>
  <r>
    <d v="2024-04-27T00:00:00"/>
    <x v="1"/>
    <x v="2"/>
    <x v="0"/>
    <n v="58.64"/>
    <n v="37.42"/>
    <n v="0"/>
    <n v="58562.910000000018"/>
    <x v="1"/>
    <n v="0.567076429716729"/>
    <x v="872"/>
    <x v="0"/>
    <x v="1"/>
    <x v="1"/>
    <n v="0"/>
  </r>
  <r>
    <d v="2024-01-17T00:00:00"/>
    <x v="4"/>
    <x v="2"/>
    <x v="0"/>
    <n v="127.71"/>
    <n v="29.84"/>
    <n v="2"/>
    <n v="61207.979999999989"/>
    <x v="1"/>
    <n v="3.2798257372654152"/>
    <x v="873"/>
    <x v="1"/>
    <x v="2"/>
    <x v="0"/>
    <n v="63.854999999999997"/>
  </r>
  <r>
    <d v="2024-01-14T00:00:00"/>
    <x v="0"/>
    <x v="0"/>
    <x v="1"/>
    <n v="40.24"/>
    <n v="6.97"/>
    <n v="3"/>
    <n v="61207.979999999989"/>
    <x v="1"/>
    <n v="4.7733142037302736"/>
    <x v="874"/>
    <x v="0"/>
    <x v="2"/>
    <x v="0"/>
    <n v="13.413333333333334"/>
  </r>
  <r>
    <d v="2024-01-29T00:00:00"/>
    <x v="4"/>
    <x v="2"/>
    <x v="1"/>
    <n v="190.03"/>
    <n v="28.91"/>
    <n v="3"/>
    <n v="61207.979999999989"/>
    <x v="1"/>
    <n v="5.5731580767900386"/>
    <x v="875"/>
    <x v="1"/>
    <x v="2"/>
    <x v="0"/>
    <n v="63.343333333333334"/>
  </r>
  <r>
    <d v="2024-04-08T00:00:00"/>
    <x v="3"/>
    <x v="2"/>
    <x v="0"/>
    <n v="83.3"/>
    <n v="43.47"/>
    <n v="2"/>
    <n v="58562.910000000018"/>
    <x v="1"/>
    <n v="0.91626409017713362"/>
    <x v="876"/>
    <x v="0"/>
    <x v="1"/>
    <x v="1"/>
    <n v="41.65"/>
  </r>
  <r>
    <d v="2024-02-11T00:00:00"/>
    <x v="3"/>
    <x v="2"/>
    <x v="1"/>
    <n v="122.84"/>
    <n v="14.19"/>
    <n v="2"/>
    <n v="48675.899999999936"/>
    <x v="0"/>
    <n v="7.6568005637773089"/>
    <x v="877"/>
    <x v="1"/>
    <x v="0"/>
    <x v="0"/>
    <n v="61.42"/>
  </r>
  <r>
    <d v="2024-01-07T00:00:00"/>
    <x v="4"/>
    <x v="1"/>
    <x v="0"/>
    <n v="176.61"/>
    <n v="40.6"/>
    <n v="1"/>
    <n v="61207.979999999989"/>
    <x v="1"/>
    <n v="3.3500000000000005"/>
    <x v="878"/>
    <x v="0"/>
    <x v="2"/>
    <x v="0"/>
    <n v="176.61"/>
  </r>
  <r>
    <d v="2024-02-03T00:00:00"/>
    <x v="0"/>
    <x v="1"/>
    <x v="0"/>
    <n v="55.44"/>
    <n v="34.08"/>
    <n v="1"/>
    <n v="48675.899999999936"/>
    <x v="0"/>
    <n v="0.62676056338028174"/>
    <x v="879"/>
    <x v="1"/>
    <x v="0"/>
    <x v="0"/>
    <n v="55.44"/>
  </r>
  <r>
    <d v="2024-02-08T00:00:00"/>
    <x v="1"/>
    <x v="1"/>
    <x v="1"/>
    <n v="104.35"/>
    <n v="36.840000000000003"/>
    <n v="0"/>
    <n v="48675.899999999936"/>
    <x v="0"/>
    <n v="1.8325190010857759"/>
    <x v="880"/>
    <x v="1"/>
    <x v="0"/>
    <x v="0"/>
    <n v="0"/>
  </r>
  <r>
    <d v="2024-01-31T00:00:00"/>
    <x v="2"/>
    <x v="2"/>
    <x v="1"/>
    <n v="32.44"/>
    <n v="24.33"/>
    <n v="2"/>
    <n v="61207.979999999989"/>
    <x v="1"/>
    <n v="0.33333333333333331"/>
    <x v="881"/>
    <x v="1"/>
    <x v="2"/>
    <x v="0"/>
    <n v="16.22"/>
  </r>
  <r>
    <d v="2024-02-22T00:00:00"/>
    <x v="2"/>
    <x v="0"/>
    <x v="1"/>
    <n v="103.66"/>
    <n v="21.58"/>
    <n v="2"/>
    <n v="48675.899999999936"/>
    <x v="0"/>
    <n v="3.8035217794253939"/>
    <x v="882"/>
    <x v="0"/>
    <x v="0"/>
    <x v="0"/>
    <n v="51.83"/>
  </r>
  <r>
    <d v="2024-03-15T00:00:00"/>
    <x v="1"/>
    <x v="1"/>
    <x v="0"/>
    <n v="130.24"/>
    <n v="37.97"/>
    <n v="1"/>
    <n v="54735.250000000029"/>
    <x v="0"/>
    <n v="2.4300763760863844"/>
    <x v="883"/>
    <x v="0"/>
    <x v="3"/>
    <x v="1"/>
    <n v="130.24"/>
  </r>
  <r>
    <d v="2024-01-03T00:00:00"/>
    <x v="4"/>
    <x v="0"/>
    <x v="1"/>
    <n v="107.73"/>
    <n v="21.32"/>
    <n v="3"/>
    <n v="61207.979999999989"/>
    <x v="1"/>
    <n v="4.0530018761726074"/>
    <x v="884"/>
    <x v="0"/>
    <x v="2"/>
    <x v="0"/>
    <n v="35.910000000000004"/>
  </r>
  <r>
    <d v="2024-03-03T00:00:00"/>
    <x v="1"/>
    <x v="0"/>
    <x v="1"/>
    <n v="128.62"/>
    <n v="4.37"/>
    <n v="1"/>
    <n v="54735.250000000029"/>
    <x v="0"/>
    <n v="28.432494279176201"/>
    <x v="885"/>
    <x v="1"/>
    <x v="3"/>
    <x v="1"/>
    <n v="128.62"/>
  </r>
  <r>
    <d v="2024-03-29T00:00:00"/>
    <x v="1"/>
    <x v="0"/>
    <x v="1"/>
    <n v="151.27000000000001"/>
    <n v="48.92"/>
    <n v="1"/>
    <n v="54735.250000000029"/>
    <x v="0"/>
    <n v="2.0921913327882256"/>
    <x v="886"/>
    <x v="0"/>
    <x v="3"/>
    <x v="1"/>
    <n v="151.27000000000001"/>
  </r>
  <r>
    <d v="2024-04-16T00:00:00"/>
    <x v="2"/>
    <x v="2"/>
    <x v="0"/>
    <n v="195.91"/>
    <n v="16.43"/>
    <n v="3"/>
    <n v="58562.910000000018"/>
    <x v="1"/>
    <n v="10.923919659160072"/>
    <x v="887"/>
    <x v="0"/>
    <x v="1"/>
    <x v="1"/>
    <n v="65.303333333333327"/>
  </r>
  <r>
    <d v="2024-03-27T00:00:00"/>
    <x v="0"/>
    <x v="1"/>
    <x v="0"/>
    <n v="46.97"/>
    <n v="43.98"/>
    <n v="1"/>
    <n v="54735.250000000029"/>
    <x v="0"/>
    <n v="6.7985447930877727E-2"/>
    <x v="888"/>
    <x v="1"/>
    <x v="3"/>
    <x v="1"/>
    <n v="46.97"/>
  </r>
  <r>
    <d v="2024-01-21T00:00:00"/>
    <x v="4"/>
    <x v="2"/>
    <x v="1"/>
    <n v="44.25"/>
    <n v="43.87"/>
    <n v="2"/>
    <n v="61207.979999999989"/>
    <x v="1"/>
    <n v="8.6619557784363473E-3"/>
    <x v="889"/>
    <x v="1"/>
    <x v="2"/>
    <x v="0"/>
    <n v="22.125"/>
  </r>
  <r>
    <d v="2024-01-26T00:00:00"/>
    <x v="3"/>
    <x v="1"/>
    <x v="1"/>
    <n v="111.65"/>
    <n v="7.49"/>
    <n v="0"/>
    <n v="61207.979999999989"/>
    <x v="1"/>
    <n v="13.906542056074768"/>
    <x v="890"/>
    <x v="0"/>
    <x v="2"/>
    <x v="0"/>
    <n v="0"/>
  </r>
  <r>
    <d v="2024-04-20T00:00:00"/>
    <x v="0"/>
    <x v="1"/>
    <x v="0"/>
    <n v="67.37"/>
    <n v="3.05"/>
    <n v="1"/>
    <n v="58562.910000000018"/>
    <x v="1"/>
    <n v="21.088524590163939"/>
    <x v="891"/>
    <x v="0"/>
    <x v="1"/>
    <x v="1"/>
    <n v="67.37"/>
  </r>
  <r>
    <d v="2024-04-20T00:00:00"/>
    <x v="2"/>
    <x v="2"/>
    <x v="1"/>
    <n v="152.22"/>
    <n v="4.58"/>
    <n v="2"/>
    <n v="58562.910000000018"/>
    <x v="1"/>
    <n v="32.235807860262007"/>
    <x v="892"/>
    <x v="1"/>
    <x v="1"/>
    <x v="1"/>
    <n v="76.11"/>
  </r>
  <r>
    <d v="2024-02-19T00:00:00"/>
    <x v="0"/>
    <x v="0"/>
    <x v="0"/>
    <n v="188.82"/>
    <n v="43.47"/>
    <n v="0"/>
    <n v="48675.899999999936"/>
    <x v="0"/>
    <n v="3.3436853002070395"/>
    <x v="893"/>
    <x v="0"/>
    <x v="0"/>
    <x v="0"/>
    <n v="0"/>
  </r>
  <r>
    <d v="2024-02-15T00:00:00"/>
    <x v="2"/>
    <x v="0"/>
    <x v="0"/>
    <n v="177.51"/>
    <n v="29.77"/>
    <n v="0"/>
    <n v="48675.899999999936"/>
    <x v="0"/>
    <n v="4.9627141417534428"/>
    <x v="894"/>
    <x v="0"/>
    <x v="0"/>
    <x v="0"/>
    <n v="0"/>
  </r>
  <r>
    <d v="2024-01-16T00:00:00"/>
    <x v="2"/>
    <x v="0"/>
    <x v="0"/>
    <n v="56.91"/>
    <n v="38.770000000000003"/>
    <n v="0"/>
    <n v="61207.979999999989"/>
    <x v="1"/>
    <n v="0.46788754191385074"/>
    <x v="895"/>
    <x v="1"/>
    <x v="2"/>
    <x v="0"/>
    <n v="0"/>
  </r>
  <r>
    <d v="2024-01-09T00:00:00"/>
    <x v="0"/>
    <x v="2"/>
    <x v="0"/>
    <n v="52.28"/>
    <n v="5.63"/>
    <n v="0"/>
    <n v="61207.979999999989"/>
    <x v="1"/>
    <n v="8.2859680284191821"/>
    <x v="896"/>
    <x v="1"/>
    <x v="2"/>
    <x v="0"/>
    <n v="0"/>
  </r>
  <r>
    <d v="2024-03-22T00:00:00"/>
    <x v="1"/>
    <x v="1"/>
    <x v="1"/>
    <n v="89.71"/>
    <n v="6.69"/>
    <n v="2"/>
    <n v="54735.250000000029"/>
    <x v="0"/>
    <n v="12.409566517189834"/>
    <x v="897"/>
    <x v="0"/>
    <x v="3"/>
    <x v="1"/>
    <n v="44.854999999999997"/>
  </r>
  <r>
    <d v="2024-01-09T00:00:00"/>
    <x v="2"/>
    <x v="0"/>
    <x v="0"/>
    <n v="192.32"/>
    <n v="39.479999999999997"/>
    <n v="2"/>
    <n v="61207.979999999989"/>
    <x v="1"/>
    <n v="3.871327254305978"/>
    <x v="898"/>
    <x v="1"/>
    <x v="2"/>
    <x v="0"/>
    <n v="96.16"/>
  </r>
  <r>
    <d v="2024-01-14T00:00:00"/>
    <x v="4"/>
    <x v="1"/>
    <x v="1"/>
    <n v="96.9"/>
    <n v="0.96"/>
    <n v="3"/>
    <n v="61207.979999999989"/>
    <x v="1"/>
    <n v="99.937500000000014"/>
    <x v="899"/>
    <x v="1"/>
    <x v="2"/>
    <x v="0"/>
    <n v="32.300000000000004"/>
  </r>
  <r>
    <d v="2024-02-12T00:00:00"/>
    <x v="1"/>
    <x v="1"/>
    <x v="0"/>
    <n v="119.66"/>
    <n v="6.65"/>
    <n v="0"/>
    <n v="48675.899999999936"/>
    <x v="0"/>
    <n v="16.993984962406014"/>
    <x v="900"/>
    <x v="1"/>
    <x v="0"/>
    <x v="0"/>
    <n v="0"/>
  </r>
  <r>
    <d v="2024-01-20T00:00:00"/>
    <x v="4"/>
    <x v="1"/>
    <x v="1"/>
    <n v="51.56"/>
    <n v="15.1"/>
    <n v="3"/>
    <n v="61207.979999999989"/>
    <x v="1"/>
    <n v="2.4145695364238411"/>
    <x v="901"/>
    <x v="1"/>
    <x v="2"/>
    <x v="0"/>
    <n v="17.186666666666667"/>
  </r>
  <r>
    <d v="2024-01-22T00:00:00"/>
    <x v="2"/>
    <x v="0"/>
    <x v="1"/>
    <n v="21.9"/>
    <n v="38.590000000000003"/>
    <n v="2"/>
    <n v="61207.979999999989"/>
    <x v="1"/>
    <n v="-0.43249546514641107"/>
    <x v="902"/>
    <x v="1"/>
    <x v="2"/>
    <x v="0"/>
    <n v="10.95"/>
  </r>
  <r>
    <d v="2024-01-19T00:00:00"/>
    <x v="2"/>
    <x v="0"/>
    <x v="1"/>
    <n v="109.62"/>
    <n v="44.6"/>
    <n v="0"/>
    <n v="61207.979999999989"/>
    <x v="1"/>
    <n v="1.4578475336322871"/>
    <x v="903"/>
    <x v="0"/>
    <x v="2"/>
    <x v="0"/>
    <n v="0"/>
  </r>
  <r>
    <d v="2024-03-17T00:00:00"/>
    <x v="1"/>
    <x v="2"/>
    <x v="0"/>
    <n v="102.47"/>
    <n v="4.13"/>
    <n v="1"/>
    <n v="54735.250000000029"/>
    <x v="0"/>
    <n v="23.811138014527845"/>
    <x v="904"/>
    <x v="1"/>
    <x v="3"/>
    <x v="1"/>
    <n v="102.47"/>
  </r>
  <r>
    <d v="2024-04-04T00:00:00"/>
    <x v="4"/>
    <x v="0"/>
    <x v="1"/>
    <n v="59.13"/>
    <n v="10.58"/>
    <n v="1"/>
    <n v="58562.910000000018"/>
    <x v="1"/>
    <n v="4.588846880907373"/>
    <x v="905"/>
    <x v="1"/>
    <x v="1"/>
    <x v="1"/>
    <n v="59.13"/>
  </r>
  <r>
    <d v="2024-01-15T00:00:00"/>
    <x v="3"/>
    <x v="2"/>
    <x v="0"/>
    <n v="126.99"/>
    <n v="12.85"/>
    <n v="2"/>
    <n v="61207.979999999989"/>
    <x v="1"/>
    <n v="8.8824902723735413"/>
    <x v="906"/>
    <x v="0"/>
    <x v="2"/>
    <x v="0"/>
    <n v="63.494999999999997"/>
  </r>
  <r>
    <d v="2024-04-08T00:00:00"/>
    <x v="3"/>
    <x v="2"/>
    <x v="0"/>
    <n v="129.74"/>
    <n v="38.18"/>
    <n v="0"/>
    <n v="58562.910000000018"/>
    <x v="1"/>
    <n v="2.3981141959140913"/>
    <x v="907"/>
    <x v="1"/>
    <x v="1"/>
    <x v="1"/>
    <n v="0"/>
  </r>
  <r>
    <d v="2024-03-31T00:00:00"/>
    <x v="2"/>
    <x v="2"/>
    <x v="0"/>
    <n v="179.51"/>
    <n v="0.46"/>
    <n v="1"/>
    <n v="54735.250000000029"/>
    <x v="0"/>
    <n v="389.23913043478257"/>
    <x v="908"/>
    <x v="1"/>
    <x v="3"/>
    <x v="1"/>
    <n v="179.51"/>
  </r>
  <r>
    <d v="2024-04-06T00:00:00"/>
    <x v="2"/>
    <x v="2"/>
    <x v="1"/>
    <n v="135.54"/>
    <n v="1.42"/>
    <n v="1"/>
    <n v="58562.910000000018"/>
    <x v="1"/>
    <n v="94.450704225352126"/>
    <x v="909"/>
    <x v="0"/>
    <x v="1"/>
    <x v="1"/>
    <n v="135.54"/>
  </r>
  <r>
    <d v="2024-04-11T00:00:00"/>
    <x v="3"/>
    <x v="2"/>
    <x v="0"/>
    <n v="98.8"/>
    <n v="9.34"/>
    <n v="0"/>
    <n v="58562.910000000018"/>
    <x v="1"/>
    <n v="9.5781584582441113"/>
    <x v="910"/>
    <x v="0"/>
    <x v="1"/>
    <x v="1"/>
    <n v="0"/>
  </r>
  <r>
    <d v="2024-01-14T00:00:00"/>
    <x v="1"/>
    <x v="0"/>
    <x v="0"/>
    <n v="20.99"/>
    <n v="28.27"/>
    <n v="1"/>
    <n v="61207.979999999989"/>
    <x v="1"/>
    <n v="-0.25751680226388401"/>
    <x v="911"/>
    <x v="0"/>
    <x v="2"/>
    <x v="0"/>
    <n v="20.99"/>
  </r>
  <r>
    <d v="2024-02-10T00:00:00"/>
    <x v="4"/>
    <x v="1"/>
    <x v="1"/>
    <n v="155.02000000000001"/>
    <n v="3.82"/>
    <n v="1"/>
    <n v="48675.899999999936"/>
    <x v="0"/>
    <n v="39.581151832460741"/>
    <x v="912"/>
    <x v="1"/>
    <x v="0"/>
    <x v="0"/>
    <n v="155.02000000000001"/>
  </r>
  <r>
    <d v="2024-04-26T00:00:00"/>
    <x v="1"/>
    <x v="0"/>
    <x v="0"/>
    <n v="104.72"/>
    <n v="21.54"/>
    <n v="0"/>
    <n v="58562.910000000018"/>
    <x v="1"/>
    <n v="3.8616527390900655"/>
    <x v="913"/>
    <x v="1"/>
    <x v="1"/>
    <x v="1"/>
    <n v="0"/>
  </r>
  <r>
    <d v="2024-01-26T00:00:00"/>
    <x v="0"/>
    <x v="1"/>
    <x v="1"/>
    <n v="102.08"/>
    <n v="39.19"/>
    <n v="3"/>
    <n v="61207.979999999989"/>
    <x v="1"/>
    <n v="1.6047461087011994"/>
    <x v="914"/>
    <x v="0"/>
    <x v="2"/>
    <x v="0"/>
    <n v="34.026666666666664"/>
  </r>
  <r>
    <d v="2024-01-01T00:00:00"/>
    <x v="2"/>
    <x v="1"/>
    <x v="0"/>
    <n v="165.52"/>
    <n v="32.479999999999997"/>
    <n v="0"/>
    <n v="61207.979999999989"/>
    <x v="1"/>
    <n v="4.0960591133004938"/>
    <x v="915"/>
    <x v="0"/>
    <x v="2"/>
    <x v="0"/>
    <n v="0"/>
  </r>
  <r>
    <d v="2024-02-18T00:00:00"/>
    <x v="4"/>
    <x v="1"/>
    <x v="1"/>
    <n v="165.06"/>
    <n v="20.23"/>
    <n v="3"/>
    <n v="48675.899999999936"/>
    <x v="0"/>
    <n v="7.1591695501730106"/>
    <x v="916"/>
    <x v="0"/>
    <x v="0"/>
    <x v="0"/>
    <n v="55.02"/>
  </r>
  <r>
    <d v="2024-01-30T00:00:00"/>
    <x v="0"/>
    <x v="2"/>
    <x v="0"/>
    <n v="138.75"/>
    <n v="5.95"/>
    <n v="1"/>
    <n v="61207.979999999989"/>
    <x v="1"/>
    <n v="22.319327731092439"/>
    <x v="917"/>
    <x v="1"/>
    <x v="2"/>
    <x v="0"/>
    <n v="138.75"/>
  </r>
  <r>
    <d v="2024-01-12T00:00:00"/>
    <x v="1"/>
    <x v="0"/>
    <x v="0"/>
    <n v="152.74"/>
    <n v="11.98"/>
    <n v="3"/>
    <n v="61207.979999999989"/>
    <x v="1"/>
    <n v="11.749582637729551"/>
    <x v="918"/>
    <x v="0"/>
    <x v="2"/>
    <x v="0"/>
    <n v="50.913333333333334"/>
  </r>
  <r>
    <d v="2024-02-10T00:00:00"/>
    <x v="2"/>
    <x v="0"/>
    <x v="0"/>
    <n v="85.16"/>
    <n v="11.32"/>
    <n v="3"/>
    <n v="48675.899999999936"/>
    <x v="0"/>
    <n v="6.5229681978798588"/>
    <x v="919"/>
    <x v="1"/>
    <x v="0"/>
    <x v="0"/>
    <n v="28.386666666666667"/>
  </r>
  <r>
    <d v="2024-03-30T00:00:00"/>
    <x v="0"/>
    <x v="0"/>
    <x v="0"/>
    <n v="163.59"/>
    <n v="19.03"/>
    <n v="3"/>
    <n v="54735.250000000029"/>
    <x v="0"/>
    <n v="7.5964266946925907"/>
    <x v="920"/>
    <x v="1"/>
    <x v="3"/>
    <x v="1"/>
    <n v="54.53"/>
  </r>
  <r>
    <d v="2024-04-11T00:00:00"/>
    <x v="0"/>
    <x v="0"/>
    <x v="1"/>
    <n v="28.44"/>
    <n v="49.38"/>
    <n v="1"/>
    <n v="58562.910000000018"/>
    <x v="1"/>
    <n v="-0.42405832320777642"/>
    <x v="921"/>
    <x v="1"/>
    <x v="1"/>
    <x v="1"/>
    <n v="28.44"/>
  </r>
  <r>
    <d v="2024-01-10T00:00:00"/>
    <x v="0"/>
    <x v="1"/>
    <x v="1"/>
    <n v="58.89"/>
    <n v="4.37"/>
    <n v="0"/>
    <n v="61207.979999999989"/>
    <x v="1"/>
    <n v="12.475972540045767"/>
    <x v="922"/>
    <x v="0"/>
    <x v="2"/>
    <x v="0"/>
    <n v="0"/>
  </r>
  <r>
    <d v="2024-03-06T00:00:00"/>
    <x v="1"/>
    <x v="0"/>
    <x v="0"/>
    <n v="83.63"/>
    <n v="11.65"/>
    <n v="3"/>
    <n v="54735.250000000029"/>
    <x v="0"/>
    <n v="6.1785407725321875"/>
    <x v="923"/>
    <x v="0"/>
    <x v="3"/>
    <x v="1"/>
    <n v="27.876666666666665"/>
  </r>
  <r>
    <d v="2024-02-08T00:00:00"/>
    <x v="4"/>
    <x v="0"/>
    <x v="1"/>
    <n v="81.87"/>
    <n v="40.409999999999997"/>
    <n v="0"/>
    <n v="48675.899999999936"/>
    <x v="0"/>
    <n v="1.0259836674090574"/>
    <x v="924"/>
    <x v="1"/>
    <x v="0"/>
    <x v="0"/>
    <n v="0"/>
  </r>
  <r>
    <d v="2024-01-15T00:00:00"/>
    <x v="1"/>
    <x v="0"/>
    <x v="0"/>
    <n v="39.950000000000003"/>
    <n v="40.51"/>
    <n v="3"/>
    <n v="61207.979999999989"/>
    <x v="1"/>
    <n v="-1.3823747222907806E-2"/>
    <x v="925"/>
    <x v="0"/>
    <x v="2"/>
    <x v="0"/>
    <n v="13.316666666666668"/>
  </r>
  <r>
    <d v="2024-02-25T00:00:00"/>
    <x v="2"/>
    <x v="1"/>
    <x v="1"/>
    <n v="132.66999999999999"/>
    <n v="49.43"/>
    <n v="0"/>
    <n v="48675.899999999936"/>
    <x v="0"/>
    <n v="1.6839975723244989"/>
    <x v="926"/>
    <x v="1"/>
    <x v="0"/>
    <x v="0"/>
    <n v="0"/>
  </r>
  <r>
    <d v="2024-02-26T00:00:00"/>
    <x v="1"/>
    <x v="0"/>
    <x v="1"/>
    <n v="69.260000000000005"/>
    <n v="47.98"/>
    <n v="3"/>
    <n v="48675.899999999936"/>
    <x v="0"/>
    <n v="0.44351813255523154"/>
    <x v="927"/>
    <x v="1"/>
    <x v="0"/>
    <x v="0"/>
    <n v="23.08666666666667"/>
  </r>
  <r>
    <d v="2024-01-15T00:00:00"/>
    <x v="4"/>
    <x v="1"/>
    <x v="0"/>
    <n v="127.86"/>
    <n v="39.85"/>
    <n v="3"/>
    <n v="61207.979999999989"/>
    <x v="1"/>
    <n v="2.208531994981179"/>
    <x v="928"/>
    <x v="0"/>
    <x v="2"/>
    <x v="0"/>
    <n v="42.62"/>
  </r>
  <r>
    <d v="2024-04-02T00:00:00"/>
    <x v="3"/>
    <x v="2"/>
    <x v="1"/>
    <n v="157.19999999999999"/>
    <n v="28.01"/>
    <n v="3"/>
    <n v="58562.910000000018"/>
    <x v="1"/>
    <n v="4.612281328097108"/>
    <x v="929"/>
    <x v="1"/>
    <x v="1"/>
    <x v="1"/>
    <n v="52.4"/>
  </r>
  <r>
    <d v="2024-04-17T00:00:00"/>
    <x v="3"/>
    <x v="2"/>
    <x v="1"/>
    <n v="137.09"/>
    <n v="22.21"/>
    <n v="1"/>
    <n v="58562.910000000018"/>
    <x v="1"/>
    <n v="5.1724448446645654"/>
    <x v="930"/>
    <x v="1"/>
    <x v="1"/>
    <x v="1"/>
    <n v="137.09"/>
  </r>
  <r>
    <d v="2024-04-10T00:00:00"/>
    <x v="4"/>
    <x v="2"/>
    <x v="0"/>
    <n v="122.26"/>
    <n v="20.96"/>
    <n v="1"/>
    <n v="58562.910000000018"/>
    <x v="1"/>
    <n v="4.8330152671755728"/>
    <x v="931"/>
    <x v="0"/>
    <x v="1"/>
    <x v="1"/>
    <n v="122.26"/>
  </r>
  <r>
    <d v="2024-02-12T00:00:00"/>
    <x v="2"/>
    <x v="1"/>
    <x v="0"/>
    <n v="112.12"/>
    <n v="46.57"/>
    <n v="2"/>
    <n v="48675.899999999936"/>
    <x v="0"/>
    <n v="1.4075585140648488"/>
    <x v="932"/>
    <x v="0"/>
    <x v="0"/>
    <x v="0"/>
    <n v="56.06"/>
  </r>
  <r>
    <d v="2024-02-03T00:00:00"/>
    <x v="3"/>
    <x v="2"/>
    <x v="1"/>
    <n v="24.15"/>
    <n v="6.72"/>
    <n v="0"/>
    <n v="48675.899999999936"/>
    <x v="0"/>
    <n v="2.59375"/>
    <x v="933"/>
    <x v="0"/>
    <x v="0"/>
    <x v="0"/>
    <n v="0"/>
  </r>
  <r>
    <d v="2024-02-05T00:00:00"/>
    <x v="3"/>
    <x v="1"/>
    <x v="1"/>
    <n v="107.82"/>
    <n v="8.0399999999999991"/>
    <n v="1"/>
    <n v="48675.899999999936"/>
    <x v="0"/>
    <n v="12.410447761194032"/>
    <x v="934"/>
    <x v="0"/>
    <x v="0"/>
    <x v="0"/>
    <n v="107.82"/>
  </r>
  <r>
    <d v="2024-02-14T00:00:00"/>
    <x v="4"/>
    <x v="1"/>
    <x v="0"/>
    <n v="91.89"/>
    <n v="1.35"/>
    <n v="1"/>
    <n v="48675.899999999936"/>
    <x v="0"/>
    <n v="67.066666666666663"/>
    <x v="935"/>
    <x v="0"/>
    <x v="0"/>
    <x v="0"/>
    <n v="91.89"/>
  </r>
  <r>
    <d v="2024-03-11T00:00:00"/>
    <x v="2"/>
    <x v="1"/>
    <x v="1"/>
    <n v="79.099999999999994"/>
    <n v="42.54"/>
    <n v="2"/>
    <n v="54735.250000000029"/>
    <x v="0"/>
    <n v="0.85942642219087906"/>
    <x v="936"/>
    <x v="1"/>
    <x v="3"/>
    <x v="1"/>
    <n v="39.549999999999997"/>
  </r>
  <r>
    <d v="2024-04-21T00:00:00"/>
    <x v="2"/>
    <x v="1"/>
    <x v="0"/>
    <n v="108.75"/>
    <n v="9"/>
    <n v="3"/>
    <n v="58562.910000000018"/>
    <x v="1"/>
    <n v="11.083333333333334"/>
    <x v="937"/>
    <x v="0"/>
    <x v="1"/>
    <x v="1"/>
    <n v="36.25"/>
  </r>
  <r>
    <d v="2024-02-22T00:00:00"/>
    <x v="2"/>
    <x v="0"/>
    <x v="1"/>
    <n v="193.08"/>
    <n v="31.77"/>
    <n v="3"/>
    <n v="48675.899999999936"/>
    <x v="0"/>
    <n v="5.0774315391879137"/>
    <x v="938"/>
    <x v="1"/>
    <x v="0"/>
    <x v="0"/>
    <n v="64.36"/>
  </r>
  <r>
    <d v="2024-03-18T00:00:00"/>
    <x v="0"/>
    <x v="1"/>
    <x v="0"/>
    <n v="188.04"/>
    <n v="34.5"/>
    <n v="0"/>
    <n v="54735.250000000029"/>
    <x v="0"/>
    <n v="4.4504347826086956"/>
    <x v="939"/>
    <x v="0"/>
    <x v="3"/>
    <x v="1"/>
    <n v="0"/>
  </r>
  <r>
    <d v="2024-02-25T00:00:00"/>
    <x v="3"/>
    <x v="1"/>
    <x v="0"/>
    <n v="24.46"/>
    <n v="41.45"/>
    <n v="0"/>
    <n v="48675.899999999936"/>
    <x v="0"/>
    <n v="-0.40989143546441498"/>
    <x v="940"/>
    <x v="0"/>
    <x v="0"/>
    <x v="0"/>
    <n v="0"/>
  </r>
  <r>
    <d v="2024-03-11T00:00:00"/>
    <x v="4"/>
    <x v="1"/>
    <x v="1"/>
    <n v="162.91"/>
    <n v="15.9"/>
    <n v="2"/>
    <n v="54735.250000000029"/>
    <x v="0"/>
    <n v="9.2459119496855333"/>
    <x v="941"/>
    <x v="0"/>
    <x v="3"/>
    <x v="1"/>
    <n v="81.454999999999998"/>
  </r>
  <r>
    <d v="2024-03-04T00:00:00"/>
    <x v="3"/>
    <x v="0"/>
    <x v="0"/>
    <n v="100.29"/>
    <n v="27.65"/>
    <n v="1"/>
    <n v="54735.250000000029"/>
    <x v="0"/>
    <n v="2.6271247739602175"/>
    <x v="942"/>
    <x v="0"/>
    <x v="3"/>
    <x v="1"/>
    <n v="100.29"/>
  </r>
  <r>
    <d v="2024-03-15T00:00:00"/>
    <x v="4"/>
    <x v="1"/>
    <x v="1"/>
    <n v="73.14"/>
    <n v="42.49"/>
    <n v="2"/>
    <n v="54735.250000000029"/>
    <x v="0"/>
    <n v="0.72134619910567188"/>
    <x v="943"/>
    <x v="1"/>
    <x v="3"/>
    <x v="1"/>
    <n v="36.57"/>
  </r>
  <r>
    <d v="2024-04-23T00:00:00"/>
    <x v="4"/>
    <x v="1"/>
    <x v="1"/>
    <n v="90.23"/>
    <n v="46.49"/>
    <n v="2"/>
    <n v="58562.910000000018"/>
    <x v="1"/>
    <n v="0.94084749408474944"/>
    <x v="944"/>
    <x v="0"/>
    <x v="1"/>
    <x v="1"/>
    <n v="45.115000000000002"/>
  </r>
  <r>
    <d v="2024-01-18T00:00:00"/>
    <x v="1"/>
    <x v="2"/>
    <x v="1"/>
    <n v="86.98"/>
    <n v="2.1800000000000002"/>
    <n v="1"/>
    <n v="61207.979999999989"/>
    <x v="1"/>
    <n v="38.899082568807337"/>
    <x v="945"/>
    <x v="1"/>
    <x v="2"/>
    <x v="0"/>
    <n v="86.98"/>
  </r>
  <r>
    <d v="2024-01-25T00:00:00"/>
    <x v="1"/>
    <x v="0"/>
    <x v="1"/>
    <n v="177.08"/>
    <n v="8.06"/>
    <n v="1"/>
    <n v="61207.979999999989"/>
    <x v="1"/>
    <n v="20.970223325062033"/>
    <x v="946"/>
    <x v="1"/>
    <x v="2"/>
    <x v="0"/>
    <n v="177.08"/>
  </r>
  <r>
    <d v="2024-01-25T00:00:00"/>
    <x v="0"/>
    <x v="0"/>
    <x v="1"/>
    <n v="93.51"/>
    <n v="13.05"/>
    <n v="2"/>
    <n v="61207.979999999989"/>
    <x v="1"/>
    <n v="6.1655172413793107"/>
    <x v="947"/>
    <x v="0"/>
    <x v="2"/>
    <x v="0"/>
    <n v="46.755000000000003"/>
  </r>
  <r>
    <d v="2024-01-27T00:00:00"/>
    <x v="1"/>
    <x v="1"/>
    <x v="1"/>
    <n v="86.73"/>
    <n v="25"/>
    <n v="1"/>
    <n v="61207.979999999989"/>
    <x v="1"/>
    <n v="2.4692000000000003"/>
    <x v="948"/>
    <x v="1"/>
    <x v="2"/>
    <x v="0"/>
    <n v="86.73"/>
  </r>
  <r>
    <d v="2024-03-30T00:00:00"/>
    <x v="1"/>
    <x v="0"/>
    <x v="0"/>
    <n v="128.62"/>
    <n v="24.48"/>
    <n v="0"/>
    <n v="54735.250000000029"/>
    <x v="0"/>
    <n v="4.254084967320261"/>
    <x v="949"/>
    <x v="1"/>
    <x v="3"/>
    <x v="1"/>
    <n v="0"/>
  </r>
  <r>
    <d v="2024-01-05T00:00:00"/>
    <x v="4"/>
    <x v="2"/>
    <x v="1"/>
    <n v="39.99"/>
    <n v="22.68"/>
    <n v="0"/>
    <n v="61207.979999999989"/>
    <x v="1"/>
    <n v="0.76322751322751337"/>
    <x v="950"/>
    <x v="1"/>
    <x v="2"/>
    <x v="0"/>
    <n v="0"/>
  </r>
  <r>
    <d v="2024-01-16T00:00:00"/>
    <x v="1"/>
    <x v="1"/>
    <x v="1"/>
    <n v="77.61"/>
    <n v="28.9"/>
    <n v="2"/>
    <n v="61207.979999999989"/>
    <x v="1"/>
    <n v="1.6854671280276818"/>
    <x v="347"/>
    <x v="1"/>
    <x v="2"/>
    <x v="0"/>
    <n v="38.805"/>
  </r>
  <r>
    <d v="2024-03-13T00:00:00"/>
    <x v="2"/>
    <x v="2"/>
    <x v="1"/>
    <n v="99.51"/>
    <n v="18.2"/>
    <n v="3"/>
    <n v="54735.250000000029"/>
    <x v="0"/>
    <n v="4.4675824175824177"/>
    <x v="951"/>
    <x v="1"/>
    <x v="3"/>
    <x v="1"/>
    <n v="33.17"/>
  </r>
  <r>
    <d v="2024-02-16T00:00:00"/>
    <x v="4"/>
    <x v="1"/>
    <x v="1"/>
    <n v="48.2"/>
    <n v="30.84"/>
    <n v="1"/>
    <n v="48675.899999999936"/>
    <x v="0"/>
    <n v="0.56290531776913111"/>
    <x v="952"/>
    <x v="0"/>
    <x v="0"/>
    <x v="0"/>
    <n v="48.2"/>
  </r>
  <r>
    <d v="2024-01-08T00:00:00"/>
    <x v="4"/>
    <x v="0"/>
    <x v="0"/>
    <n v="109.58"/>
    <n v="4.1900000000000004"/>
    <n v="3"/>
    <n v="61207.979999999989"/>
    <x v="1"/>
    <n v="25.152744630071595"/>
    <x v="953"/>
    <x v="1"/>
    <x v="2"/>
    <x v="0"/>
    <n v="36.526666666666664"/>
  </r>
  <r>
    <d v="2024-01-17T00:00:00"/>
    <x v="0"/>
    <x v="0"/>
    <x v="0"/>
    <n v="73.430000000000007"/>
    <n v="47.03"/>
    <n v="2"/>
    <n v="61207.979999999989"/>
    <x v="1"/>
    <n v="0.56134382309164377"/>
    <x v="954"/>
    <x v="0"/>
    <x v="2"/>
    <x v="0"/>
    <n v="36.715000000000003"/>
  </r>
  <r>
    <d v="2024-02-24T00:00:00"/>
    <x v="2"/>
    <x v="0"/>
    <x v="0"/>
    <n v="37.880000000000003"/>
    <n v="9.16"/>
    <n v="2"/>
    <n v="48675.899999999936"/>
    <x v="0"/>
    <n v="3.1353711790393017"/>
    <x v="955"/>
    <x v="1"/>
    <x v="0"/>
    <x v="0"/>
    <n v="18.940000000000001"/>
  </r>
  <r>
    <d v="2024-04-20T00:00:00"/>
    <x v="2"/>
    <x v="2"/>
    <x v="1"/>
    <n v="153.4"/>
    <n v="25.05"/>
    <n v="0"/>
    <n v="58562.910000000018"/>
    <x v="1"/>
    <n v="5.1237524950099793"/>
    <x v="956"/>
    <x v="0"/>
    <x v="1"/>
    <x v="1"/>
    <n v="0"/>
  </r>
  <r>
    <d v="2024-02-11T00:00:00"/>
    <x v="2"/>
    <x v="0"/>
    <x v="0"/>
    <n v="93.8"/>
    <n v="38.94"/>
    <n v="3"/>
    <n v="48675.899999999936"/>
    <x v="0"/>
    <n v="1.4088341037493581"/>
    <x v="957"/>
    <x v="1"/>
    <x v="0"/>
    <x v="0"/>
    <n v="31.266666666666666"/>
  </r>
  <r>
    <d v="2024-02-05T00:00:00"/>
    <x v="0"/>
    <x v="1"/>
    <x v="1"/>
    <n v="170.47"/>
    <n v="14.56"/>
    <n v="3"/>
    <n v="48675.899999999936"/>
    <x v="0"/>
    <n v="10.708104395604394"/>
    <x v="958"/>
    <x v="1"/>
    <x v="0"/>
    <x v="0"/>
    <n v="56.823333333333331"/>
  </r>
  <r>
    <d v="2024-03-31T00:00:00"/>
    <x v="3"/>
    <x v="2"/>
    <x v="0"/>
    <n v="151.52000000000001"/>
    <n v="41.58"/>
    <n v="0"/>
    <n v="54735.250000000029"/>
    <x v="0"/>
    <n v="2.6440596440596447"/>
    <x v="959"/>
    <x v="0"/>
    <x v="3"/>
    <x v="1"/>
    <n v="0"/>
  </r>
  <r>
    <d v="2024-03-16T00:00:00"/>
    <x v="4"/>
    <x v="2"/>
    <x v="1"/>
    <n v="161.08000000000001"/>
    <n v="45.18"/>
    <n v="3"/>
    <n v="54735.250000000029"/>
    <x v="0"/>
    <n v="2.5652943780433821"/>
    <x v="960"/>
    <x v="1"/>
    <x v="3"/>
    <x v="1"/>
    <n v="53.693333333333335"/>
  </r>
  <r>
    <d v="2024-01-22T00:00:00"/>
    <x v="2"/>
    <x v="1"/>
    <x v="0"/>
    <n v="110.18"/>
    <n v="34.75"/>
    <n v="2"/>
    <n v="61207.979999999989"/>
    <x v="1"/>
    <n v="2.1706474820143886"/>
    <x v="961"/>
    <x v="0"/>
    <x v="2"/>
    <x v="0"/>
    <n v="55.09"/>
  </r>
  <r>
    <d v="2024-01-09T00:00:00"/>
    <x v="0"/>
    <x v="2"/>
    <x v="1"/>
    <n v="183.38"/>
    <n v="49.35"/>
    <n v="3"/>
    <n v="61207.979999999989"/>
    <x v="1"/>
    <n v="2.7159067882472137"/>
    <x v="962"/>
    <x v="0"/>
    <x v="2"/>
    <x v="0"/>
    <n v="61.126666666666665"/>
  </r>
  <r>
    <d v="2024-04-14T00:00:00"/>
    <x v="1"/>
    <x v="1"/>
    <x v="0"/>
    <n v="38"/>
    <n v="29.63"/>
    <n v="3"/>
    <n v="58562.910000000018"/>
    <x v="1"/>
    <n v="0.28248396895038819"/>
    <x v="963"/>
    <x v="1"/>
    <x v="1"/>
    <x v="1"/>
    <n v="12.666666666666666"/>
  </r>
  <r>
    <d v="2024-03-28T00:00:00"/>
    <x v="2"/>
    <x v="2"/>
    <x v="0"/>
    <n v="162.91"/>
    <n v="32.6"/>
    <n v="1"/>
    <n v="54735.250000000029"/>
    <x v="0"/>
    <n v="3.9972392638036807"/>
    <x v="964"/>
    <x v="1"/>
    <x v="3"/>
    <x v="1"/>
    <n v="162.91"/>
  </r>
  <r>
    <d v="2024-02-29T00:00:00"/>
    <x v="1"/>
    <x v="1"/>
    <x v="0"/>
    <n v="143.43"/>
    <n v="7.46"/>
    <n v="3"/>
    <n v="48675.899999999936"/>
    <x v="0"/>
    <n v="18.226541554959784"/>
    <x v="965"/>
    <x v="1"/>
    <x v="0"/>
    <x v="0"/>
    <n v="47.81"/>
  </r>
  <r>
    <d v="2024-03-28T00:00:00"/>
    <x v="4"/>
    <x v="1"/>
    <x v="1"/>
    <n v="149.69999999999999"/>
    <n v="7.84"/>
    <n v="3"/>
    <n v="54735.250000000029"/>
    <x v="0"/>
    <n v="18.094387755102041"/>
    <x v="966"/>
    <x v="1"/>
    <x v="3"/>
    <x v="1"/>
    <n v="49.9"/>
  </r>
  <r>
    <d v="2024-01-08T00:00:00"/>
    <x v="4"/>
    <x v="0"/>
    <x v="0"/>
    <n v="89.91"/>
    <n v="6.35"/>
    <n v="3"/>
    <n v="61207.979999999989"/>
    <x v="1"/>
    <n v="13.159055118110237"/>
    <x v="967"/>
    <x v="1"/>
    <x v="2"/>
    <x v="0"/>
    <n v="29.97"/>
  </r>
  <r>
    <d v="2024-03-20T00:00:00"/>
    <x v="1"/>
    <x v="0"/>
    <x v="0"/>
    <n v="97.69"/>
    <n v="10.49"/>
    <n v="0"/>
    <n v="54735.250000000029"/>
    <x v="0"/>
    <n v="8.312678741658722"/>
    <x v="968"/>
    <x v="0"/>
    <x v="3"/>
    <x v="1"/>
    <n v="0"/>
  </r>
  <r>
    <d v="2024-01-17T00:00:00"/>
    <x v="4"/>
    <x v="0"/>
    <x v="1"/>
    <n v="126.98"/>
    <n v="23.91"/>
    <n v="0"/>
    <n v="61207.979999999989"/>
    <x v="1"/>
    <n v="4.3107486407360938"/>
    <x v="969"/>
    <x v="0"/>
    <x v="2"/>
    <x v="0"/>
    <n v="0"/>
  </r>
  <r>
    <d v="2024-03-18T00:00:00"/>
    <x v="4"/>
    <x v="2"/>
    <x v="0"/>
    <n v="114.1"/>
    <n v="19.309999999999999"/>
    <n v="3"/>
    <n v="54735.250000000029"/>
    <x v="0"/>
    <n v="4.9088555152770583"/>
    <x v="970"/>
    <x v="1"/>
    <x v="3"/>
    <x v="1"/>
    <n v="38.033333333333331"/>
  </r>
  <r>
    <d v="2024-03-21T00:00:00"/>
    <x v="4"/>
    <x v="2"/>
    <x v="0"/>
    <n v="45.78"/>
    <n v="25.7"/>
    <n v="0"/>
    <n v="54735.250000000029"/>
    <x v="0"/>
    <n v="0.78132295719844369"/>
    <x v="971"/>
    <x v="1"/>
    <x v="3"/>
    <x v="1"/>
    <n v="0"/>
  </r>
  <r>
    <d v="2024-02-28T00:00:00"/>
    <x v="3"/>
    <x v="0"/>
    <x v="1"/>
    <n v="53.87"/>
    <n v="35.46"/>
    <n v="0"/>
    <n v="48675.899999999936"/>
    <x v="0"/>
    <n v="0.51917653694303434"/>
    <x v="972"/>
    <x v="0"/>
    <x v="0"/>
    <x v="0"/>
    <n v="0"/>
  </r>
  <r>
    <d v="2024-01-15T00:00:00"/>
    <x v="1"/>
    <x v="0"/>
    <x v="1"/>
    <n v="175.52"/>
    <n v="38.369999999999997"/>
    <n v="3"/>
    <n v="61207.979999999989"/>
    <x v="1"/>
    <n v="3.5744070888715145"/>
    <x v="973"/>
    <x v="0"/>
    <x v="2"/>
    <x v="0"/>
    <n v="58.506666666666668"/>
  </r>
  <r>
    <d v="2024-03-02T00:00:00"/>
    <x v="4"/>
    <x v="0"/>
    <x v="0"/>
    <n v="177.33"/>
    <n v="43.17"/>
    <n v="0"/>
    <n v="54735.250000000029"/>
    <x v="0"/>
    <n v="3.1077136900625439"/>
    <x v="974"/>
    <x v="1"/>
    <x v="3"/>
    <x v="1"/>
    <n v="0"/>
  </r>
  <r>
    <d v="2024-03-25T00:00:00"/>
    <x v="1"/>
    <x v="0"/>
    <x v="0"/>
    <n v="50.18"/>
    <n v="1.75"/>
    <n v="1"/>
    <n v="54735.250000000029"/>
    <x v="0"/>
    <n v="27.674285714285713"/>
    <x v="975"/>
    <x v="0"/>
    <x v="3"/>
    <x v="1"/>
    <n v="50.18"/>
  </r>
  <r>
    <d v="2024-04-28T00:00:00"/>
    <x v="1"/>
    <x v="2"/>
    <x v="0"/>
    <n v="121.62"/>
    <n v="44.82"/>
    <n v="2"/>
    <n v="58562.910000000018"/>
    <x v="1"/>
    <n v="1.7135207496653282"/>
    <x v="976"/>
    <x v="0"/>
    <x v="1"/>
    <x v="1"/>
    <n v="60.81"/>
  </r>
  <r>
    <d v="2024-03-19T00:00:00"/>
    <x v="1"/>
    <x v="1"/>
    <x v="1"/>
    <n v="160.74"/>
    <n v="35.56"/>
    <n v="0"/>
    <n v="54735.250000000029"/>
    <x v="0"/>
    <n v="3.5202474690663665"/>
    <x v="977"/>
    <x v="0"/>
    <x v="3"/>
    <x v="1"/>
    <n v="0"/>
  </r>
  <r>
    <d v="2024-03-01T00:00:00"/>
    <x v="1"/>
    <x v="1"/>
    <x v="0"/>
    <n v="93.95"/>
    <n v="37.869999999999997"/>
    <n v="3"/>
    <n v="54735.250000000029"/>
    <x v="0"/>
    <n v="1.4808555584895697"/>
    <x v="978"/>
    <x v="1"/>
    <x v="3"/>
    <x v="1"/>
    <n v="31.316666666666666"/>
  </r>
  <r>
    <d v="2024-04-30T00:00:00"/>
    <x v="1"/>
    <x v="1"/>
    <x v="0"/>
    <n v="78.260000000000005"/>
    <n v="35.58"/>
    <n v="0"/>
    <n v="58562.910000000018"/>
    <x v="1"/>
    <n v="1.1995503091624511"/>
    <x v="979"/>
    <x v="0"/>
    <x v="1"/>
    <x v="1"/>
    <n v="0"/>
  </r>
  <r>
    <d v="2024-02-10T00:00:00"/>
    <x v="4"/>
    <x v="2"/>
    <x v="1"/>
    <n v="86.6"/>
    <n v="39.43"/>
    <n v="1"/>
    <n v="48675.899999999936"/>
    <x v="0"/>
    <n v="1.1962972356074053"/>
    <x v="980"/>
    <x v="1"/>
    <x v="0"/>
    <x v="0"/>
    <n v="86.6"/>
  </r>
  <r>
    <d v="2024-03-21T00:00:00"/>
    <x v="3"/>
    <x v="0"/>
    <x v="0"/>
    <n v="156.87"/>
    <n v="38.29"/>
    <n v="2"/>
    <n v="54735.250000000029"/>
    <x v="0"/>
    <n v="3.0968921389396713"/>
    <x v="981"/>
    <x v="0"/>
    <x v="3"/>
    <x v="1"/>
    <n v="78.435000000000002"/>
  </r>
  <r>
    <d v="2024-02-11T00:00:00"/>
    <x v="4"/>
    <x v="1"/>
    <x v="0"/>
    <n v="27.1"/>
    <n v="44.88"/>
    <n v="1"/>
    <n v="48675.899999999936"/>
    <x v="0"/>
    <n v="-0.39616755793226383"/>
    <x v="982"/>
    <x v="0"/>
    <x v="0"/>
    <x v="0"/>
    <n v="27.1"/>
  </r>
  <r>
    <d v="2024-02-05T00:00:00"/>
    <x v="3"/>
    <x v="1"/>
    <x v="0"/>
    <n v="188.35"/>
    <n v="16.489999999999998"/>
    <n v="0"/>
    <n v="48675.899999999936"/>
    <x v="0"/>
    <n v="10.422073984232869"/>
    <x v="983"/>
    <x v="1"/>
    <x v="0"/>
    <x v="0"/>
    <n v="0"/>
  </r>
  <r>
    <d v="2024-04-25T00:00:00"/>
    <x v="1"/>
    <x v="2"/>
    <x v="1"/>
    <n v="154"/>
    <n v="1.93"/>
    <n v="1"/>
    <n v="58562.910000000018"/>
    <x v="1"/>
    <n v="78.792746113989637"/>
    <x v="984"/>
    <x v="0"/>
    <x v="1"/>
    <x v="1"/>
    <n v="154"/>
  </r>
  <r>
    <d v="2024-03-29T00:00:00"/>
    <x v="2"/>
    <x v="0"/>
    <x v="1"/>
    <n v="111.95"/>
    <n v="34.54"/>
    <n v="0"/>
    <n v="54735.250000000029"/>
    <x v="0"/>
    <n v="2.2411696583671104"/>
    <x v="985"/>
    <x v="1"/>
    <x v="3"/>
    <x v="1"/>
    <n v="0"/>
  </r>
  <r>
    <d v="2024-03-29T00:00:00"/>
    <x v="1"/>
    <x v="0"/>
    <x v="0"/>
    <n v="42.65"/>
    <n v="23.49"/>
    <n v="2"/>
    <n v="54735.250000000029"/>
    <x v="0"/>
    <n v="0.8156662409535973"/>
    <x v="986"/>
    <x v="1"/>
    <x v="3"/>
    <x v="1"/>
    <n v="21.324999999999999"/>
  </r>
  <r>
    <d v="2024-02-25T00:00:00"/>
    <x v="4"/>
    <x v="1"/>
    <x v="1"/>
    <n v="33.86"/>
    <n v="10.55"/>
    <n v="1"/>
    <n v="48675.899999999936"/>
    <x v="0"/>
    <n v="2.2094786729857816"/>
    <x v="987"/>
    <x v="1"/>
    <x v="0"/>
    <x v="0"/>
    <n v="33.86"/>
  </r>
  <r>
    <d v="2024-02-25T00:00:00"/>
    <x v="3"/>
    <x v="2"/>
    <x v="0"/>
    <n v="147.6"/>
    <n v="33.17"/>
    <n v="2"/>
    <n v="48675.899999999936"/>
    <x v="0"/>
    <n v="3.4498040397949952"/>
    <x v="988"/>
    <x v="0"/>
    <x v="0"/>
    <x v="0"/>
    <n v="73.8"/>
  </r>
  <r>
    <d v="2024-01-14T00:00:00"/>
    <x v="4"/>
    <x v="2"/>
    <x v="0"/>
    <n v="78.14"/>
    <n v="20.98"/>
    <n v="3"/>
    <n v="61207.979999999989"/>
    <x v="1"/>
    <n v="2.7244995233555764"/>
    <x v="236"/>
    <x v="1"/>
    <x v="2"/>
    <x v="0"/>
    <n v="26.046666666666667"/>
  </r>
  <r>
    <d v="2024-04-17T00:00:00"/>
    <x v="4"/>
    <x v="1"/>
    <x v="0"/>
    <n v="78.06"/>
    <n v="44.81"/>
    <n v="2"/>
    <n v="58562.910000000018"/>
    <x v="1"/>
    <n v="0.74202187011827714"/>
    <x v="989"/>
    <x v="0"/>
    <x v="1"/>
    <x v="1"/>
    <n v="39.03"/>
  </r>
  <r>
    <d v="2024-03-31T00:00:00"/>
    <x v="3"/>
    <x v="1"/>
    <x v="0"/>
    <n v="117.45"/>
    <n v="16.21"/>
    <n v="3"/>
    <n v="54735.250000000029"/>
    <x v="0"/>
    <n v="6.2455274521900064"/>
    <x v="990"/>
    <x v="0"/>
    <x v="3"/>
    <x v="1"/>
    <n v="39.15"/>
  </r>
  <r>
    <d v="2024-03-25T00:00:00"/>
    <x v="2"/>
    <x v="2"/>
    <x v="1"/>
    <n v="96.11"/>
    <n v="16.93"/>
    <n v="1"/>
    <n v="54735.250000000029"/>
    <x v="0"/>
    <n v="4.6769049025398708"/>
    <x v="991"/>
    <x v="1"/>
    <x v="3"/>
    <x v="1"/>
    <n v="96.11"/>
  </r>
  <r>
    <d v="2024-04-19T00:00:00"/>
    <x v="0"/>
    <x v="2"/>
    <x v="0"/>
    <n v="113.12"/>
    <n v="20.93"/>
    <n v="3"/>
    <n v="58562.910000000018"/>
    <x v="1"/>
    <n v="4.4046822742474916"/>
    <x v="992"/>
    <x v="0"/>
    <x v="1"/>
    <x v="1"/>
    <n v="37.706666666666671"/>
  </r>
  <r>
    <d v="2024-04-26T00:00:00"/>
    <x v="2"/>
    <x v="1"/>
    <x v="0"/>
    <n v="34.700000000000003"/>
    <n v="19.420000000000002"/>
    <n v="0"/>
    <n v="58562.910000000018"/>
    <x v="1"/>
    <n v="0.78681771369721931"/>
    <x v="993"/>
    <x v="0"/>
    <x v="1"/>
    <x v="1"/>
    <n v="0"/>
  </r>
  <r>
    <d v="2024-03-30T00:00:00"/>
    <x v="2"/>
    <x v="0"/>
    <x v="0"/>
    <n v="127.14"/>
    <n v="31.33"/>
    <n v="0"/>
    <n v="54735.250000000029"/>
    <x v="0"/>
    <n v="3.0580912863070542"/>
    <x v="994"/>
    <x v="1"/>
    <x v="3"/>
    <x v="1"/>
    <n v="0"/>
  </r>
  <r>
    <d v="2024-01-11T00:00:00"/>
    <x v="1"/>
    <x v="2"/>
    <x v="1"/>
    <n v="155.35"/>
    <n v="22.89"/>
    <n v="1"/>
    <n v="61207.979999999989"/>
    <x v="1"/>
    <n v="5.7868064657055474"/>
    <x v="995"/>
    <x v="1"/>
    <x v="2"/>
    <x v="0"/>
    <n v="155.35"/>
  </r>
  <r>
    <d v="2024-01-08T00:00:00"/>
    <x v="2"/>
    <x v="0"/>
    <x v="1"/>
    <n v="82.26"/>
    <n v="32.14"/>
    <n v="1"/>
    <n v="61207.979999999989"/>
    <x v="1"/>
    <n v="1.5594275046670816"/>
    <x v="996"/>
    <x v="1"/>
    <x v="2"/>
    <x v="0"/>
    <n v="82.26"/>
  </r>
  <r>
    <d v="2024-03-30T00:00:00"/>
    <x v="3"/>
    <x v="0"/>
    <x v="0"/>
    <n v="127.02"/>
    <n v="24"/>
    <n v="1"/>
    <n v="54735.250000000029"/>
    <x v="0"/>
    <n v="4.2924999999999995"/>
    <x v="997"/>
    <x v="0"/>
    <x v="3"/>
    <x v="1"/>
    <n v="127.02"/>
  </r>
  <r>
    <d v="2024-04-05T00:00:00"/>
    <x v="3"/>
    <x v="1"/>
    <x v="0"/>
    <n v="130.16999999999999"/>
    <n v="23.43"/>
    <n v="2"/>
    <n v="58562.910000000018"/>
    <x v="1"/>
    <n v="4.555697823303456"/>
    <x v="998"/>
    <x v="0"/>
    <x v="1"/>
    <x v="1"/>
    <n v="65.084999999999994"/>
  </r>
  <r>
    <d v="2024-04-24T00:00:00"/>
    <x v="2"/>
    <x v="2"/>
    <x v="0"/>
    <n v="134"/>
    <n v="18.91"/>
    <n v="0"/>
    <n v="58562.910000000018"/>
    <x v="1"/>
    <n v="6.0861977789529353"/>
    <x v="999"/>
    <x v="0"/>
    <x v="1"/>
    <x v="1"/>
    <n v="0"/>
  </r>
  <r>
    <d v="2024-04-08T00:00:00"/>
    <x v="4"/>
    <x v="0"/>
    <x v="1"/>
    <n v="47.98"/>
    <n v="34.35"/>
    <n v="3"/>
    <n v="58562.910000000018"/>
    <x v="1"/>
    <n v="0.39679767103347874"/>
    <x v="1000"/>
    <x v="1"/>
    <x v="1"/>
    <x v="1"/>
    <n v="15.993333333333332"/>
  </r>
  <r>
    <d v="2024-03-28T00:00:00"/>
    <x v="0"/>
    <x v="2"/>
    <x v="1"/>
    <n v="35.83"/>
    <n v="9.42"/>
    <n v="1"/>
    <n v="54735.250000000029"/>
    <x v="0"/>
    <n v="2.803609341825902"/>
    <x v="1001"/>
    <x v="1"/>
    <x v="3"/>
    <x v="1"/>
    <n v="35.83"/>
  </r>
  <r>
    <d v="2024-01-09T00:00:00"/>
    <x v="3"/>
    <x v="2"/>
    <x v="1"/>
    <n v="129.16999999999999"/>
    <n v="34.99"/>
    <n v="3"/>
    <n v="61207.979999999989"/>
    <x v="1"/>
    <n v="2.6916261789082587"/>
    <x v="1002"/>
    <x v="1"/>
    <x v="2"/>
    <x v="0"/>
    <n v="43.056666666666665"/>
  </r>
  <r>
    <d v="2024-01-15T00:00:00"/>
    <x v="1"/>
    <x v="1"/>
    <x v="1"/>
    <n v="103.13"/>
    <n v="5.23"/>
    <n v="3"/>
    <n v="61207.979999999989"/>
    <x v="1"/>
    <n v="18.7189292543021"/>
    <x v="1003"/>
    <x v="0"/>
    <x v="2"/>
    <x v="0"/>
    <n v="34.376666666666665"/>
  </r>
  <r>
    <d v="2024-01-06T00:00:00"/>
    <x v="4"/>
    <x v="1"/>
    <x v="0"/>
    <n v="89.15"/>
    <n v="48.48"/>
    <n v="3"/>
    <n v="61207.979999999989"/>
    <x v="1"/>
    <n v="0.83890264026402661"/>
    <x v="1004"/>
    <x v="1"/>
    <x v="2"/>
    <x v="0"/>
    <n v="29.716666666666669"/>
  </r>
  <r>
    <d v="2024-02-05T00:00:00"/>
    <x v="1"/>
    <x v="0"/>
    <x v="0"/>
    <n v="48.69"/>
    <n v="40.549999999999997"/>
    <n v="0"/>
    <n v="48675.899999999936"/>
    <x v="0"/>
    <n v="0.20073982737361284"/>
    <x v="1005"/>
    <x v="1"/>
    <x v="0"/>
    <x v="0"/>
    <n v="0"/>
  </r>
  <r>
    <d v="2024-01-24T00:00:00"/>
    <x v="2"/>
    <x v="0"/>
    <x v="1"/>
    <n v="69.5"/>
    <n v="47.54"/>
    <n v="0"/>
    <n v="61207.979999999989"/>
    <x v="1"/>
    <n v="0.46192679848548596"/>
    <x v="1006"/>
    <x v="1"/>
    <x v="2"/>
    <x v="0"/>
    <n v="0"/>
  </r>
  <r>
    <d v="2024-04-21T00:00:00"/>
    <x v="3"/>
    <x v="1"/>
    <x v="1"/>
    <n v="182.59"/>
    <n v="2.4500000000000002"/>
    <n v="2"/>
    <n v="58562.910000000018"/>
    <x v="1"/>
    <n v="73.526530612244898"/>
    <x v="1007"/>
    <x v="0"/>
    <x v="1"/>
    <x v="1"/>
    <n v="91.295000000000002"/>
  </r>
  <r>
    <d v="2024-01-13T00:00:00"/>
    <x v="0"/>
    <x v="0"/>
    <x v="0"/>
    <n v="191.16"/>
    <n v="46.7"/>
    <n v="1"/>
    <n v="61207.979999999989"/>
    <x v="1"/>
    <n v="3.0933618843683077"/>
    <x v="1008"/>
    <x v="1"/>
    <x v="2"/>
    <x v="0"/>
    <n v="191.16"/>
  </r>
  <r>
    <d v="2024-04-27T00:00:00"/>
    <x v="4"/>
    <x v="0"/>
    <x v="1"/>
    <n v="153.15"/>
    <n v="45.33"/>
    <n v="0"/>
    <n v="58562.910000000018"/>
    <x v="1"/>
    <n v="2.3785572468563867"/>
    <x v="1009"/>
    <x v="1"/>
    <x v="1"/>
    <x v="1"/>
    <n v="0"/>
  </r>
  <r>
    <d v="2024-02-02T00:00:00"/>
    <x v="1"/>
    <x v="1"/>
    <x v="1"/>
    <n v="34.04"/>
    <n v="6.64"/>
    <n v="1"/>
    <n v="48675.899999999936"/>
    <x v="0"/>
    <n v="4.1265060240963853"/>
    <x v="1010"/>
    <x v="1"/>
    <x v="0"/>
    <x v="0"/>
    <n v="34.04"/>
  </r>
  <r>
    <d v="2024-04-08T00:00:00"/>
    <x v="4"/>
    <x v="2"/>
    <x v="0"/>
    <n v="194.37"/>
    <n v="12.59"/>
    <n v="0"/>
    <n v="58562.910000000018"/>
    <x v="1"/>
    <n v="14.438443208895949"/>
    <x v="1011"/>
    <x v="1"/>
    <x v="1"/>
    <x v="1"/>
    <n v="0"/>
  </r>
  <r>
    <d v="2024-01-18T00:00:00"/>
    <x v="1"/>
    <x v="1"/>
    <x v="0"/>
    <n v="129.82"/>
    <n v="12.54"/>
    <n v="2"/>
    <n v="61207.979999999989"/>
    <x v="1"/>
    <n v="9.3524720893141957"/>
    <x v="1012"/>
    <x v="1"/>
    <x v="2"/>
    <x v="0"/>
    <n v="64.91"/>
  </r>
  <r>
    <d v="2024-01-14T00:00:00"/>
    <x v="2"/>
    <x v="1"/>
    <x v="1"/>
    <n v="63.57"/>
    <n v="21.09"/>
    <n v="1"/>
    <n v="61207.979999999989"/>
    <x v="1"/>
    <n v="2.0142247510668567"/>
    <x v="1013"/>
    <x v="0"/>
    <x v="2"/>
    <x v="0"/>
    <n v="63.57"/>
  </r>
  <r>
    <d v="2024-03-04T00:00:00"/>
    <x v="3"/>
    <x v="2"/>
    <x v="0"/>
    <n v="120.8"/>
    <n v="1.1499999999999999"/>
    <n v="0"/>
    <n v="54735.250000000029"/>
    <x v="0"/>
    <n v="104.04347826086956"/>
    <x v="1014"/>
    <x v="0"/>
    <x v="3"/>
    <x v="1"/>
    <n v="0"/>
  </r>
  <r>
    <d v="2024-03-11T00:00:00"/>
    <x v="1"/>
    <x v="0"/>
    <x v="1"/>
    <n v="166.87"/>
    <n v="23.28"/>
    <n v="0"/>
    <n v="54735.250000000029"/>
    <x v="0"/>
    <n v="6.1679553264604809"/>
    <x v="1015"/>
    <x v="1"/>
    <x v="3"/>
    <x v="1"/>
    <n v="0"/>
  </r>
  <r>
    <d v="2024-02-03T00:00:00"/>
    <x v="3"/>
    <x v="1"/>
    <x v="0"/>
    <n v="168.88"/>
    <n v="13.78"/>
    <n v="1"/>
    <n v="48675.899999999936"/>
    <x v="0"/>
    <n v="11.255442670537009"/>
    <x v="1016"/>
    <x v="1"/>
    <x v="0"/>
    <x v="0"/>
    <n v="168.88"/>
  </r>
  <r>
    <d v="2024-03-16T00:00:00"/>
    <x v="2"/>
    <x v="2"/>
    <x v="1"/>
    <n v="197.74"/>
    <n v="3.84"/>
    <n v="0"/>
    <n v="54735.250000000029"/>
    <x v="0"/>
    <n v="50.494791666666671"/>
    <x v="1017"/>
    <x v="0"/>
    <x v="3"/>
    <x v="1"/>
    <n v="0"/>
  </r>
  <r>
    <d v="2024-01-07T00:00:00"/>
    <x v="4"/>
    <x v="1"/>
    <x v="1"/>
    <n v="64.52"/>
    <n v="1.43"/>
    <n v="2"/>
    <n v="61207.979999999989"/>
    <x v="1"/>
    <n v="44.11888111888112"/>
    <x v="1018"/>
    <x v="1"/>
    <x v="2"/>
    <x v="0"/>
    <n v="32.26"/>
  </r>
  <r>
    <d v="2024-02-05T00:00:00"/>
    <x v="3"/>
    <x v="0"/>
    <x v="0"/>
    <n v="130.08000000000001"/>
    <n v="48.25"/>
    <n v="2"/>
    <n v="48675.899999999936"/>
    <x v="0"/>
    <n v="1.6959585492227982"/>
    <x v="1019"/>
    <x v="0"/>
    <x v="0"/>
    <x v="0"/>
    <n v="65.040000000000006"/>
  </r>
  <r>
    <d v="2024-01-16T00:00:00"/>
    <x v="4"/>
    <x v="0"/>
    <x v="1"/>
    <n v="161.97"/>
    <n v="41.79"/>
    <n v="3"/>
    <n v="61207.979999999989"/>
    <x v="1"/>
    <n v="2.8758076094759515"/>
    <x v="1020"/>
    <x v="0"/>
    <x v="2"/>
    <x v="0"/>
    <n v="53.99"/>
  </r>
  <r>
    <d v="2024-03-30T00:00:00"/>
    <x v="0"/>
    <x v="2"/>
    <x v="1"/>
    <n v="142.83000000000001"/>
    <n v="38.47"/>
    <n v="2"/>
    <n v="54735.250000000029"/>
    <x v="0"/>
    <n v="2.7127631920977389"/>
    <x v="1021"/>
    <x v="1"/>
    <x v="3"/>
    <x v="1"/>
    <n v="71.415000000000006"/>
  </r>
  <r>
    <d v="2024-04-11T00:00:00"/>
    <x v="4"/>
    <x v="1"/>
    <x v="1"/>
    <n v="116.06"/>
    <n v="40.299999999999997"/>
    <n v="2"/>
    <n v="58562.910000000018"/>
    <x v="1"/>
    <n v="1.8799007444168736"/>
    <x v="1022"/>
    <x v="1"/>
    <x v="1"/>
    <x v="1"/>
    <n v="58.03"/>
  </r>
  <r>
    <d v="2024-02-02T00:00:00"/>
    <x v="2"/>
    <x v="0"/>
    <x v="1"/>
    <n v="71.739999999999995"/>
    <n v="30.38"/>
    <n v="1"/>
    <n v="48675.899999999936"/>
    <x v="0"/>
    <n v="1.3614219881500988"/>
    <x v="1023"/>
    <x v="1"/>
    <x v="0"/>
    <x v="0"/>
    <n v="71.739999999999995"/>
  </r>
  <r>
    <d v="2024-04-24T00:00:00"/>
    <x v="2"/>
    <x v="2"/>
    <x v="1"/>
    <n v="143.22"/>
    <n v="11.17"/>
    <n v="0"/>
    <n v="58562.910000000018"/>
    <x v="1"/>
    <n v="11.821844225604298"/>
    <x v="1024"/>
    <x v="0"/>
    <x v="1"/>
    <x v="1"/>
    <n v="0"/>
  </r>
  <r>
    <d v="2024-02-24T00:00:00"/>
    <x v="2"/>
    <x v="0"/>
    <x v="1"/>
    <n v="63.22"/>
    <n v="45.01"/>
    <n v="3"/>
    <n v="48675.899999999936"/>
    <x v="0"/>
    <n v="0.40457676071984006"/>
    <x v="1025"/>
    <x v="1"/>
    <x v="0"/>
    <x v="0"/>
    <n v="21.073333333333334"/>
  </r>
  <r>
    <d v="2024-01-02T00:00:00"/>
    <x v="2"/>
    <x v="1"/>
    <x v="1"/>
    <n v="150.91"/>
    <n v="33.97"/>
    <n v="0"/>
    <n v="61207.979999999989"/>
    <x v="1"/>
    <n v="3.4424492198999119"/>
    <x v="1026"/>
    <x v="1"/>
    <x v="2"/>
    <x v="0"/>
    <n v="0"/>
  </r>
  <r>
    <d v="2024-03-07T00:00:00"/>
    <x v="3"/>
    <x v="2"/>
    <x v="1"/>
    <n v="71.010000000000005"/>
    <n v="0.26"/>
    <n v="0"/>
    <n v="54735.250000000029"/>
    <x v="0"/>
    <n v="272.11538461538458"/>
    <x v="1027"/>
    <x v="1"/>
    <x v="3"/>
    <x v="1"/>
    <n v="0"/>
  </r>
  <r>
    <d v="2024-01-04T00:00:00"/>
    <x v="1"/>
    <x v="0"/>
    <x v="1"/>
    <n v="115.37"/>
    <n v="26.52"/>
    <n v="0"/>
    <n v="61207.979999999989"/>
    <x v="1"/>
    <n v="3.3503016591251891"/>
    <x v="1028"/>
    <x v="0"/>
    <x v="2"/>
    <x v="0"/>
    <n v="0"/>
  </r>
  <r>
    <d v="2024-03-14T00:00:00"/>
    <x v="3"/>
    <x v="2"/>
    <x v="1"/>
    <n v="126.54"/>
    <n v="8.06"/>
    <n v="1"/>
    <n v="54735.250000000029"/>
    <x v="0"/>
    <n v="14.699751861042182"/>
    <x v="1029"/>
    <x v="1"/>
    <x v="3"/>
    <x v="1"/>
    <n v="126.54"/>
  </r>
  <r>
    <d v="2024-03-04T00:00:00"/>
    <x v="3"/>
    <x v="0"/>
    <x v="1"/>
    <n v="120.52"/>
    <n v="29.41"/>
    <n v="3"/>
    <n v="54735.250000000029"/>
    <x v="0"/>
    <n v="3.0979258755525332"/>
    <x v="1030"/>
    <x v="1"/>
    <x v="3"/>
    <x v="1"/>
    <n v="40.173333333333332"/>
  </r>
  <r>
    <d v="2024-04-15T00:00:00"/>
    <x v="2"/>
    <x v="2"/>
    <x v="1"/>
    <n v="37.64"/>
    <n v="33.58"/>
    <n v="2"/>
    <n v="58562.910000000018"/>
    <x v="1"/>
    <n v="0.12090530077427047"/>
    <x v="1031"/>
    <x v="1"/>
    <x v="1"/>
    <x v="1"/>
    <n v="18.82"/>
  </r>
  <r>
    <d v="2024-02-20T00:00:00"/>
    <x v="4"/>
    <x v="0"/>
    <x v="1"/>
    <n v="45.3"/>
    <n v="28.1"/>
    <n v="1"/>
    <n v="48675.899999999936"/>
    <x v="0"/>
    <n v="0.61209964412811368"/>
    <x v="1032"/>
    <x v="1"/>
    <x v="0"/>
    <x v="0"/>
    <n v="45.3"/>
  </r>
  <r>
    <d v="2024-04-28T00:00:00"/>
    <x v="2"/>
    <x v="1"/>
    <x v="1"/>
    <n v="97.57"/>
    <n v="41.17"/>
    <n v="0"/>
    <n v="58562.910000000018"/>
    <x v="1"/>
    <n v="1.3699295603594848"/>
    <x v="1033"/>
    <x v="0"/>
    <x v="1"/>
    <x v="1"/>
    <n v="0"/>
  </r>
  <r>
    <d v="2024-04-26T00:00:00"/>
    <x v="0"/>
    <x v="1"/>
    <x v="1"/>
    <n v="161.13"/>
    <n v="3.68"/>
    <n v="3"/>
    <n v="58562.910000000018"/>
    <x v="1"/>
    <n v="42.785326086956516"/>
    <x v="1034"/>
    <x v="1"/>
    <x v="1"/>
    <x v="1"/>
    <n v="53.71"/>
  </r>
  <r>
    <d v="2024-04-07T00:00:00"/>
    <x v="2"/>
    <x v="1"/>
    <x v="0"/>
    <n v="176.88"/>
    <n v="28.75"/>
    <n v="3"/>
    <n v="58562.910000000018"/>
    <x v="1"/>
    <n v="5.152347826086956"/>
    <x v="1035"/>
    <x v="0"/>
    <x v="1"/>
    <x v="1"/>
    <n v="58.96"/>
  </r>
  <r>
    <d v="2024-03-26T00:00:00"/>
    <x v="4"/>
    <x v="1"/>
    <x v="1"/>
    <n v="125.81"/>
    <n v="32.22"/>
    <n v="0"/>
    <n v="54735.250000000029"/>
    <x v="0"/>
    <n v="2.9047175667287402"/>
    <x v="1036"/>
    <x v="1"/>
    <x v="3"/>
    <x v="1"/>
    <n v="0"/>
  </r>
  <r>
    <d v="2024-02-09T00:00:00"/>
    <x v="3"/>
    <x v="1"/>
    <x v="1"/>
    <n v="55.51"/>
    <n v="48.94"/>
    <n v="3"/>
    <n v="48675.899999999936"/>
    <x v="0"/>
    <n v="0.13424601552921947"/>
    <x v="1037"/>
    <x v="0"/>
    <x v="0"/>
    <x v="0"/>
    <n v="18.503333333333334"/>
  </r>
  <r>
    <d v="2024-02-05T00:00:00"/>
    <x v="1"/>
    <x v="0"/>
    <x v="1"/>
    <n v="129.4"/>
    <n v="29.29"/>
    <n v="0"/>
    <n v="48675.899999999936"/>
    <x v="0"/>
    <n v="3.4178900648685562"/>
    <x v="1038"/>
    <x v="0"/>
    <x v="0"/>
    <x v="0"/>
    <n v="0"/>
  </r>
  <r>
    <d v="2024-03-16T00:00:00"/>
    <x v="0"/>
    <x v="2"/>
    <x v="0"/>
    <n v="104.31"/>
    <n v="31.4"/>
    <n v="2"/>
    <n v="54735.250000000029"/>
    <x v="0"/>
    <n v="2.3219745222929937"/>
    <x v="1039"/>
    <x v="0"/>
    <x v="3"/>
    <x v="1"/>
    <n v="52.155000000000001"/>
  </r>
  <r>
    <d v="2024-04-27T00:00:00"/>
    <x v="0"/>
    <x v="2"/>
    <x v="1"/>
    <n v="86.94"/>
    <n v="33.65"/>
    <n v="2"/>
    <n v="58562.910000000018"/>
    <x v="1"/>
    <n v="1.5836552748885588"/>
    <x v="1040"/>
    <x v="0"/>
    <x v="1"/>
    <x v="1"/>
    <n v="43.47"/>
  </r>
  <r>
    <d v="2024-01-03T00:00:00"/>
    <x v="3"/>
    <x v="2"/>
    <x v="0"/>
    <n v="169.96"/>
    <n v="48.28"/>
    <n v="1"/>
    <n v="61207.979999999989"/>
    <x v="1"/>
    <n v="2.5202982601491302"/>
    <x v="1041"/>
    <x v="0"/>
    <x v="2"/>
    <x v="0"/>
    <n v="169.96"/>
  </r>
  <r>
    <d v="2024-03-13T00:00:00"/>
    <x v="2"/>
    <x v="0"/>
    <x v="0"/>
    <n v="73.48"/>
    <n v="1.45"/>
    <n v="3"/>
    <n v="54735.250000000029"/>
    <x v="0"/>
    <n v="49.675862068965522"/>
    <x v="1042"/>
    <x v="0"/>
    <x v="3"/>
    <x v="1"/>
    <n v="24.493333333333336"/>
  </r>
  <r>
    <d v="2024-03-20T00:00:00"/>
    <x v="1"/>
    <x v="0"/>
    <x v="1"/>
    <n v="77.3"/>
    <n v="36.409999999999997"/>
    <n v="2"/>
    <n v="54735.250000000029"/>
    <x v="0"/>
    <n v="1.1230431200219722"/>
    <x v="1043"/>
    <x v="1"/>
    <x v="3"/>
    <x v="1"/>
    <n v="38.65"/>
  </r>
  <r>
    <d v="2024-02-13T00:00:00"/>
    <x v="2"/>
    <x v="1"/>
    <x v="1"/>
    <n v="188.61"/>
    <n v="38.28"/>
    <n v="1"/>
    <n v="48675.899999999936"/>
    <x v="0"/>
    <n v="3.9271159874608155"/>
    <x v="1044"/>
    <x v="1"/>
    <x v="0"/>
    <x v="0"/>
    <n v="188.61"/>
  </r>
  <r>
    <d v="2024-03-01T00:00:00"/>
    <x v="0"/>
    <x v="2"/>
    <x v="1"/>
    <n v="111.16"/>
    <n v="3.33"/>
    <n v="3"/>
    <n v="54735.250000000029"/>
    <x v="0"/>
    <n v="32.381381381381381"/>
    <x v="1045"/>
    <x v="1"/>
    <x v="3"/>
    <x v="1"/>
    <n v="37.053333333333335"/>
  </r>
  <r>
    <d v="2024-01-03T00:00:00"/>
    <x v="2"/>
    <x v="0"/>
    <x v="0"/>
    <n v="176.54"/>
    <n v="5.94"/>
    <n v="1"/>
    <n v="61207.979999999989"/>
    <x v="1"/>
    <n v="28.720538720538716"/>
    <x v="1046"/>
    <x v="0"/>
    <x v="2"/>
    <x v="0"/>
    <n v="176.54"/>
  </r>
  <r>
    <d v="2024-03-12T00:00:00"/>
    <x v="0"/>
    <x v="1"/>
    <x v="1"/>
    <n v="74.28"/>
    <n v="13.09"/>
    <n v="2"/>
    <n v="54735.250000000029"/>
    <x v="0"/>
    <n v="4.6745607333842623"/>
    <x v="1047"/>
    <x v="1"/>
    <x v="3"/>
    <x v="1"/>
    <n v="37.14"/>
  </r>
  <r>
    <d v="2024-03-12T00:00:00"/>
    <x v="3"/>
    <x v="0"/>
    <x v="0"/>
    <n v="46.67"/>
    <n v="32.76"/>
    <n v="1"/>
    <n v="54735.250000000029"/>
    <x v="0"/>
    <n v="0.42460317460317476"/>
    <x v="1048"/>
    <x v="1"/>
    <x v="3"/>
    <x v="1"/>
    <n v="46.67"/>
  </r>
  <r>
    <d v="2024-01-01T00:00:00"/>
    <x v="4"/>
    <x v="1"/>
    <x v="0"/>
    <n v="112.85"/>
    <n v="41.48"/>
    <n v="2"/>
    <n v="61207.979999999989"/>
    <x v="1"/>
    <n v="1.720588235294118"/>
    <x v="1049"/>
    <x v="0"/>
    <x v="2"/>
    <x v="0"/>
    <n v="56.424999999999997"/>
  </r>
  <r>
    <d v="2024-01-16T00:00:00"/>
    <x v="2"/>
    <x v="0"/>
    <x v="1"/>
    <n v="109.14"/>
    <n v="2.5"/>
    <n v="0"/>
    <n v="61207.979999999989"/>
    <x v="1"/>
    <n v="42.655999999999999"/>
    <x v="1050"/>
    <x v="1"/>
    <x v="2"/>
    <x v="0"/>
    <n v="0"/>
  </r>
  <r>
    <d v="2024-02-25T00:00:00"/>
    <x v="0"/>
    <x v="1"/>
    <x v="0"/>
    <n v="170.33"/>
    <n v="18.14"/>
    <n v="1"/>
    <n v="48675.899999999936"/>
    <x v="0"/>
    <n v="8.3897464167585447"/>
    <x v="1051"/>
    <x v="0"/>
    <x v="0"/>
    <x v="0"/>
    <n v="170.33"/>
  </r>
  <r>
    <d v="2024-04-19T00:00:00"/>
    <x v="2"/>
    <x v="2"/>
    <x v="1"/>
    <n v="49.54"/>
    <n v="33.340000000000003"/>
    <n v="2"/>
    <n v="58562.910000000018"/>
    <x v="1"/>
    <n v="0.48590281943611258"/>
    <x v="1052"/>
    <x v="1"/>
    <x v="1"/>
    <x v="1"/>
    <n v="24.77"/>
  </r>
  <r>
    <d v="2024-04-03T00:00:00"/>
    <x v="0"/>
    <x v="0"/>
    <x v="1"/>
    <n v="112.72"/>
    <n v="25.09"/>
    <n v="2"/>
    <n v="58562.910000000018"/>
    <x v="1"/>
    <n v="3.4926265444400157"/>
    <x v="1053"/>
    <x v="0"/>
    <x v="1"/>
    <x v="1"/>
    <n v="56.36"/>
  </r>
  <r>
    <d v="2024-03-16T00:00:00"/>
    <x v="0"/>
    <x v="1"/>
    <x v="1"/>
    <n v="198.78"/>
    <n v="38.33"/>
    <n v="0"/>
    <n v="54735.250000000029"/>
    <x v="0"/>
    <n v="4.186016175319593"/>
    <x v="1054"/>
    <x v="0"/>
    <x v="3"/>
    <x v="1"/>
    <n v="0"/>
  </r>
  <r>
    <d v="2024-03-19T00:00:00"/>
    <x v="1"/>
    <x v="2"/>
    <x v="0"/>
    <n v="167.19"/>
    <n v="8.7899999999999991"/>
    <n v="2"/>
    <n v="54735.250000000029"/>
    <x v="0"/>
    <n v="18.02047781569966"/>
    <x v="1055"/>
    <x v="0"/>
    <x v="3"/>
    <x v="1"/>
    <n v="83.594999999999999"/>
  </r>
  <r>
    <d v="2024-01-23T00:00:00"/>
    <x v="4"/>
    <x v="1"/>
    <x v="0"/>
    <n v="71.22"/>
    <n v="23.25"/>
    <n v="0"/>
    <n v="61207.979999999989"/>
    <x v="1"/>
    <n v="2.0632258064516127"/>
    <x v="1056"/>
    <x v="0"/>
    <x v="2"/>
    <x v="0"/>
    <n v="0"/>
  </r>
  <r>
    <d v="2024-02-27T00:00:00"/>
    <x v="1"/>
    <x v="2"/>
    <x v="1"/>
    <n v="144.19999999999999"/>
    <n v="4.5199999999999996"/>
    <n v="2"/>
    <n v="48675.899999999936"/>
    <x v="0"/>
    <n v="30.902654867256636"/>
    <x v="1057"/>
    <x v="1"/>
    <x v="0"/>
    <x v="0"/>
    <n v="72.099999999999994"/>
  </r>
  <r>
    <d v="2024-01-30T00:00:00"/>
    <x v="4"/>
    <x v="2"/>
    <x v="0"/>
    <n v="178.89"/>
    <n v="11.92"/>
    <n v="0"/>
    <n v="61207.979999999989"/>
    <x v="1"/>
    <n v="14.007550335570469"/>
    <x v="1058"/>
    <x v="1"/>
    <x v="2"/>
    <x v="0"/>
    <n v="0"/>
  </r>
  <r>
    <d v="2024-03-28T00:00:00"/>
    <x v="1"/>
    <x v="0"/>
    <x v="0"/>
    <n v="56.08"/>
    <n v="8.67"/>
    <n v="2"/>
    <n v="54735.250000000029"/>
    <x v="0"/>
    <n v="5.4682814302191458"/>
    <x v="1059"/>
    <x v="0"/>
    <x v="3"/>
    <x v="1"/>
    <n v="28.04"/>
  </r>
  <r>
    <d v="2024-03-22T00:00:00"/>
    <x v="1"/>
    <x v="1"/>
    <x v="0"/>
    <n v="52.15"/>
    <n v="27.77"/>
    <n v="0"/>
    <n v="54735.250000000029"/>
    <x v="0"/>
    <n v="0.87792581922938417"/>
    <x v="1060"/>
    <x v="1"/>
    <x v="3"/>
    <x v="1"/>
    <n v="0"/>
  </r>
  <r>
    <d v="2024-02-18T00:00:00"/>
    <x v="0"/>
    <x v="0"/>
    <x v="0"/>
    <n v="80.45"/>
    <n v="26.31"/>
    <n v="0"/>
    <n v="48675.899999999936"/>
    <x v="0"/>
    <n v="2.0577727099961991"/>
    <x v="1061"/>
    <x v="0"/>
    <x v="0"/>
    <x v="0"/>
    <n v="0"/>
  </r>
  <r>
    <d v="2024-01-10T00:00:00"/>
    <x v="1"/>
    <x v="1"/>
    <x v="1"/>
    <n v="83.57"/>
    <n v="26.03"/>
    <n v="0"/>
    <n v="61207.979999999989"/>
    <x v="1"/>
    <n v="2.2105263157894735"/>
    <x v="1062"/>
    <x v="0"/>
    <x v="2"/>
    <x v="0"/>
    <n v="0"/>
  </r>
  <r>
    <d v="2024-03-08T00:00:00"/>
    <x v="4"/>
    <x v="0"/>
    <x v="0"/>
    <n v="148.97999999999999"/>
    <n v="0.44"/>
    <n v="1"/>
    <n v="54735.250000000029"/>
    <x v="0"/>
    <n v="337.59090909090907"/>
    <x v="1063"/>
    <x v="0"/>
    <x v="3"/>
    <x v="1"/>
    <n v="148.97999999999999"/>
  </r>
  <r>
    <d v="2024-04-21T00:00:00"/>
    <x v="4"/>
    <x v="2"/>
    <x v="1"/>
    <n v="116.83"/>
    <n v="4.41"/>
    <n v="3"/>
    <n v="58562.910000000018"/>
    <x v="1"/>
    <n v="25.49206349206349"/>
    <x v="1064"/>
    <x v="0"/>
    <x v="1"/>
    <x v="1"/>
    <n v="38.943333333333335"/>
  </r>
  <r>
    <d v="2024-01-25T00:00:00"/>
    <x v="3"/>
    <x v="1"/>
    <x v="1"/>
    <n v="140.03"/>
    <n v="29.29"/>
    <n v="2"/>
    <n v="61207.979999999989"/>
    <x v="1"/>
    <n v="3.7808125640150227"/>
    <x v="1065"/>
    <x v="1"/>
    <x v="2"/>
    <x v="0"/>
    <n v="70.015000000000001"/>
  </r>
  <r>
    <d v="2024-02-05T00:00:00"/>
    <x v="1"/>
    <x v="1"/>
    <x v="1"/>
    <n v="37.6"/>
    <n v="38.9"/>
    <n v="0"/>
    <n v="48675.899999999936"/>
    <x v="0"/>
    <n v="-3.3419023136246714E-2"/>
    <x v="1066"/>
    <x v="1"/>
    <x v="0"/>
    <x v="0"/>
    <n v="0"/>
  </r>
  <r>
    <d v="2024-04-21T00:00:00"/>
    <x v="4"/>
    <x v="1"/>
    <x v="0"/>
    <n v="72.650000000000006"/>
    <n v="37.96"/>
    <n v="0"/>
    <n v="58562.910000000018"/>
    <x v="1"/>
    <n v="0.91385669125395164"/>
    <x v="1067"/>
    <x v="0"/>
    <x v="1"/>
    <x v="1"/>
    <n v="0"/>
  </r>
  <r>
    <d v="2024-01-01T00:00:00"/>
    <x v="0"/>
    <x v="2"/>
    <x v="1"/>
    <n v="65.7"/>
    <n v="22.91"/>
    <n v="3"/>
    <n v="61207.979999999989"/>
    <x v="1"/>
    <n v="1.8677433435181146"/>
    <x v="1068"/>
    <x v="1"/>
    <x v="2"/>
    <x v="0"/>
    <n v="21.900000000000002"/>
  </r>
  <r>
    <d v="2024-01-21T00:00:00"/>
    <x v="1"/>
    <x v="0"/>
    <x v="1"/>
    <n v="136.04"/>
    <n v="17.93"/>
    <n v="2"/>
    <n v="61207.979999999989"/>
    <x v="1"/>
    <n v="6.5872838817624091"/>
    <x v="1069"/>
    <x v="1"/>
    <x v="2"/>
    <x v="0"/>
    <n v="68.02"/>
  </r>
  <r>
    <d v="2024-04-25T00:00:00"/>
    <x v="2"/>
    <x v="1"/>
    <x v="0"/>
    <n v="113.63"/>
    <n v="36.75"/>
    <n v="3"/>
    <n v="58562.910000000018"/>
    <x v="1"/>
    <n v="2.0919727891156463"/>
    <x v="1070"/>
    <x v="0"/>
    <x v="1"/>
    <x v="1"/>
    <n v="37.876666666666665"/>
  </r>
  <r>
    <d v="2024-01-27T00:00:00"/>
    <x v="3"/>
    <x v="0"/>
    <x v="0"/>
    <n v="133.78"/>
    <n v="5.19"/>
    <n v="0"/>
    <n v="61207.979999999989"/>
    <x v="1"/>
    <n v="24.776493256262039"/>
    <x v="1071"/>
    <x v="1"/>
    <x v="2"/>
    <x v="0"/>
    <n v="0"/>
  </r>
  <r>
    <d v="2024-01-13T00:00:00"/>
    <x v="0"/>
    <x v="2"/>
    <x v="1"/>
    <n v="52.61"/>
    <n v="45.4"/>
    <n v="0"/>
    <n v="61207.979999999989"/>
    <x v="1"/>
    <n v="0.1588105726872247"/>
    <x v="1072"/>
    <x v="1"/>
    <x v="2"/>
    <x v="0"/>
    <n v="0"/>
  </r>
  <r>
    <d v="2024-03-22T00:00:00"/>
    <x v="4"/>
    <x v="0"/>
    <x v="0"/>
    <n v="181.96"/>
    <n v="14.35"/>
    <n v="3"/>
    <n v="54735.250000000029"/>
    <x v="0"/>
    <n v="11.680139372822302"/>
    <x v="1073"/>
    <x v="0"/>
    <x v="3"/>
    <x v="1"/>
    <n v="60.653333333333336"/>
  </r>
  <r>
    <d v="2024-02-16T00:00:00"/>
    <x v="1"/>
    <x v="2"/>
    <x v="0"/>
    <n v="79.27"/>
    <n v="42.66"/>
    <n v="3"/>
    <n v="48675.899999999936"/>
    <x v="0"/>
    <n v="0.85818096577590253"/>
    <x v="1074"/>
    <x v="1"/>
    <x v="0"/>
    <x v="0"/>
    <n v="26.423333333333332"/>
  </r>
  <r>
    <d v="2024-02-27T00:00:00"/>
    <x v="2"/>
    <x v="0"/>
    <x v="1"/>
    <n v="82.87"/>
    <n v="48.98"/>
    <n v="3"/>
    <n v="48675.899999999936"/>
    <x v="0"/>
    <n v="0.69191506737443875"/>
    <x v="1075"/>
    <x v="0"/>
    <x v="0"/>
    <x v="0"/>
    <n v="27.623333333333335"/>
  </r>
  <r>
    <d v="2024-04-21T00:00:00"/>
    <x v="1"/>
    <x v="1"/>
    <x v="1"/>
    <n v="32.69"/>
    <n v="20.62"/>
    <n v="1"/>
    <n v="58562.910000000018"/>
    <x v="1"/>
    <n v="0.58535402521823454"/>
    <x v="1076"/>
    <x v="1"/>
    <x v="1"/>
    <x v="1"/>
    <n v="32.69"/>
  </r>
  <r>
    <d v="2024-01-17T00:00:00"/>
    <x v="2"/>
    <x v="0"/>
    <x v="0"/>
    <n v="192.95"/>
    <n v="45.93"/>
    <n v="2"/>
    <n v="61207.979999999989"/>
    <x v="1"/>
    <n v="3.2009579795340732"/>
    <x v="1077"/>
    <x v="1"/>
    <x v="2"/>
    <x v="0"/>
    <n v="96.474999999999994"/>
  </r>
  <r>
    <d v="2024-03-21T00:00:00"/>
    <x v="0"/>
    <x v="1"/>
    <x v="1"/>
    <n v="148.81"/>
    <n v="47.57"/>
    <n v="1"/>
    <n v="54735.250000000029"/>
    <x v="0"/>
    <n v="2.1282320790414126"/>
    <x v="990"/>
    <x v="0"/>
    <x v="3"/>
    <x v="1"/>
    <n v="148.81"/>
  </r>
  <r>
    <d v="2024-02-11T00:00:00"/>
    <x v="2"/>
    <x v="0"/>
    <x v="1"/>
    <n v="150.25"/>
    <n v="42.76"/>
    <n v="1"/>
    <n v="48675.899999999936"/>
    <x v="0"/>
    <n v="2.5137979420018715"/>
    <x v="1078"/>
    <x v="0"/>
    <x v="0"/>
    <x v="0"/>
    <n v="150.25"/>
  </r>
  <r>
    <d v="2024-03-19T00:00:00"/>
    <x v="3"/>
    <x v="1"/>
    <x v="1"/>
    <n v="185.38"/>
    <n v="9.84"/>
    <n v="1"/>
    <n v="54735.250000000029"/>
    <x v="0"/>
    <n v="17.839430894308943"/>
    <x v="1079"/>
    <x v="0"/>
    <x v="3"/>
    <x v="1"/>
    <n v="185.38"/>
  </r>
  <r>
    <d v="2024-02-16T00:00:00"/>
    <x v="2"/>
    <x v="0"/>
    <x v="1"/>
    <n v="34.81"/>
    <n v="35.32"/>
    <n v="1"/>
    <n v="48675.899999999936"/>
    <x v="0"/>
    <n v="-1.443941109852769E-2"/>
    <x v="1080"/>
    <x v="0"/>
    <x v="0"/>
    <x v="0"/>
    <n v="34.81"/>
  </r>
  <r>
    <d v="2024-01-28T00:00:00"/>
    <x v="4"/>
    <x v="0"/>
    <x v="0"/>
    <n v="111.95"/>
    <n v="20.79"/>
    <n v="0"/>
    <n v="61207.979999999989"/>
    <x v="1"/>
    <n v="4.3848003848003847"/>
    <x v="1081"/>
    <x v="0"/>
    <x v="2"/>
    <x v="0"/>
    <n v="0"/>
  </r>
  <r>
    <d v="2024-04-06T00:00:00"/>
    <x v="3"/>
    <x v="1"/>
    <x v="1"/>
    <n v="112.27"/>
    <n v="10.54"/>
    <n v="2"/>
    <n v="58562.910000000018"/>
    <x v="1"/>
    <n v="9.6518026565464901"/>
    <x v="1082"/>
    <x v="0"/>
    <x v="1"/>
    <x v="1"/>
    <n v="56.134999999999998"/>
  </r>
  <r>
    <d v="2024-01-04T00:00:00"/>
    <x v="3"/>
    <x v="0"/>
    <x v="0"/>
    <n v="38.78"/>
    <n v="14.21"/>
    <n v="3"/>
    <n v="61207.979999999989"/>
    <x v="1"/>
    <n v="1.729064039408867"/>
    <x v="1083"/>
    <x v="1"/>
    <x v="2"/>
    <x v="0"/>
    <n v="12.926666666666668"/>
  </r>
  <r>
    <d v="2024-03-29T00:00:00"/>
    <x v="0"/>
    <x v="0"/>
    <x v="0"/>
    <n v="56.88"/>
    <n v="5.42"/>
    <n v="0"/>
    <n v="54735.250000000029"/>
    <x v="0"/>
    <n v="9.4944649446494473"/>
    <x v="1084"/>
    <x v="1"/>
    <x v="3"/>
    <x v="1"/>
    <n v="0"/>
  </r>
  <r>
    <d v="2024-01-01T00:00:00"/>
    <x v="4"/>
    <x v="2"/>
    <x v="0"/>
    <n v="150.80000000000001"/>
    <n v="2.96"/>
    <n v="3"/>
    <n v="61207.979999999989"/>
    <x v="1"/>
    <n v="49.945945945945951"/>
    <x v="1085"/>
    <x v="0"/>
    <x v="2"/>
    <x v="0"/>
    <n v="50.266666666666673"/>
  </r>
  <r>
    <d v="2024-01-04T00:00:00"/>
    <x v="3"/>
    <x v="2"/>
    <x v="0"/>
    <n v="120.52"/>
    <n v="38.71"/>
    <n v="2"/>
    <n v="61207.979999999989"/>
    <x v="1"/>
    <n v="2.1134073882717646"/>
    <x v="1086"/>
    <x v="1"/>
    <x v="2"/>
    <x v="0"/>
    <n v="60.26"/>
  </r>
  <r>
    <d v="2024-02-24T00:00:00"/>
    <x v="1"/>
    <x v="2"/>
    <x v="0"/>
    <n v="97.54"/>
    <n v="1.57"/>
    <n v="3"/>
    <n v="48675.899999999936"/>
    <x v="0"/>
    <n v="61.127388535031855"/>
    <x v="1087"/>
    <x v="1"/>
    <x v="0"/>
    <x v="0"/>
    <n v="32.513333333333335"/>
  </r>
  <r>
    <d v="2024-01-31T00:00:00"/>
    <x v="4"/>
    <x v="2"/>
    <x v="0"/>
    <n v="47.06"/>
    <n v="42"/>
    <n v="2"/>
    <n v="61207.979999999989"/>
    <x v="1"/>
    <n v="0.12047619047619053"/>
    <x v="1088"/>
    <x v="1"/>
    <x v="2"/>
    <x v="0"/>
    <n v="23.53"/>
  </r>
  <r>
    <d v="2024-03-29T00:00:00"/>
    <x v="2"/>
    <x v="2"/>
    <x v="0"/>
    <n v="169.38"/>
    <n v="12.84"/>
    <n v="1"/>
    <n v="54735.250000000029"/>
    <x v="0"/>
    <n v="12.191588785046729"/>
    <x v="1089"/>
    <x v="1"/>
    <x v="3"/>
    <x v="1"/>
    <n v="169.38"/>
  </r>
  <r>
    <d v="2024-04-11T00:00:00"/>
    <x v="3"/>
    <x v="2"/>
    <x v="0"/>
    <n v="184.66"/>
    <n v="31.64"/>
    <n v="3"/>
    <n v="58562.910000000018"/>
    <x v="1"/>
    <n v="4.8362831858407072"/>
    <x v="1090"/>
    <x v="0"/>
    <x v="1"/>
    <x v="1"/>
    <n v="61.553333333333335"/>
  </r>
  <r>
    <d v="2024-01-26T00:00:00"/>
    <x v="3"/>
    <x v="0"/>
    <x v="1"/>
    <n v="56.53"/>
    <n v="45.78"/>
    <n v="1"/>
    <n v="61207.979999999989"/>
    <x v="1"/>
    <n v="0.2348186981214504"/>
    <x v="1091"/>
    <x v="1"/>
    <x v="2"/>
    <x v="0"/>
    <n v="56.53"/>
  </r>
  <r>
    <d v="2024-01-08T00:00:00"/>
    <x v="1"/>
    <x v="2"/>
    <x v="1"/>
    <n v="32.700000000000003"/>
    <n v="11.15"/>
    <n v="0"/>
    <n v="61207.979999999989"/>
    <x v="1"/>
    <n v="1.9327354260089689"/>
    <x v="1092"/>
    <x v="0"/>
    <x v="2"/>
    <x v="0"/>
    <n v="0"/>
  </r>
  <r>
    <d v="2024-04-16T00:00:00"/>
    <x v="2"/>
    <x v="1"/>
    <x v="0"/>
    <n v="39.36"/>
    <n v="48.02"/>
    <n v="3"/>
    <n v="58562.910000000018"/>
    <x v="1"/>
    <n v="-0.18034152436484804"/>
    <x v="584"/>
    <x v="0"/>
    <x v="1"/>
    <x v="1"/>
    <n v="13.12"/>
  </r>
  <r>
    <d v="2024-04-11T00:00:00"/>
    <x v="2"/>
    <x v="1"/>
    <x v="1"/>
    <n v="42.19"/>
    <n v="29.12"/>
    <n v="0"/>
    <n v="58562.910000000018"/>
    <x v="1"/>
    <n v="0.44883241758241743"/>
    <x v="1093"/>
    <x v="1"/>
    <x v="1"/>
    <x v="1"/>
    <n v="0"/>
  </r>
  <r>
    <d v="2024-02-09T00:00:00"/>
    <x v="3"/>
    <x v="2"/>
    <x v="1"/>
    <n v="69.66"/>
    <n v="31.25"/>
    <n v="2"/>
    <n v="48675.899999999936"/>
    <x v="0"/>
    <n v="1.22912"/>
    <x v="1094"/>
    <x v="0"/>
    <x v="0"/>
    <x v="0"/>
    <n v="34.83"/>
  </r>
  <r>
    <d v="2024-01-26T00:00:00"/>
    <x v="1"/>
    <x v="0"/>
    <x v="1"/>
    <n v="169.77"/>
    <n v="44.32"/>
    <n v="3"/>
    <n v="61207.979999999989"/>
    <x v="1"/>
    <n v="2.8305505415162457"/>
    <x v="1095"/>
    <x v="1"/>
    <x v="2"/>
    <x v="0"/>
    <n v="56.59"/>
  </r>
  <r>
    <d v="2024-03-02T00:00:00"/>
    <x v="2"/>
    <x v="0"/>
    <x v="1"/>
    <n v="126.33"/>
    <n v="45.78"/>
    <n v="2"/>
    <n v="54735.250000000029"/>
    <x v="0"/>
    <n v="1.7595019659239841"/>
    <x v="1096"/>
    <x v="0"/>
    <x v="3"/>
    <x v="1"/>
    <n v="63.164999999999999"/>
  </r>
  <r>
    <d v="2024-04-25T00:00:00"/>
    <x v="3"/>
    <x v="2"/>
    <x v="0"/>
    <n v="106.54"/>
    <n v="19.64"/>
    <n v="3"/>
    <n v="58562.910000000018"/>
    <x v="1"/>
    <n v="4.4246435845213847"/>
    <x v="1097"/>
    <x v="1"/>
    <x v="1"/>
    <x v="1"/>
    <n v="35.513333333333335"/>
  </r>
  <r>
    <d v="2024-03-11T00:00:00"/>
    <x v="0"/>
    <x v="0"/>
    <x v="1"/>
    <n v="108.11"/>
    <n v="31.56"/>
    <n v="2"/>
    <n v="54735.250000000029"/>
    <x v="0"/>
    <n v="2.4255386565272499"/>
    <x v="1098"/>
    <x v="1"/>
    <x v="3"/>
    <x v="1"/>
    <n v="54.055"/>
  </r>
  <r>
    <d v="2024-02-07T00:00:00"/>
    <x v="2"/>
    <x v="0"/>
    <x v="1"/>
    <n v="178.84"/>
    <n v="20.98"/>
    <n v="2"/>
    <n v="48675.899999999936"/>
    <x v="0"/>
    <n v="7.5243088655862733"/>
    <x v="282"/>
    <x v="1"/>
    <x v="0"/>
    <x v="0"/>
    <n v="89.42"/>
  </r>
  <r>
    <d v="2024-02-01T00:00:00"/>
    <x v="1"/>
    <x v="2"/>
    <x v="0"/>
    <n v="188.15"/>
    <n v="46.6"/>
    <n v="3"/>
    <n v="48675.899999999936"/>
    <x v="0"/>
    <n v="3.0375536480686698"/>
    <x v="1099"/>
    <x v="0"/>
    <x v="0"/>
    <x v="0"/>
    <n v="62.716666666666669"/>
  </r>
  <r>
    <d v="2024-01-28T00:00:00"/>
    <x v="4"/>
    <x v="0"/>
    <x v="0"/>
    <n v="103.95"/>
    <n v="27.62"/>
    <n v="2"/>
    <n v="61207.979999999989"/>
    <x v="1"/>
    <n v="2.7635771180304127"/>
    <x v="1100"/>
    <x v="1"/>
    <x v="2"/>
    <x v="0"/>
    <n v="51.975000000000001"/>
  </r>
  <r>
    <d v="2024-04-23T00:00:00"/>
    <x v="1"/>
    <x v="1"/>
    <x v="1"/>
    <n v="144.96"/>
    <n v="12.68"/>
    <n v="0"/>
    <n v="58562.910000000018"/>
    <x v="1"/>
    <n v="10.43217665615142"/>
    <x v="1101"/>
    <x v="1"/>
    <x v="1"/>
    <x v="1"/>
    <n v="0"/>
  </r>
  <r>
    <d v="2024-04-13T00:00:00"/>
    <x v="1"/>
    <x v="1"/>
    <x v="1"/>
    <n v="172.6"/>
    <n v="33.1"/>
    <n v="0"/>
    <n v="58562.910000000018"/>
    <x v="1"/>
    <n v="4.214501510574018"/>
    <x v="1102"/>
    <x v="0"/>
    <x v="1"/>
    <x v="1"/>
    <n v="0"/>
  </r>
  <r>
    <d v="2024-01-24T00:00:00"/>
    <x v="3"/>
    <x v="1"/>
    <x v="1"/>
    <n v="102.86"/>
    <n v="2.25"/>
    <n v="1"/>
    <n v="61207.979999999989"/>
    <x v="1"/>
    <n v="44.715555555555554"/>
    <x v="305"/>
    <x v="0"/>
    <x v="2"/>
    <x v="0"/>
    <n v="102.86"/>
  </r>
  <r>
    <d v="2024-01-13T00:00:00"/>
    <x v="0"/>
    <x v="1"/>
    <x v="1"/>
    <n v="88.89"/>
    <n v="31.61"/>
    <n v="0"/>
    <n v="61207.979999999989"/>
    <x v="1"/>
    <n v="1.8120847832964253"/>
    <x v="1103"/>
    <x v="1"/>
    <x v="2"/>
    <x v="0"/>
    <n v="0"/>
  </r>
  <r>
    <d v="2024-01-31T00:00:00"/>
    <x v="0"/>
    <x v="0"/>
    <x v="1"/>
    <n v="79.989999999999995"/>
    <n v="4"/>
    <n v="2"/>
    <n v="61207.979999999989"/>
    <x v="1"/>
    <n v="18.997499999999999"/>
    <x v="1104"/>
    <x v="0"/>
    <x v="2"/>
    <x v="0"/>
    <n v="39.994999999999997"/>
  </r>
  <r>
    <d v="2024-02-19T00:00:00"/>
    <x v="1"/>
    <x v="2"/>
    <x v="1"/>
    <n v="101.03"/>
    <n v="2.93"/>
    <n v="1"/>
    <n v="48675.899999999936"/>
    <x v="0"/>
    <n v="33.481228668941974"/>
    <x v="1105"/>
    <x v="0"/>
    <x v="0"/>
    <x v="0"/>
    <n v="101.03"/>
  </r>
  <r>
    <d v="2024-04-09T00:00:00"/>
    <x v="0"/>
    <x v="0"/>
    <x v="0"/>
    <n v="58.37"/>
    <n v="8.82"/>
    <n v="0"/>
    <n v="58562.910000000018"/>
    <x v="1"/>
    <n v="5.6179138321995463"/>
    <x v="1106"/>
    <x v="1"/>
    <x v="1"/>
    <x v="1"/>
    <n v="0"/>
  </r>
  <r>
    <d v="2024-01-20T00:00:00"/>
    <x v="0"/>
    <x v="2"/>
    <x v="1"/>
    <n v="180.19"/>
    <n v="43.79"/>
    <n v="1"/>
    <n v="61207.979999999989"/>
    <x v="1"/>
    <n v="3.1148664078556751"/>
    <x v="1107"/>
    <x v="0"/>
    <x v="2"/>
    <x v="0"/>
    <n v="180.19"/>
  </r>
  <r>
    <d v="2024-01-02T00:00:00"/>
    <x v="2"/>
    <x v="1"/>
    <x v="0"/>
    <n v="21.67"/>
    <n v="17.829999999999998"/>
    <n v="1"/>
    <n v="61207.979999999989"/>
    <x v="1"/>
    <n v="0.21536735838474502"/>
    <x v="1108"/>
    <x v="0"/>
    <x v="2"/>
    <x v="0"/>
    <n v="21.67"/>
  </r>
  <r>
    <d v="2024-04-07T00:00:00"/>
    <x v="3"/>
    <x v="2"/>
    <x v="0"/>
    <n v="39.65"/>
    <n v="8.15"/>
    <n v="1"/>
    <n v="58562.910000000018"/>
    <x v="1"/>
    <n v="3.8650306748466257"/>
    <x v="1109"/>
    <x v="1"/>
    <x v="1"/>
    <x v="1"/>
    <n v="39.65"/>
  </r>
  <r>
    <d v="2024-04-02T00:00:00"/>
    <x v="1"/>
    <x v="2"/>
    <x v="0"/>
    <n v="159.06"/>
    <n v="1.73"/>
    <n v="3"/>
    <n v="58562.910000000018"/>
    <x v="1"/>
    <n v="90.942196531791922"/>
    <x v="1110"/>
    <x v="1"/>
    <x v="1"/>
    <x v="1"/>
    <n v="53.02"/>
  </r>
  <r>
    <d v="2024-04-25T00:00:00"/>
    <x v="2"/>
    <x v="2"/>
    <x v="1"/>
    <n v="171.93"/>
    <n v="43.71"/>
    <n v="3"/>
    <n v="58562.910000000018"/>
    <x v="1"/>
    <n v="2.9334248455730951"/>
    <x v="1111"/>
    <x v="1"/>
    <x v="1"/>
    <x v="1"/>
    <n v="57.31"/>
  </r>
  <r>
    <d v="2024-04-06T00:00:00"/>
    <x v="0"/>
    <x v="2"/>
    <x v="1"/>
    <n v="156.75"/>
    <n v="22.86"/>
    <n v="0"/>
    <n v="58562.910000000018"/>
    <x v="1"/>
    <n v="5.8569553805774275"/>
    <x v="1112"/>
    <x v="0"/>
    <x v="1"/>
    <x v="1"/>
    <n v="0"/>
  </r>
  <r>
    <d v="2024-03-24T00:00:00"/>
    <x v="4"/>
    <x v="1"/>
    <x v="0"/>
    <n v="89.44"/>
    <n v="6.7"/>
    <n v="2"/>
    <n v="54735.250000000029"/>
    <x v="0"/>
    <n v="12.349253731343282"/>
    <x v="1113"/>
    <x v="0"/>
    <x v="3"/>
    <x v="1"/>
    <n v="44.72"/>
  </r>
  <r>
    <d v="2024-03-04T00:00:00"/>
    <x v="3"/>
    <x v="1"/>
    <x v="0"/>
    <n v="75.510000000000005"/>
    <n v="34.869999999999997"/>
    <n v="1"/>
    <n v="54735.250000000029"/>
    <x v="0"/>
    <n v="1.1654717522225411"/>
    <x v="1114"/>
    <x v="1"/>
    <x v="3"/>
    <x v="1"/>
    <n v="75.510000000000005"/>
  </r>
  <r>
    <d v="2024-01-22T00:00:00"/>
    <x v="1"/>
    <x v="1"/>
    <x v="1"/>
    <n v="157.84"/>
    <n v="20.23"/>
    <n v="0"/>
    <n v="61207.979999999989"/>
    <x v="1"/>
    <n v="6.8022738507167579"/>
    <x v="1115"/>
    <x v="0"/>
    <x v="2"/>
    <x v="0"/>
    <n v="0"/>
  </r>
  <r>
    <d v="2024-04-18T00:00:00"/>
    <x v="1"/>
    <x v="2"/>
    <x v="0"/>
    <n v="124.68"/>
    <n v="3.02"/>
    <n v="0"/>
    <n v="58562.910000000018"/>
    <x v="1"/>
    <n v="40.284768211920536"/>
    <x v="1116"/>
    <x v="1"/>
    <x v="1"/>
    <x v="1"/>
    <n v="0"/>
  </r>
  <r>
    <d v="2024-02-25T00:00:00"/>
    <x v="3"/>
    <x v="1"/>
    <x v="1"/>
    <n v="154.5"/>
    <n v="13.49"/>
    <n v="1"/>
    <n v="48675.899999999936"/>
    <x v="0"/>
    <n v="10.452928094885099"/>
    <x v="1117"/>
    <x v="1"/>
    <x v="0"/>
    <x v="0"/>
    <n v="154.5"/>
  </r>
  <r>
    <d v="2024-03-20T00:00:00"/>
    <x v="4"/>
    <x v="0"/>
    <x v="0"/>
    <n v="169.16"/>
    <n v="29.21"/>
    <n v="2"/>
    <n v="54735.250000000029"/>
    <x v="0"/>
    <n v="4.7911674084217726"/>
    <x v="1118"/>
    <x v="0"/>
    <x v="3"/>
    <x v="1"/>
    <n v="84.58"/>
  </r>
  <r>
    <d v="2024-03-06T00:00:00"/>
    <x v="0"/>
    <x v="0"/>
    <x v="0"/>
    <n v="149.78"/>
    <n v="2.8"/>
    <n v="1"/>
    <n v="54735.250000000029"/>
    <x v="0"/>
    <n v="52.49285714285714"/>
    <x v="1119"/>
    <x v="1"/>
    <x v="3"/>
    <x v="1"/>
    <n v="149.78"/>
  </r>
  <r>
    <d v="2024-04-17T00:00:00"/>
    <x v="2"/>
    <x v="0"/>
    <x v="0"/>
    <n v="97.25"/>
    <n v="25.35"/>
    <n v="3"/>
    <n v="58562.910000000018"/>
    <x v="1"/>
    <n v="2.8362919132149904"/>
    <x v="1120"/>
    <x v="0"/>
    <x v="1"/>
    <x v="1"/>
    <n v="32.416666666666664"/>
  </r>
  <r>
    <d v="2024-01-29T00:00:00"/>
    <x v="4"/>
    <x v="0"/>
    <x v="0"/>
    <n v="122.23"/>
    <n v="17.48"/>
    <n v="0"/>
    <n v="61207.979999999989"/>
    <x v="1"/>
    <n v="5.9925629290617843"/>
    <x v="1121"/>
    <x v="0"/>
    <x v="2"/>
    <x v="0"/>
    <n v="0"/>
  </r>
  <r>
    <d v="2024-01-17T00:00:00"/>
    <x v="1"/>
    <x v="1"/>
    <x v="0"/>
    <n v="173.72"/>
    <n v="49.26"/>
    <n v="1"/>
    <n v="61207.979999999989"/>
    <x v="1"/>
    <n v="2.5265935850588717"/>
    <x v="1122"/>
    <x v="0"/>
    <x v="2"/>
    <x v="0"/>
    <n v="173.72"/>
  </r>
  <r>
    <d v="2024-04-16T00:00:00"/>
    <x v="0"/>
    <x v="0"/>
    <x v="0"/>
    <n v="188.15"/>
    <n v="33.21"/>
    <n v="3"/>
    <n v="58562.910000000018"/>
    <x v="1"/>
    <n v="4.6654622101776573"/>
    <x v="1123"/>
    <x v="1"/>
    <x v="1"/>
    <x v="1"/>
    <n v="62.716666666666669"/>
  </r>
  <r>
    <d v="2024-02-09T00:00:00"/>
    <x v="3"/>
    <x v="2"/>
    <x v="1"/>
    <n v="35.549999999999997"/>
    <n v="20.22"/>
    <n v="2"/>
    <n v="48675.899999999936"/>
    <x v="0"/>
    <n v="0.75816023738872396"/>
    <x v="1124"/>
    <x v="1"/>
    <x v="0"/>
    <x v="0"/>
    <n v="17.774999999999999"/>
  </r>
  <r>
    <d v="2024-03-22T00:00:00"/>
    <x v="2"/>
    <x v="1"/>
    <x v="0"/>
    <n v="173.97"/>
    <n v="25.7"/>
    <n v="3"/>
    <n v="54735.250000000029"/>
    <x v="0"/>
    <n v="5.7692607003891059"/>
    <x v="1125"/>
    <x v="1"/>
    <x v="3"/>
    <x v="1"/>
    <n v="57.99"/>
  </r>
  <r>
    <d v="2024-04-13T00:00:00"/>
    <x v="3"/>
    <x v="0"/>
    <x v="1"/>
    <n v="186.6"/>
    <n v="21.91"/>
    <n v="0"/>
    <n v="58562.910000000018"/>
    <x v="1"/>
    <n v="7.51665905979005"/>
    <x v="1126"/>
    <x v="1"/>
    <x v="1"/>
    <x v="1"/>
    <n v="0"/>
  </r>
  <r>
    <d v="2024-01-24T00:00:00"/>
    <x v="0"/>
    <x v="2"/>
    <x v="0"/>
    <n v="163.87"/>
    <n v="9.11"/>
    <n v="0"/>
    <n v="61207.979999999989"/>
    <x v="1"/>
    <n v="16.987925356750825"/>
    <x v="1127"/>
    <x v="1"/>
    <x v="2"/>
    <x v="0"/>
    <n v="0"/>
  </r>
  <r>
    <d v="2024-02-12T00:00:00"/>
    <x v="2"/>
    <x v="0"/>
    <x v="1"/>
    <n v="115.84"/>
    <n v="12.26"/>
    <n v="1"/>
    <n v="48675.899999999936"/>
    <x v="0"/>
    <n v="8.4486133768352367"/>
    <x v="1128"/>
    <x v="1"/>
    <x v="0"/>
    <x v="0"/>
    <n v="115.84"/>
  </r>
  <r>
    <d v="2024-04-12T00:00:00"/>
    <x v="2"/>
    <x v="0"/>
    <x v="0"/>
    <n v="77.97"/>
    <n v="46.13"/>
    <n v="2"/>
    <n v="58562.910000000018"/>
    <x v="1"/>
    <n v="0.69022328202904826"/>
    <x v="1129"/>
    <x v="0"/>
    <x v="1"/>
    <x v="1"/>
    <n v="38.984999999999999"/>
  </r>
  <r>
    <d v="2024-02-14T00:00:00"/>
    <x v="3"/>
    <x v="2"/>
    <x v="1"/>
    <n v="126.47"/>
    <n v="34.4"/>
    <n v="3"/>
    <n v="48675.899999999936"/>
    <x v="0"/>
    <n v="2.676453488372093"/>
    <x v="1130"/>
    <x v="1"/>
    <x v="0"/>
    <x v="0"/>
    <n v="42.156666666666666"/>
  </r>
  <r>
    <d v="2024-02-18T00:00:00"/>
    <x v="0"/>
    <x v="0"/>
    <x v="0"/>
    <n v="189.42"/>
    <n v="41.61"/>
    <n v="0"/>
    <n v="48675.899999999936"/>
    <x v="0"/>
    <n v="3.5522710886806057"/>
    <x v="1131"/>
    <x v="1"/>
    <x v="0"/>
    <x v="0"/>
    <n v="0"/>
  </r>
  <r>
    <d v="2024-03-24T00:00:00"/>
    <x v="0"/>
    <x v="2"/>
    <x v="0"/>
    <n v="93.3"/>
    <n v="38.67"/>
    <n v="3"/>
    <n v="54735.250000000029"/>
    <x v="0"/>
    <n v="1.412723041117145"/>
    <x v="1132"/>
    <x v="0"/>
    <x v="3"/>
    <x v="1"/>
    <n v="31.099999999999998"/>
  </r>
  <r>
    <d v="2024-04-05T00:00:00"/>
    <x v="2"/>
    <x v="2"/>
    <x v="0"/>
    <n v="72.84"/>
    <n v="45.03"/>
    <n v="3"/>
    <n v="58562.910000000018"/>
    <x v="1"/>
    <n v="0.61758827448367759"/>
    <x v="1133"/>
    <x v="0"/>
    <x v="1"/>
    <x v="1"/>
    <n v="24.28"/>
  </r>
  <r>
    <d v="2024-03-14T00:00:00"/>
    <x v="0"/>
    <x v="1"/>
    <x v="1"/>
    <n v="194.76"/>
    <n v="16.34"/>
    <n v="3"/>
    <n v="54735.250000000029"/>
    <x v="0"/>
    <n v="10.919216646266829"/>
    <x v="1134"/>
    <x v="0"/>
    <x v="3"/>
    <x v="1"/>
    <n v="64.92"/>
  </r>
  <r>
    <d v="2024-03-05T00:00:00"/>
    <x v="1"/>
    <x v="1"/>
    <x v="1"/>
    <n v="100.95"/>
    <n v="44.98"/>
    <n v="0"/>
    <n v="54735.250000000029"/>
    <x v="0"/>
    <n v="1.2443308136949758"/>
    <x v="1135"/>
    <x v="1"/>
    <x v="3"/>
    <x v="1"/>
    <n v="0"/>
  </r>
  <r>
    <d v="2024-01-03T00:00:00"/>
    <x v="1"/>
    <x v="2"/>
    <x v="0"/>
    <n v="75.17"/>
    <n v="5.12"/>
    <n v="1"/>
    <n v="61207.979999999989"/>
    <x v="1"/>
    <n v="13.681640625"/>
    <x v="1136"/>
    <x v="1"/>
    <x v="2"/>
    <x v="0"/>
    <n v="75.17"/>
  </r>
  <r>
    <d v="2024-04-26T00:00:00"/>
    <x v="2"/>
    <x v="0"/>
    <x v="0"/>
    <n v="165.07"/>
    <n v="5.31"/>
    <n v="1"/>
    <n v="58562.910000000018"/>
    <x v="1"/>
    <n v="30.086629001883239"/>
    <x v="1137"/>
    <x v="1"/>
    <x v="1"/>
    <x v="1"/>
    <n v="165.07"/>
  </r>
  <r>
    <d v="2024-03-04T00:00:00"/>
    <x v="0"/>
    <x v="1"/>
    <x v="0"/>
    <n v="164.9"/>
    <n v="42.41"/>
    <n v="3"/>
    <n v="54735.250000000029"/>
    <x v="0"/>
    <n v="2.888233907097383"/>
    <x v="1138"/>
    <x v="1"/>
    <x v="3"/>
    <x v="1"/>
    <n v="54.966666666666669"/>
  </r>
  <r>
    <d v="2024-03-20T00:00:00"/>
    <x v="2"/>
    <x v="1"/>
    <x v="1"/>
    <n v="53.18"/>
    <n v="45.5"/>
    <n v="2"/>
    <n v="54735.250000000029"/>
    <x v="0"/>
    <n v="0.16879120879120879"/>
    <x v="1139"/>
    <x v="0"/>
    <x v="3"/>
    <x v="1"/>
    <n v="26.59"/>
  </r>
  <r>
    <d v="2024-01-02T00:00:00"/>
    <x v="2"/>
    <x v="0"/>
    <x v="1"/>
    <n v="21.95"/>
    <n v="36.450000000000003"/>
    <n v="3"/>
    <n v="61207.979999999989"/>
    <x v="1"/>
    <n v="-0.39780521262002749"/>
    <x v="1140"/>
    <x v="0"/>
    <x v="2"/>
    <x v="0"/>
    <n v="7.3166666666666664"/>
  </r>
  <r>
    <d v="2024-04-12T00:00:00"/>
    <x v="4"/>
    <x v="1"/>
    <x v="1"/>
    <n v="150.34"/>
    <n v="41.48"/>
    <n v="3"/>
    <n v="58562.910000000018"/>
    <x v="1"/>
    <n v="2.6243972999035683"/>
    <x v="1141"/>
    <x v="1"/>
    <x v="1"/>
    <x v="1"/>
    <n v="50.113333333333337"/>
  </r>
  <r>
    <d v="2024-04-17T00:00:00"/>
    <x v="0"/>
    <x v="0"/>
    <x v="0"/>
    <n v="98.19"/>
    <n v="7.76"/>
    <n v="2"/>
    <n v="58562.910000000018"/>
    <x v="1"/>
    <n v="11.653350515463917"/>
    <x v="1142"/>
    <x v="0"/>
    <x v="1"/>
    <x v="1"/>
    <n v="49.094999999999999"/>
  </r>
  <r>
    <d v="2024-04-22T00:00:00"/>
    <x v="2"/>
    <x v="0"/>
    <x v="1"/>
    <n v="109.63"/>
    <n v="26.63"/>
    <n v="0"/>
    <n v="58562.910000000018"/>
    <x v="1"/>
    <n v="3.1167855801727375"/>
    <x v="1143"/>
    <x v="1"/>
    <x v="1"/>
    <x v="1"/>
    <n v="0"/>
  </r>
  <r>
    <d v="2024-01-02T00:00:00"/>
    <x v="1"/>
    <x v="0"/>
    <x v="1"/>
    <n v="79.73"/>
    <n v="11.82"/>
    <n v="0"/>
    <n v="61207.979999999989"/>
    <x v="1"/>
    <n v="5.7453468697123515"/>
    <x v="1144"/>
    <x v="1"/>
    <x v="2"/>
    <x v="0"/>
    <n v="0"/>
  </r>
  <r>
    <d v="2024-04-29T00:00:00"/>
    <x v="4"/>
    <x v="0"/>
    <x v="0"/>
    <n v="64.17"/>
    <n v="1.4"/>
    <n v="1"/>
    <n v="58562.910000000018"/>
    <x v="1"/>
    <n v="44.835714285714289"/>
    <x v="1145"/>
    <x v="1"/>
    <x v="1"/>
    <x v="1"/>
    <n v="64.17"/>
  </r>
  <r>
    <d v="2024-01-26T00:00:00"/>
    <x v="3"/>
    <x v="1"/>
    <x v="0"/>
    <n v="94.06"/>
    <n v="26.9"/>
    <n v="0"/>
    <n v="61207.979999999989"/>
    <x v="1"/>
    <n v="2.4966542750929368"/>
    <x v="1146"/>
    <x v="0"/>
    <x v="2"/>
    <x v="0"/>
    <n v="0"/>
  </r>
  <r>
    <d v="2024-03-18T00:00:00"/>
    <x v="1"/>
    <x v="1"/>
    <x v="0"/>
    <n v="171.11"/>
    <n v="14.6"/>
    <n v="2"/>
    <n v="54735.250000000029"/>
    <x v="0"/>
    <n v="10.719863013698632"/>
    <x v="1147"/>
    <x v="1"/>
    <x v="3"/>
    <x v="1"/>
    <n v="85.555000000000007"/>
  </r>
  <r>
    <d v="2024-04-11T00:00:00"/>
    <x v="0"/>
    <x v="1"/>
    <x v="1"/>
    <n v="121.94"/>
    <n v="34.35"/>
    <n v="2"/>
    <n v="58562.910000000018"/>
    <x v="1"/>
    <n v="2.5499272197962153"/>
    <x v="1148"/>
    <x v="1"/>
    <x v="1"/>
    <x v="1"/>
    <n v="60.97"/>
  </r>
  <r>
    <d v="2024-03-30T00:00:00"/>
    <x v="1"/>
    <x v="0"/>
    <x v="1"/>
    <n v="35.83"/>
    <n v="1.26"/>
    <n v="3"/>
    <n v="54735.250000000029"/>
    <x v="0"/>
    <n v="27.436507936507937"/>
    <x v="1149"/>
    <x v="1"/>
    <x v="3"/>
    <x v="1"/>
    <n v="11.943333333333333"/>
  </r>
  <r>
    <d v="2024-04-26T00:00:00"/>
    <x v="0"/>
    <x v="1"/>
    <x v="1"/>
    <n v="143.63"/>
    <n v="39.46"/>
    <n v="3"/>
    <n v="58562.910000000018"/>
    <x v="1"/>
    <n v="2.6398884946781549"/>
    <x v="1150"/>
    <x v="0"/>
    <x v="1"/>
    <x v="1"/>
    <n v="47.876666666666665"/>
  </r>
  <r>
    <d v="2024-03-06T00:00:00"/>
    <x v="4"/>
    <x v="2"/>
    <x v="1"/>
    <n v="151.33000000000001"/>
    <n v="32.75"/>
    <n v="0"/>
    <n v="54735.250000000029"/>
    <x v="0"/>
    <n v="3.6207633587786265"/>
    <x v="981"/>
    <x v="0"/>
    <x v="3"/>
    <x v="1"/>
    <n v="0"/>
  </r>
  <r>
    <d v="2024-02-05T00:00:00"/>
    <x v="0"/>
    <x v="1"/>
    <x v="1"/>
    <n v="43.06"/>
    <n v="8.92"/>
    <n v="3"/>
    <n v="48675.899999999936"/>
    <x v="0"/>
    <n v="3.8273542600896864"/>
    <x v="1151"/>
    <x v="0"/>
    <x v="0"/>
    <x v="0"/>
    <n v="14.353333333333333"/>
  </r>
  <r>
    <d v="2024-03-11T00:00:00"/>
    <x v="1"/>
    <x v="2"/>
    <x v="0"/>
    <n v="95.59"/>
    <n v="8.31"/>
    <n v="2"/>
    <n v="54735.250000000029"/>
    <x v="0"/>
    <n v="10.50300842358604"/>
    <x v="234"/>
    <x v="1"/>
    <x v="3"/>
    <x v="1"/>
    <n v="47.795000000000002"/>
  </r>
  <r>
    <d v="2024-01-27T00:00:00"/>
    <x v="1"/>
    <x v="0"/>
    <x v="1"/>
    <n v="70.83"/>
    <n v="32.97"/>
    <n v="2"/>
    <n v="61207.979999999989"/>
    <x v="1"/>
    <n v="1.148316651501365"/>
    <x v="1152"/>
    <x v="1"/>
    <x v="2"/>
    <x v="0"/>
    <n v="35.414999999999999"/>
  </r>
  <r>
    <d v="2024-01-26T00:00:00"/>
    <x v="0"/>
    <x v="1"/>
    <x v="0"/>
    <n v="28.54"/>
    <n v="13.24"/>
    <n v="2"/>
    <n v="61207.979999999989"/>
    <x v="1"/>
    <n v="1.1555891238670695"/>
    <x v="1153"/>
    <x v="1"/>
    <x v="2"/>
    <x v="0"/>
    <n v="14.27"/>
  </r>
  <r>
    <d v="2024-03-19T00:00:00"/>
    <x v="1"/>
    <x v="2"/>
    <x v="1"/>
    <n v="37.33"/>
    <n v="44.02"/>
    <n v="0"/>
    <n v="54735.250000000029"/>
    <x v="0"/>
    <n v="-0.15197637437528405"/>
    <x v="1154"/>
    <x v="1"/>
    <x v="3"/>
    <x v="1"/>
    <n v="0"/>
  </r>
  <r>
    <d v="2024-02-23T00:00:00"/>
    <x v="2"/>
    <x v="1"/>
    <x v="0"/>
    <n v="180.73"/>
    <n v="6"/>
    <n v="2"/>
    <n v="48675.899999999936"/>
    <x v="0"/>
    <n v="29.121666666666666"/>
    <x v="1155"/>
    <x v="1"/>
    <x v="0"/>
    <x v="0"/>
    <n v="90.364999999999995"/>
  </r>
  <r>
    <d v="2024-02-03T00:00:00"/>
    <x v="3"/>
    <x v="2"/>
    <x v="1"/>
    <n v="29.03"/>
    <n v="15.73"/>
    <n v="3"/>
    <n v="48675.899999999936"/>
    <x v="0"/>
    <n v="0.84551811824539103"/>
    <x v="1156"/>
    <x v="1"/>
    <x v="0"/>
    <x v="0"/>
    <n v="9.6766666666666676"/>
  </r>
  <r>
    <d v="2024-04-29T00:00:00"/>
    <x v="2"/>
    <x v="1"/>
    <x v="0"/>
    <n v="48.82"/>
    <n v="10.24"/>
    <n v="0"/>
    <n v="58562.910000000018"/>
    <x v="1"/>
    <n v="3.7675781249999996"/>
    <x v="1157"/>
    <x v="1"/>
    <x v="1"/>
    <x v="1"/>
    <n v="0"/>
  </r>
  <r>
    <d v="2024-03-02T00:00:00"/>
    <x v="3"/>
    <x v="1"/>
    <x v="0"/>
    <n v="115.37"/>
    <n v="39.340000000000003"/>
    <n v="1"/>
    <n v="54735.250000000029"/>
    <x v="0"/>
    <n v="1.9326385358413827"/>
    <x v="1158"/>
    <x v="0"/>
    <x v="3"/>
    <x v="1"/>
    <n v="115.37"/>
  </r>
  <r>
    <d v="2024-03-31T00:00:00"/>
    <x v="4"/>
    <x v="0"/>
    <x v="0"/>
    <n v="82.63"/>
    <n v="30.44"/>
    <n v="1"/>
    <n v="54735.250000000029"/>
    <x v="0"/>
    <n v="1.714520367936925"/>
    <x v="1159"/>
    <x v="0"/>
    <x v="3"/>
    <x v="1"/>
    <n v="82.63"/>
  </r>
  <r>
    <d v="2024-02-11T00:00:00"/>
    <x v="0"/>
    <x v="2"/>
    <x v="1"/>
    <n v="33.6"/>
    <n v="30.81"/>
    <n v="2"/>
    <n v="48675.899999999936"/>
    <x v="0"/>
    <n v="9.0555014605647605E-2"/>
    <x v="1160"/>
    <x v="0"/>
    <x v="0"/>
    <x v="0"/>
    <n v="16.8"/>
  </r>
  <r>
    <d v="2024-02-02T00:00:00"/>
    <x v="0"/>
    <x v="0"/>
    <x v="1"/>
    <n v="28.28"/>
    <n v="48.26"/>
    <n v="2"/>
    <n v="48675.899999999936"/>
    <x v="0"/>
    <n v="-0.41400745959386653"/>
    <x v="1161"/>
    <x v="0"/>
    <x v="0"/>
    <x v="0"/>
    <n v="14.14"/>
  </r>
  <r>
    <d v="2024-02-06T00:00:00"/>
    <x v="1"/>
    <x v="2"/>
    <x v="1"/>
    <n v="146.52000000000001"/>
    <n v="28.58"/>
    <n v="0"/>
    <n v="48675.899999999936"/>
    <x v="0"/>
    <n v="4.1266620013995805"/>
    <x v="1162"/>
    <x v="1"/>
    <x v="0"/>
    <x v="0"/>
    <n v="0"/>
  </r>
  <r>
    <d v="2024-04-14T00:00:00"/>
    <x v="3"/>
    <x v="0"/>
    <x v="1"/>
    <n v="41.12"/>
    <n v="27.52"/>
    <n v="0"/>
    <n v="58562.910000000018"/>
    <x v="1"/>
    <n v="0.49418604651162784"/>
    <x v="1163"/>
    <x v="1"/>
    <x v="1"/>
    <x v="1"/>
    <n v="0"/>
  </r>
  <r>
    <d v="2024-02-10T00:00:00"/>
    <x v="2"/>
    <x v="0"/>
    <x v="0"/>
    <n v="190.33"/>
    <n v="46.52"/>
    <n v="2"/>
    <n v="48675.899999999936"/>
    <x v="0"/>
    <n v="3.0913585554600171"/>
    <x v="1164"/>
    <x v="1"/>
    <x v="0"/>
    <x v="0"/>
    <n v="95.165000000000006"/>
  </r>
  <r>
    <d v="2024-02-06T00:00:00"/>
    <x v="4"/>
    <x v="1"/>
    <x v="1"/>
    <n v="62.46"/>
    <n v="20.87"/>
    <n v="0"/>
    <n v="48675.899999999936"/>
    <x v="0"/>
    <n v="1.992812649736464"/>
    <x v="1165"/>
    <x v="0"/>
    <x v="0"/>
    <x v="0"/>
    <n v="0"/>
  </r>
  <r>
    <d v="2024-04-08T00:00:00"/>
    <x v="4"/>
    <x v="0"/>
    <x v="1"/>
    <n v="99.48"/>
    <n v="37.450000000000003"/>
    <n v="1"/>
    <n v="58562.910000000018"/>
    <x v="1"/>
    <n v="1.6563417890520693"/>
    <x v="1166"/>
    <x v="1"/>
    <x v="1"/>
    <x v="1"/>
    <n v="99.48"/>
  </r>
  <r>
    <d v="2024-03-14T00:00:00"/>
    <x v="3"/>
    <x v="1"/>
    <x v="0"/>
    <n v="119.99"/>
    <n v="7.96"/>
    <n v="0"/>
    <n v="54735.250000000029"/>
    <x v="0"/>
    <n v="14.074120603015075"/>
    <x v="1167"/>
    <x v="1"/>
    <x v="3"/>
    <x v="1"/>
    <n v="0"/>
  </r>
  <r>
    <d v="2024-02-10T00:00:00"/>
    <x v="4"/>
    <x v="2"/>
    <x v="0"/>
    <n v="165.68"/>
    <n v="8.56"/>
    <n v="2"/>
    <n v="48675.899999999936"/>
    <x v="0"/>
    <n v="18.355140186915886"/>
    <x v="1168"/>
    <x v="1"/>
    <x v="0"/>
    <x v="0"/>
    <n v="82.84"/>
  </r>
  <r>
    <d v="2024-04-20T00:00:00"/>
    <x v="0"/>
    <x v="0"/>
    <x v="0"/>
    <n v="151.77000000000001"/>
    <n v="18.2"/>
    <n v="2"/>
    <n v="58562.910000000018"/>
    <x v="1"/>
    <n v="7.3390109890109905"/>
    <x v="1169"/>
    <x v="1"/>
    <x v="1"/>
    <x v="1"/>
    <n v="75.885000000000005"/>
  </r>
  <r>
    <d v="2024-02-21T00:00:00"/>
    <x v="3"/>
    <x v="2"/>
    <x v="0"/>
    <n v="133.01"/>
    <n v="23.02"/>
    <n v="3"/>
    <n v="48675.899999999936"/>
    <x v="0"/>
    <n v="4.7780191138140742"/>
    <x v="1170"/>
    <x v="0"/>
    <x v="0"/>
    <x v="0"/>
    <n v="44.336666666666666"/>
  </r>
  <r>
    <d v="2024-03-11T00:00:00"/>
    <x v="1"/>
    <x v="1"/>
    <x v="1"/>
    <n v="131.59"/>
    <n v="42.19"/>
    <n v="2"/>
    <n v="54735.250000000029"/>
    <x v="0"/>
    <n v="2.1189855415975352"/>
    <x v="1171"/>
    <x v="0"/>
    <x v="3"/>
    <x v="1"/>
    <n v="65.795000000000002"/>
  </r>
  <r>
    <d v="2024-03-29T00:00:00"/>
    <x v="2"/>
    <x v="2"/>
    <x v="1"/>
    <n v="148.13999999999999"/>
    <n v="16.64"/>
    <n v="1"/>
    <n v="54735.250000000029"/>
    <x v="0"/>
    <n v="7.9026442307692308"/>
    <x v="1172"/>
    <x v="0"/>
    <x v="3"/>
    <x v="1"/>
    <n v="148.13999999999999"/>
  </r>
  <r>
    <d v="2024-03-13T00:00:00"/>
    <x v="1"/>
    <x v="1"/>
    <x v="0"/>
    <n v="166.63"/>
    <n v="25.94"/>
    <n v="0"/>
    <n v="54735.250000000029"/>
    <x v="0"/>
    <n v="5.4236700077100997"/>
    <x v="1173"/>
    <x v="1"/>
    <x v="3"/>
    <x v="1"/>
    <n v="0"/>
  </r>
  <r>
    <d v="2024-02-15T00:00:00"/>
    <x v="0"/>
    <x v="2"/>
    <x v="0"/>
    <n v="65.8"/>
    <n v="22.86"/>
    <n v="3"/>
    <n v="48675.899999999936"/>
    <x v="0"/>
    <n v="1.8783902012248468"/>
    <x v="1174"/>
    <x v="0"/>
    <x v="0"/>
    <x v="0"/>
    <n v="21.933333333333334"/>
  </r>
  <r>
    <d v="2024-04-19T00:00:00"/>
    <x v="3"/>
    <x v="2"/>
    <x v="0"/>
    <n v="26.97"/>
    <n v="39.5"/>
    <n v="0"/>
    <n v="58562.910000000018"/>
    <x v="1"/>
    <n v="-0.31721518987341774"/>
    <x v="1175"/>
    <x v="0"/>
    <x v="1"/>
    <x v="1"/>
    <n v="0"/>
  </r>
  <r>
    <d v="2024-02-05T00:00:00"/>
    <x v="0"/>
    <x v="0"/>
    <x v="1"/>
    <n v="87.69"/>
    <n v="39.590000000000003"/>
    <n v="3"/>
    <n v="48675.899999999936"/>
    <x v="0"/>
    <n v="1.2149532710280371"/>
    <x v="1176"/>
    <x v="0"/>
    <x v="0"/>
    <x v="0"/>
    <n v="29.23"/>
  </r>
  <r>
    <d v="2024-01-10T00:00:00"/>
    <x v="3"/>
    <x v="1"/>
    <x v="1"/>
    <n v="132.76"/>
    <n v="3.66"/>
    <n v="0"/>
    <n v="61207.979999999989"/>
    <x v="1"/>
    <n v="35.273224043715842"/>
    <x v="1177"/>
    <x v="1"/>
    <x v="2"/>
    <x v="0"/>
    <n v="0"/>
  </r>
  <r>
    <d v="2024-03-03T00:00:00"/>
    <x v="4"/>
    <x v="0"/>
    <x v="1"/>
    <n v="26.91"/>
    <n v="37.840000000000003"/>
    <n v="1"/>
    <n v="54735.250000000029"/>
    <x v="0"/>
    <n v="-0.28884778012684997"/>
    <x v="1178"/>
    <x v="0"/>
    <x v="3"/>
    <x v="1"/>
    <n v="26.91"/>
  </r>
  <r>
    <d v="2024-04-13T00:00:00"/>
    <x v="2"/>
    <x v="2"/>
    <x v="0"/>
    <n v="145.56"/>
    <n v="15.16"/>
    <n v="3"/>
    <n v="58562.910000000018"/>
    <x v="1"/>
    <n v="8.6015831134564653"/>
    <x v="1179"/>
    <x v="0"/>
    <x v="1"/>
    <x v="1"/>
    <n v="48.52"/>
  </r>
  <r>
    <d v="2024-04-08T00:00:00"/>
    <x v="4"/>
    <x v="1"/>
    <x v="1"/>
    <n v="102.44"/>
    <n v="43.5"/>
    <n v="2"/>
    <n v="58562.910000000018"/>
    <x v="1"/>
    <n v="1.354942528735632"/>
    <x v="1180"/>
    <x v="0"/>
    <x v="1"/>
    <x v="1"/>
    <n v="51.22"/>
  </r>
  <r>
    <d v="2024-02-12T00:00:00"/>
    <x v="3"/>
    <x v="0"/>
    <x v="1"/>
    <n v="113.59"/>
    <n v="21.2"/>
    <n v="2"/>
    <n v="48675.899999999936"/>
    <x v="0"/>
    <n v="4.3580188679245282"/>
    <x v="1181"/>
    <x v="1"/>
    <x v="0"/>
    <x v="0"/>
    <n v="56.795000000000002"/>
  </r>
  <r>
    <d v="2024-04-01T00:00:00"/>
    <x v="2"/>
    <x v="1"/>
    <x v="0"/>
    <n v="35.020000000000003"/>
    <n v="13.28"/>
    <n v="2"/>
    <n v="58562.910000000018"/>
    <x v="1"/>
    <n v="1.6370481927710845"/>
    <x v="1182"/>
    <x v="1"/>
    <x v="1"/>
    <x v="1"/>
    <n v="17.510000000000002"/>
  </r>
  <r>
    <d v="2024-03-26T00:00:00"/>
    <x v="4"/>
    <x v="1"/>
    <x v="0"/>
    <n v="136.65"/>
    <n v="3.69"/>
    <n v="3"/>
    <n v="54735.250000000029"/>
    <x v="0"/>
    <n v="36.032520325203258"/>
    <x v="1183"/>
    <x v="0"/>
    <x v="3"/>
    <x v="1"/>
    <n v="45.550000000000004"/>
  </r>
  <r>
    <d v="2024-03-14T00:00:00"/>
    <x v="4"/>
    <x v="2"/>
    <x v="1"/>
    <n v="94.99"/>
    <n v="26.45"/>
    <n v="2"/>
    <n v="54735.250000000029"/>
    <x v="0"/>
    <n v="2.5913043478260867"/>
    <x v="1184"/>
    <x v="0"/>
    <x v="3"/>
    <x v="1"/>
    <n v="47.494999999999997"/>
  </r>
  <r>
    <d v="2024-04-22T00:00:00"/>
    <x v="3"/>
    <x v="0"/>
    <x v="0"/>
    <n v="171.68"/>
    <n v="39.770000000000003"/>
    <n v="2"/>
    <n v="58562.910000000018"/>
    <x v="1"/>
    <n v="3.3168217249182796"/>
    <x v="1185"/>
    <x v="1"/>
    <x v="1"/>
    <x v="1"/>
    <n v="85.84"/>
  </r>
  <r>
    <d v="2024-04-07T00:00:00"/>
    <x v="1"/>
    <x v="1"/>
    <x v="1"/>
    <n v="42.43"/>
    <n v="31.07"/>
    <n v="1"/>
    <n v="58562.910000000018"/>
    <x v="1"/>
    <n v="0.36562600579336979"/>
    <x v="1186"/>
    <x v="1"/>
    <x v="1"/>
    <x v="1"/>
    <n v="42.43"/>
  </r>
  <r>
    <d v="2024-02-16T00:00:00"/>
    <x v="2"/>
    <x v="2"/>
    <x v="1"/>
    <n v="120.73"/>
    <n v="27.31"/>
    <n v="3"/>
    <n v="48675.899999999936"/>
    <x v="0"/>
    <n v="3.4207250091541561"/>
    <x v="1187"/>
    <x v="1"/>
    <x v="0"/>
    <x v="0"/>
    <n v="40.243333333333332"/>
  </r>
  <r>
    <d v="2024-04-06T00:00:00"/>
    <x v="0"/>
    <x v="0"/>
    <x v="1"/>
    <n v="152.84"/>
    <n v="19.22"/>
    <n v="0"/>
    <n v="58562.910000000018"/>
    <x v="1"/>
    <n v="6.9521331945889706"/>
    <x v="1188"/>
    <x v="1"/>
    <x v="1"/>
    <x v="1"/>
    <n v="0"/>
  </r>
  <r>
    <d v="2024-04-17T00:00:00"/>
    <x v="2"/>
    <x v="0"/>
    <x v="0"/>
    <n v="36.68"/>
    <n v="45.45"/>
    <n v="2"/>
    <n v="58562.910000000018"/>
    <x v="1"/>
    <n v="-0.19295929592959302"/>
    <x v="1189"/>
    <x v="1"/>
    <x v="1"/>
    <x v="1"/>
    <n v="18.34"/>
  </r>
  <r>
    <d v="2024-04-28T00:00:00"/>
    <x v="2"/>
    <x v="2"/>
    <x v="1"/>
    <n v="183.37"/>
    <n v="29.36"/>
    <n v="2"/>
    <n v="58562.910000000018"/>
    <x v="1"/>
    <n v="5.2455722070844688"/>
    <x v="1190"/>
    <x v="1"/>
    <x v="1"/>
    <x v="1"/>
    <n v="91.685000000000002"/>
  </r>
  <r>
    <d v="2024-01-23T00:00:00"/>
    <x v="0"/>
    <x v="2"/>
    <x v="0"/>
    <n v="66.44"/>
    <n v="11.03"/>
    <n v="2"/>
    <n v="61207.979999999989"/>
    <x v="1"/>
    <n v="5.0235720761559381"/>
    <x v="1191"/>
    <x v="0"/>
    <x v="2"/>
    <x v="0"/>
    <n v="33.22"/>
  </r>
  <r>
    <d v="2024-01-22T00:00:00"/>
    <x v="3"/>
    <x v="2"/>
    <x v="0"/>
    <n v="158.49"/>
    <n v="8.09"/>
    <n v="3"/>
    <n v="61207.979999999989"/>
    <x v="1"/>
    <n v="18.590852904820768"/>
    <x v="1192"/>
    <x v="0"/>
    <x v="2"/>
    <x v="0"/>
    <n v="52.830000000000005"/>
  </r>
  <r>
    <d v="2024-04-30T00:00:00"/>
    <x v="2"/>
    <x v="1"/>
    <x v="0"/>
    <n v="176.29"/>
    <n v="33.68"/>
    <n v="0"/>
    <n v="58562.910000000018"/>
    <x v="1"/>
    <n v="4.2342636579572446"/>
    <x v="1193"/>
    <x v="0"/>
    <x v="1"/>
    <x v="1"/>
    <n v="0"/>
  </r>
  <r>
    <d v="2024-03-08T00:00:00"/>
    <x v="2"/>
    <x v="0"/>
    <x v="1"/>
    <n v="124.46"/>
    <n v="15.99"/>
    <n v="0"/>
    <n v="54735.250000000029"/>
    <x v="0"/>
    <n v="6.7836147592245153"/>
    <x v="1194"/>
    <x v="1"/>
    <x v="3"/>
    <x v="1"/>
    <n v="0"/>
  </r>
  <r>
    <d v="2024-02-20T00:00:00"/>
    <x v="1"/>
    <x v="1"/>
    <x v="1"/>
    <n v="48.41"/>
    <n v="48.1"/>
    <n v="0"/>
    <n v="48675.899999999936"/>
    <x v="0"/>
    <n v="6.4449064449063447E-3"/>
    <x v="1195"/>
    <x v="0"/>
    <x v="0"/>
    <x v="0"/>
    <n v="0"/>
  </r>
  <r>
    <d v="2024-02-24T00:00:00"/>
    <x v="4"/>
    <x v="1"/>
    <x v="1"/>
    <n v="190.12"/>
    <n v="22.8"/>
    <n v="1"/>
    <n v="48675.899999999936"/>
    <x v="0"/>
    <n v="7.3385964912280697"/>
    <x v="1196"/>
    <x v="1"/>
    <x v="0"/>
    <x v="0"/>
    <n v="190.12"/>
  </r>
  <r>
    <d v="2024-04-14T00:00:00"/>
    <x v="3"/>
    <x v="1"/>
    <x v="1"/>
    <n v="132.61000000000001"/>
    <n v="12.55"/>
    <n v="3"/>
    <n v="58562.910000000018"/>
    <x v="1"/>
    <n v="9.5665338645418334"/>
    <x v="1197"/>
    <x v="0"/>
    <x v="1"/>
    <x v="1"/>
    <n v="44.20333333333334"/>
  </r>
  <r>
    <d v="2024-01-05T00:00:00"/>
    <x v="1"/>
    <x v="2"/>
    <x v="1"/>
    <n v="114.67"/>
    <n v="29.43"/>
    <n v="1"/>
    <n v="61207.979999999989"/>
    <x v="1"/>
    <n v="2.8963642541624197"/>
    <x v="1198"/>
    <x v="1"/>
    <x v="2"/>
    <x v="0"/>
    <n v="114.67"/>
  </r>
  <r>
    <d v="2024-03-01T00:00:00"/>
    <x v="0"/>
    <x v="0"/>
    <x v="0"/>
    <n v="164.07"/>
    <n v="13.94"/>
    <n v="3"/>
    <n v="54735.250000000029"/>
    <x v="0"/>
    <n v="10.769727403156384"/>
    <x v="1199"/>
    <x v="1"/>
    <x v="3"/>
    <x v="1"/>
    <n v="54.69"/>
  </r>
  <r>
    <d v="2024-01-03T00:00:00"/>
    <x v="0"/>
    <x v="1"/>
    <x v="1"/>
    <n v="108.98"/>
    <n v="15.56"/>
    <n v="2"/>
    <n v="61207.979999999989"/>
    <x v="1"/>
    <n v="6.0038560411311055"/>
    <x v="1187"/>
    <x v="1"/>
    <x v="2"/>
    <x v="0"/>
    <n v="54.49"/>
  </r>
  <r>
    <d v="2024-04-30T00:00:00"/>
    <x v="4"/>
    <x v="2"/>
    <x v="0"/>
    <n v="187.76"/>
    <n v="36.25"/>
    <n v="0"/>
    <n v="58562.910000000018"/>
    <x v="1"/>
    <n v="4.1795862068965519"/>
    <x v="1200"/>
    <x v="1"/>
    <x v="1"/>
    <x v="1"/>
    <n v="0"/>
  </r>
  <r>
    <d v="2024-04-02T00:00:00"/>
    <x v="4"/>
    <x v="2"/>
    <x v="1"/>
    <n v="156.63"/>
    <n v="7.75"/>
    <n v="2"/>
    <n v="58562.910000000018"/>
    <x v="1"/>
    <n v="19.210322580645162"/>
    <x v="1201"/>
    <x v="0"/>
    <x v="1"/>
    <x v="1"/>
    <n v="78.314999999999998"/>
  </r>
  <r>
    <d v="2024-01-07T00:00:00"/>
    <x v="2"/>
    <x v="1"/>
    <x v="0"/>
    <n v="96.05"/>
    <n v="3.74"/>
    <n v="3"/>
    <n v="61207.979999999989"/>
    <x v="1"/>
    <n v="24.68181818181818"/>
    <x v="1202"/>
    <x v="1"/>
    <x v="2"/>
    <x v="0"/>
    <n v="32.016666666666666"/>
  </r>
  <r>
    <d v="2024-01-22T00:00:00"/>
    <x v="3"/>
    <x v="1"/>
    <x v="1"/>
    <n v="121.97"/>
    <n v="35.53"/>
    <n v="0"/>
    <n v="61207.979999999989"/>
    <x v="1"/>
    <n v="2.4328736279200673"/>
    <x v="1203"/>
    <x v="0"/>
    <x v="2"/>
    <x v="0"/>
    <n v="0"/>
  </r>
  <r>
    <d v="2024-01-17T00:00:00"/>
    <x v="4"/>
    <x v="0"/>
    <x v="0"/>
    <n v="197.33"/>
    <n v="2.29"/>
    <n v="3"/>
    <n v="61207.979999999989"/>
    <x v="1"/>
    <n v="85.170305676855904"/>
    <x v="1204"/>
    <x v="0"/>
    <x v="2"/>
    <x v="0"/>
    <n v="65.776666666666671"/>
  </r>
  <r>
    <d v="2024-04-20T00:00:00"/>
    <x v="4"/>
    <x v="2"/>
    <x v="0"/>
    <n v="110"/>
    <n v="23.59"/>
    <n v="0"/>
    <n v="58562.910000000018"/>
    <x v="1"/>
    <n v="3.6629927935565916"/>
    <x v="884"/>
    <x v="0"/>
    <x v="1"/>
    <x v="1"/>
    <n v="0"/>
  </r>
  <r>
    <d v="2024-03-22T00:00:00"/>
    <x v="3"/>
    <x v="0"/>
    <x v="1"/>
    <n v="76.22"/>
    <n v="48"/>
    <n v="2"/>
    <n v="54735.250000000029"/>
    <x v="0"/>
    <n v="0.58791666666666664"/>
    <x v="1205"/>
    <x v="1"/>
    <x v="3"/>
    <x v="1"/>
    <n v="38.11"/>
  </r>
  <r>
    <d v="2024-02-14T00:00:00"/>
    <x v="2"/>
    <x v="2"/>
    <x v="0"/>
    <n v="177.32"/>
    <n v="36.15"/>
    <n v="3"/>
    <n v="48675.899999999936"/>
    <x v="0"/>
    <n v="3.9051175656984785"/>
    <x v="1206"/>
    <x v="1"/>
    <x v="0"/>
    <x v="0"/>
    <n v="59.106666666666662"/>
  </r>
  <r>
    <d v="2024-01-06T00:00:00"/>
    <x v="0"/>
    <x v="0"/>
    <x v="0"/>
    <n v="92.08"/>
    <n v="26.13"/>
    <n v="0"/>
    <n v="61207.979999999989"/>
    <x v="1"/>
    <n v="2.5239188672024495"/>
    <x v="1207"/>
    <x v="0"/>
    <x v="2"/>
    <x v="0"/>
    <n v="0"/>
  </r>
  <r>
    <d v="2024-03-17T00:00:00"/>
    <x v="0"/>
    <x v="1"/>
    <x v="1"/>
    <n v="171.21"/>
    <n v="36.94"/>
    <n v="3"/>
    <n v="54735.250000000029"/>
    <x v="0"/>
    <n v="3.6348132106118034"/>
    <x v="1208"/>
    <x v="0"/>
    <x v="3"/>
    <x v="1"/>
    <n v="57.07"/>
  </r>
  <r>
    <d v="2024-02-08T00:00:00"/>
    <x v="0"/>
    <x v="0"/>
    <x v="0"/>
    <n v="25.42"/>
    <n v="40.58"/>
    <n v="1"/>
    <n v="48675.899999999936"/>
    <x v="0"/>
    <n v="-0.37358304583538682"/>
    <x v="1209"/>
    <x v="0"/>
    <x v="0"/>
    <x v="0"/>
    <n v="25.42"/>
  </r>
  <r>
    <d v="2024-02-12T00:00:00"/>
    <x v="2"/>
    <x v="0"/>
    <x v="0"/>
    <n v="58.5"/>
    <n v="43.2"/>
    <n v="0"/>
    <n v="48675.899999999936"/>
    <x v="0"/>
    <n v="0.35416666666666657"/>
    <x v="1210"/>
    <x v="1"/>
    <x v="0"/>
    <x v="0"/>
    <n v="0"/>
  </r>
  <r>
    <d v="2024-02-21T00:00:00"/>
    <x v="4"/>
    <x v="0"/>
    <x v="0"/>
    <n v="61.56"/>
    <n v="39.380000000000003"/>
    <n v="1"/>
    <n v="48675.899999999936"/>
    <x v="0"/>
    <n v="0.56323006602336212"/>
    <x v="1211"/>
    <x v="1"/>
    <x v="0"/>
    <x v="0"/>
    <n v="61.56"/>
  </r>
  <r>
    <d v="2024-03-11T00:00:00"/>
    <x v="4"/>
    <x v="0"/>
    <x v="1"/>
    <n v="119.28"/>
    <n v="31.8"/>
    <n v="1"/>
    <n v="54735.250000000029"/>
    <x v="0"/>
    <n v="2.7509433962264151"/>
    <x v="1212"/>
    <x v="0"/>
    <x v="3"/>
    <x v="1"/>
    <n v="119.28"/>
  </r>
  <r>
    <d v="2024-04-18T00:00:00"/>
    <x v="2"/>
    <x v="0"/>
    <x v="0"/>
    <n v="191.38"/>
    <n v="43.45"/>
    <n v="2"/>
    <n v="58562.910000000018"/>
    <x v="1"/>
    <n v="3.4046029919447642"/>
    <x v="1213"/>
    <x v="1"/>
    <x v="1"/>
    <x v="1"/>
    <n v="95.69"/>
  </r>
  <r>
    <d v="2024-02-10T00:00:00"/>
    <x v="4"/>
    <x v="1"/>
    <x v="0"/>
    <n v="118.03"/>
    <n v="10.220000000000001"/>
    <n v="2"/>
    <n v="48675.899999999936"/>
    <x v="0"/>
    <n v="10.548923679060666"/>
    <x v="1214"/>
    <x v="0"/>
    <x v="0"/>
    <x v="0"/>
    <n v="59.015000000000001"/>
  </r>
  <r>
    <d v="2024-04-28T00:00:00"/>
    <x v="1"/>
    <x v="2"/>
    <x v="1"/>
    <n v="119.89"/>
    <n v="28.99"/>
    <n v="0"/>
    <n v="58562.910000000018"/>
    <x v="1"/>
    <n v="3.135563987581925"/>
    <x v="1215"/>
    <x v="1"/>
    <x v="1"/>
    <x v="1"/>
    <n v="0"/>
  </r>
  <r>
    <d v="2024-04-21T00:00:00"/>
    <x v="2"/>
    <x v="1"/>
    <x v="0"/>
    <n v="105.63"/>
    <n v="11.46"/>
    <n v="3"/>
    <n v="58562.910000000018"/>
    <x v="1"/>
    <n v="8.2172774869109926"/>
    <x v="1216"/>
    <x v="1"/>
    <x v="1"/>
    <x v="1"/>
    <n v="35.21"/>
  </r>
  <r>
    <d v="2024-04-06T00:00:00"/>
    <x v="1"/>
    <x v="0"/>
    <x v="1"/>
    <n v="50.67"/>
    <n v="24.92"/>
    <n v="0"/>
    <n v="58562.910000000018"/>
    <x v="1"/>
    <n v="1.03330658105939"/>
    <x v="1217"/>
    <x v="0"/>
    <x v="1"/>
    <x v="1"/>
    <n v="0"/>
  </r>
  <r>
    <d v="2024-04-02T00:00:00"/>
    <x v="4"/>
    <x v="0"/>
    <x v="1"/>
    <n v="62.56"/>
    <n v="27.29"/>
    <n v="2"/>
    <n v="58562.910000000018"/>
    <x v="1"/>
    <n v="1.2924148039574936"/>
    <x v="1218"/>
    <x v="1"/>
    <x v="1"/>
    <x v="1"/>
    <n v="31.28"/>
  </r>
  <r>
    <d v="2024-02-22T00:00:00"/>
    <x v="0"/>
    <x v="0"/>
    <x v="0"/>
    <n v="109.22"/>
    <n v="46.44"/>
    <n v="1"/>
    <n v="48675.899999999936"/>
    <x v="0"/>
    <n v="1.3518518518518519"/>
    <x v="1219"/>
    <x v="1"/>
    <x v="0"/>
    <x v="0"/>
    <n v="109.22"/>
  </r>
  <r>
    <d v="2024-03-16T00:00:00"/>
    <x v="4"/>
    <x v="2"/>
    <x v="0"/>
    <n v="42.79"/>
    <n v="37.11"/>
    <n v="3"/>
    <n v="54735.250000000029"/>
    <x v="0"/>
    <n v="0.15305847480463486"/>
    <x v="1220"/>
    <x v="1"/>
    <x v="3"/>
    <x v="1"/>
    <n v="14.263333333333334"/>
  </r>
  <r>
    <d v="2024-01-11T00:00:00"/>
    <x v="4"/>
    <x v="1"/>
    <x v="0"/>
    <n v="82.74"/>
    <n v="45.11"/>
    <n v="1"/>
    <n v="61207.979999999989"/>
    <x v="1"/>
    <n v="0.83418310795832395"/>
    <x v="1221"/>
    <x v="0"/>
    <x v="2"/>
    <x v="0"/>
    <n v="82.74"/>
  </r>
  <r>
    <d v="2024-03-27T00:00:00"/>
    <x v="2"/>
    <x v="0"/>
    <x v="0"/>
    <n v="192.86"/>
    <n v="34.33"/>
    <n v="1"/>
    <n v="54735.250000000029"/>
    <x v="0"/>
    <n v="4.6178269734925728"/>
    <x v="1222"/>
    <x v="1"/>
    <x v="3"/>
    <x v="1"/>
    <n v="192.86"/>
  </r>
  <r>
    <d v="2024-03-04T00:00:00"/>
    <x v="2"/>
    <x v="0"/>
    <x v="0"/>
    <n v="126.6"/>
    <n v="11.92"/>
    <n v="3"/>
    <n v="54735.250000000029"/>
    <x v="0"/>
    <n v="9.6208053691275168"/>
    <x v="1223"/>
    <x v="1"/>
    <x v="3"/>
    <x v="1"/>
    <n v="42.199999999999996"/>
  </r>
  <r>
    <d v="2024-01-05T00:00:00"/>
    <x v="4"/>
    <x v="0"/>
    <x v="0"/>
    <n v="188.51"/>
    <n v="20.49"/>
    <n v="1"/>
    <n v="61207.979999999989"/>
    <x v="1"/>
    <n v="8.2000976085895552"/>
    <x v="1224"/>
    <x v="1"/>
    <x v="2"/>
    <x v="0"/>
    <n v="188.51"/>
  </r>
  <r>
    <d v="2024-03-04T00:00:00"/>
    <x v="4"/>
    <x v="0"/>
    <x v="0"/>
    <n v="125.2"/>
    <n v="35.99"/>
    <n v="3"/>
    <n v="54735.250000000029"/>
    <x v="0"/>
    <n v="2.4787440955821061"/>
    <x v="1225"/>
    <x v="0"/>
    <x v="3"/>
    <x v="1"/>
    <n v="41.733333333333334"/>
  </r>
  <r>
    <d v="2024-01-22T00:00:00"/>
    <x v="3"/>
    <x v="0"/>
    <x v="1"/>
    <n v="66.16"/>
    <n v="10.76"/>
    <n v="2"/>
    <n v="61207.979999999989"/>
    <x v="1"/>
    <n v="5.1486988847583639"/>
    <x v="1226"/>
    <x v="0"/>
    <x v="2"/>
    <x v="0"/>
    <n v="33.08"/>
  </r>
  <r>
    <d v="2024-03-21T00:00:00"/>
    <x v="4"/>
    <x v="2"/>
    <x v="0"/>
    <n v="31.74"/>
    <n v="15.98"/>
    <n v="2"/>
    <n v="54735.250000000029"/>
    <x v="0"/>
    <n v="0.98623279098873573"/>
    <x v="1227"/>
    <x v="1"/>
    <x v="3"/>
    <x v="1"/>
    <n v="15.87"/>
  </r>
  <r>
    <d v="2024-04-15T00:00:00"/>
    <x v="2"/>
    <x v="2"/>
    <x v="1"/>
    <n v="147.09"/>
    <n v="20.9"/>
    <n v="2"/>
    <n v="58562.910000000018"/>
    <x v="1"/>
    <n v="6.0377990430622015"/>
    <x v="1228"/>
    <x v="0"/>
    <x v="1"/>
    <x v="1"/>
    <n v="73.545000000000002"/>
  </r>
  <r>
    <d v="2024-01-27T00:00:00"/>
    <x v="1"/>
    <x v="0"/>
    <x v="1"/>
    <n v="106.47"/>
    <n v="45.45"/>
    <n v="2"/>
    <n v="61207.979999999989"/>
    <x v="1"/>
    <n v="1.3425742574257424"/>
    <x v="1229"/>
    <x v="0"/>
    <x v="2"/>
    <x v="0"/>
    <n v="53.234999999999999"/>
  </r>
  <r>
    <d v="2024-01-09T00:00:00"/>
    <x v="3"/>
    <x v="2"/>
    <x v="0"/>
    <n v="179.43"/>
    <n v="19.190000000000001"/>
    <n v="3"/>
    <n v="61207.979999999989"/>
    <x v="1"/>
    <n v="8.3501823866597178"/>
    <x v="1230"/>
    <x v="0"/>
    <x v="2"/>
    <x v="0"/>
    <n v="59.81"/>
  </r>
  <r>
    <d v="2024-01-28T00:00:00"/>
    <x v="0"/>
    <x v="1"/>
    <x v="0"/>
    <n v="71.510000000000005"/>
    <n v="40.51"/>
    <n v="0"/>
    <n v="61207.979999999989"/>
    <x v="1"/>
    <n v="0.765243149839546"/>
    <x v="1231"/>
    <x v="0"/>
    <x v="2"/>
    <x v="0"/>
    <n v="0"/>
  </r>
  <r>
    <d v="2024-04-11T00:00:00"/>
    <x v="1"/>
    <x v="2"/>
    <x v="1"/>
    <n v="162.74"/>
    <n v="38.17"/>
    <n v="3"/>
    <n v="58562.910000000018"/>
    <x v="1"/>
    <n v="3.2635577678805343"/>
    <x v="1232"/>
    <x v="0"/>
    <x v="1"/>
    <x v="1"/>
    <n v="54.24666666666667"/>
  </r>
  <r>
    <d v="2024-04-28T00:00:00"/>
    <x v="4"/>
    <x v="1"/>
    <x v="0"/>
    <n v="155.58000000000001"/>
    <n v="35.909999999999997"/>
    <n v="3"/>
    <n v="58562.910000000018"/>
    <x v="1"/>
    <n v="3.3324979114452806"/>
    <x v="1233"/>
    <x v="1"/>
    <x v="1"/>
    <x v="1"/>
    <n v="51.860000000000007"/>
  </r>
  <r>
    <d v="2024-04-14T00:00:00"/>
    <x v="0"/>
    <x v="2"/>
    <x v="1"/>
    <n v="48.16"/>
    <n v="28.31"/>
    <n v="1"/>
    <n v="58562.910000000018"/>
    <x v="1"/>
    <n v="0.70116566584245843"/>
    <x v="1234"/>
    <x v="1"/>
    <x v="1"/>
    <x v="1"/>
    <n v="48.16"/>
  </r>
  <r>
    <d v="2024-02-22T00:00:00"/>
    <x v="0"/>
    <x v="1"/>
    <x v="1"/>
    <n v="118.66"/>
    <n v="48.02"/>
    <n v="3"/>
    <n v="48675.899999999936"/>
    <x v="0"/>
    <n v="1.4710537276134941"/>
    <x v="1235"/>
    <x v="0"/>
    <x v="0"/>
    <x v="0"/>
    <n v="39.553333333333335"/>
  </r>
  <r>
    <d v="2024-03-28T00:00:00"/>
    <x v="4"/>
    <x v="2"/>
    <x v="0"/>
    <n v="63.55"/>
    <n v="30.04"/>
    <n v="0"/>
    <n v="54735.250000000029"/>
    <x v="0"/>
    <n v="1.1155126498002663"/>
    <x v="1236"/>
    <x v="1"/>
    <x v="3"/>
    <x v="1"/>
    <n v="0"/>
  </r>
  <r>
    <d v="2024-03-17T00:00:00"/>
    <x v="4"/>
    <x v="0"/>
    <x v="0"/>
    <n v="47.94"/>
    <n v="46.61"/>
    <n v="1"/>
    <n v="54735.250000000029"/>
    <x v="0"/>
    <n v="2.8534649216906207E-2"/>
    <x v="1237"/>
    <x v="1"/>
    <x v="3"/>
    <x v="1"/>
    <n v="47.94"/>
  </r>
  <r>
    <d v="2024-02-21T00:00:00"/>
    <x v="2"/>
    <x v="0"/>
    <x v="0"/>
    <n v="105.86"/>
    <n v="5.95"/>
    <n v="3"/>
    <n v="48675.899999999936"/>
    <x v="0"/>
    <n v="16.791596638655459"/>
    <x v="1238"/>
    <x v="0"/>
    <x v="0"/>
    <x v="0"/>
    <n v="35.286666666666669"/>
  </r>
  <r>
    <d v="2024-04-04T00:00:00"/>
    <x v="3"/>
    <x v="1"/>
    <x v="1"/>
    <n v="156.22999999999999"/>
    <n v="17.46"/>
    <n v="3"/>
    <n v="58562.910000000018"/>
    <x v="1"/>
    <n v="7.9478808705612813"/>
    <x v="1239"/>
    <x v="1"/>
    <x v="1"/>
    <x v="1"/>
    <n v="52.076666666666661"/>
  </r>
  <r>
    <d v="2024-03-31T00:00:00"/>
    <x v="4"/>
    <x v="0"/>
    <x v="0"/>
    <n v="160.78"/>
    <n v="13.57"/>
    <n v="0"/>
    <n v="54735.250000000029"/>
    <x v="0"/>
    <n v="10.848194546794399"/>
    <x v="1240"/>
    <x v="1"/>
    <x v="3"/>
    <x v="1"/>
    <n v="0"/>
  </r>
  <r>
    <d v="2024-04-22T00:00:00"/>
    <x v="4"/>
    <x v="0"/>
    <x v="0"/>
    <n v="35.049999999999997"/>
    <n v="37.51"/>
    <n v="2"/>
    <n v="58562.910000000018"/>
    <x v="1"/>
    <n v="-6.5582511330311941E-2"/>
    <x v="1241"/>
    <x v="1"/>
    <x v="1"/>
    <x v="1"/>
    <n v="17.524999999999999"/>
  </r>
  <r>
    <d v="2024-01-16T00:00:00"/>
    <x v="4"/>
    <x v="1"/>
    <x v="0"/>
    <n v="49.71"/>
    <n v="46.02"/>
    <n v="0"/>
    <n v="61207.979999999989"/>
    <x v="1"/>
    <n v="8.0182529335071653E-2"/>
    <x v="1242"/>
    <x v="1"/>
    <x v="2"/>
    <x v="0"/>
    <n v="0"/>
  </r>
  <r>
    <d v="2024-04-25T00:00:00"/>
    <x v="2"/>
    <x v="2"/>
    <x v="0"/>
    <n v="54.75"/>
    <n v="37.78"/>
    <n v="0"/>
    <n v="58562.910000000018"/>
    <x v="1"/>
    <n v="0.44917946003176279"/>
    <x v="1243"/>
    <x v="1"/>
    <x v="1"/>
    <x v="1"/>
    <n v="0"/>
  </r>
  <r>
    <d v="2024-01-11T00:00:00"/>
    <x v="4"/>
    <x v="2"/>
    <x v="0"/>
    <n v="125.19"/>
    <n v="48.71"/>
    <n v="3"/>
    <n v="61207.979999999989"/>
    <x v="1"/>
    <n v="1.570108807226442"/>
    <x v="1244"/>
    <x v="1"/>
    <x v="2"/>
    <x v="0"/>
    <n v="41.73"/>
  </r>
  <r>
    <d v="2024-04-12T00:00:00"/>
    <x v="0"/>
    <x v="2"/>
    <x v="0"/>
    <n v="180.58"/>
    <n v="49.25"/>
    <n v="3"/>
    <n v="58562.910000000018"/>
    <x v="1"/>
    <n v="2.6665989847715736"/>
    <x v="1245"/>
    <x v="1"/>
    <x v="1"/>
    <x v="1"/>
    <n v="60.193333333333335"/>
  </r>
  <r>
    <d v="2024-04-01T00:00:00"/>
    <x v="4"/>
    <x v="2"/>
    <x v="0"/>
    <n v="146.62"/>
    <n v="5.74"/>
    <n v="3"/>
    <n v="58562.910000000018"/>
    <x v="1"/>
    <n v="24.543554006968641"/>
    <x v="1246"/>
    <x v="1"/>
    <x v="1"/>
    <x v="1"/>
    <n v="48.873333333333335"/>
  </r>
  <r>
    <d v="2024-02-10T00:00:00"/>
    <x v="3"/>
    <x v="1"/>
    <x v="1"/>
    <n v="60.28"/>
    <n v="40.630000000000003"/>
    <n v="0"/>
    <n v="48675.899999999936"/>
    <x v="0"/>
    <n v="0.48363278365739593"/>
    <x v="1247"/>
    <x v="1"/>
    <x v="0"/>
    <x v="0"/>
    <n v="0"/>
  </r>
  <r>
    <d v="2024-01-09T00:00:00"/>
    <x v="4"/>
    <x v="2"/>
    <x v="1"/>
    <n v="151.44"/>
    <n v="2.87"/>
    <n v="1"/>
    <n v="61207.979999999989"/>
    <x v="1"/>
    <n v="51.766550522648082"/>
    <x v="1248"/>
    <x v="1"/>
    <x v="2"/>
    <x v="0"/>
    <n v="151.44"/>
  </r>
  <r>
    <d v="2024-03-07T00:00:00"/>
    <x v="1"/>
    <x v="1"/>
    <x v="1"/>
    <n v="165.65"/>
    <n v="23.87"/>
    <n v="1"/>
    <n v="54735.250000000029"/>
    <x v="0"/>
    <n v="5.9396732299958108"/>
    <x v="1249"/>
    <x v="0"/>
    <x v="3"/>
    <x v="1"/>
    <n v="165.65"/>
  </r>
  <r>
    <d v="2024-03-26T00:00:00"/>
    <x v="3"/>
    <x v="2"/>
    <x v="0"/>
    <n v="161.79"/>
    <n v="45.37"/>
    <n v="2"/>
    <n v="54735.250000000029"/>
    <x v="0"/>
    <n v="2.5660127837778268"/>
    <x v="1250"/>
    <x v="0"/>
    <x v="3"/>
    <x v="1"/>
    <n v="80.894999999999996"/>
  </r>
  <r>
    <d v="2024-02-02T00:00:00"/>
    <x v="1"/>
    <x v="1"/>
    <x v="0"/>
    <n v="115.65"/>
    <n v="26.52"/>
    <n v="3"/>
    <n v="48675.899999999936"/>
    <x v="0"/>
    <n v="3.3608597285067878"/>
    <x v="1251"/>
    <x v="0"/>
    <x v="0"/>
    <x v="0"/>
    <n v="38.550000000000004"/>
  </r>
  <r>
    <d v="2024-01-23T00:00:00"/>
    <x v="0"/>
    <x v="0"/>
    <x v="0"/>
    <n v="50.36"/>
    <n v="28.53"/>
    <n v="3"/>
    <n v="61207.979999999989"/>
    <x v="1"/>
    <n v="0.76515948124780919"/>
    <x v="1252"/>
    <x v="1"/>
    <x v="2"/>
    <x v="0"/>
    <n v="16.786666666666665"/>
  </r>
  <r>
    <d v="2024-01-02T00:00:00"/>
    <x v="4"/>
    <x v="2"/>
    <x v="1"/>
    <n v="63.08"/>
    <n v="34.56"/>
    <n v="1"/>
    <n v="61207.979999999989"/>
    <x v="1"/>
    <n v="0.82523148148148129"/>
    <x v="1253"/>
    <x v="0"/>
    <x v="2"/>
    <x v="0"/>
    <n v="63.08"/>
  </r>
  <r>
    <d v="2024-04-17T00:00:00"/>
    <x v="4"/>
    <x v="1"/>
    <x v="1"/>
    <n v="140.75"/>
    <n v="28.66"/>
    <n v="3"/>
    <n v="58562.910000000018"/>
    <x v="1"/>
    <n v="3.9110258199581298"/>
    <x v="1254"/>
    <x v="1"/>
    <x v="1"/>
    <x v="1"/>
    <n v="46.916666666666664"/>
  </r>
  <r>
    <d v="2024-02-06T00:00:00"/>
    <x v="1"/>
    <x v="2"/>
    <x v="1"/>
    <n v="162.71"/>
    <n v="37.75"/>
    <n v="0"/>
    <n v="48675.899999999936"/>
    <x v="0"/>
    <n v="3.310198675496689"/>
    <x v="1255"/>
    <x v="0"/>
    <x v="0"/>
    <x v="0"/>
    <n v="0"/>
  </r>
  <r>
    <d v="2024-04-11T00:00:00"/>
    <x v="4"/>
    <x v="1"/>
    <x v="1"/>
    <n v="165.81"/>
    <n v="24.2"/>
    <n v="3"/>
    <n v="58562.910000000018"/>
    <x v="1"/>
    <n v="5.851652892561984"/>
    <x v="1256"/>
    <x v="1"/>
    <x v="1"/>
    <x v="1"/>
    <n v="55.27"/>
  </r>
  <r>
    <d v="2024-02-17T00:00:00"/>
    <x v="1"/>
    <x v="2"/>
    <x v="0"/>
    <n v="156.66999999999999"/>
    <n v="43.37"/>
    <n v="0"/>
    <n v="48675.899999999936"/>
    <x v="0"/>
    <n v="2.6124048881715467"/>
    <x v="1257"/>
    <x v="1"/>
    <x v="0"/>
    <x v="0"/>
    <n v="0"/>
  </r>
  <r>
    <d v="2024-02-07T00:00:00"/>
    <x v="2"/>
    <x v="2"/>
    <x v="1"/>
    <n v="175.31"/>
    <n v="11.48"/>
    <n v="0"/>
    <n v="48675.899999999936"/>
    <x v="0"/>
    <n v="14.270905923344948"/>
    <x v="1258"/>
    <x v="1"/>
    <x v="0"/>
    <x v="0"/>
    <n v="0"/>
  </r>
  <r>
    <d v="2024-01-26T00:00:00"/>
    <x v="3"/>
    <x v="1"/>
    <x v="0"/>
    <n v="63.07"/>
    <n v="23.7"/>
    <n v="0"/>
    <n v="61207.979999999989"/>
    <x v="1"/>
    <n v="1.6611814345991565"/>
    <x v="1259"/>
    <x v="1"/>
    <x v="2"/>
    <x v="0"/>
    <n v="0"/>
  </r>
  <r>
    <d v="2024-03-12T00:00:00"/>
    <x v="2"/>
    <x v="2"/>
    <x v="1"/>
    <n v="189.95"/>
    <n v="1.48"/>
    <n v="1"/>
    <n v="54735.250000000029"/>
    <x v="0"/>
    <n v="127.3445945945946"/>
    <x v="1260"/>
    <x v="1"/>
    <x v="3"/>
    <x v="1"/>
    <n v="189.95"/>
  </r>
  <r>
    <d v="2024-01-26T00:00:00"/>
    <x v="3"/>
    <x v="2"/>
    <x v="1"/>
    <n v="182.42"/>
    <n v="24.43"/>
    <n v="1"/>
    <n v="61207.979999999989"/>
    <x v="1"/>
    <n v="6.467048710601718"/>
    <x v="1261"/>
    <x v="0"/>
    <x v="2"/>
    <x v="0"/>
    <n v="182.42"/>
  </r>
  <r>
    <d v="2024-03-03T00:00:00"/>
    <x v="4"/>
    <x v="1"/>
    <x v="1"/>
    <n v="46.45"/>
    <n v="31.47"/>
    <n v="1"/>
    <n v="54735.250000000029"/>
    <x v="0"/>
    <n v="0.47600889736256768"/>
    <x v="1262"/>
    <x v="0"/>
    <x v="3"/>
    <x v="1"/>
    <n v="46.45"/>
  </r>
  <r>
    <d v="2024-02-15T00:00:00"/>
    <x v="0"/>
    <x v="1"/>
    <x v="0"/>
    <n v="96.34"/>
    <n v="37.979999999999997"/>
    <n v="0"/>
    <n v="48675.899999999936"/>
    <x v="0"/>
    <n v="1.5365982095839918"/>
    <x v="1263"/>
    <x v="1"/>
    <x v="0"/>
    <x v="0"/>
    <n v="0"/>
  </r>
  <r>
    <d v="2024-02-01T00:00:00"/>
    <x v="0"/>
    <x v="1"/>
    <x v="1"/>
    <n v="143.02000000000001"/>
    <n v="19.5"/>
    <n v="1"/>
    <n v="48675.899999999936"/>
    <x v="0"/>
    <n v="6.3343589743589748"/>
    <x v="1264"/>
    <x v="0"/>
    <x v="0"/>
    <x v="0"/>
    <n v="143.02000000000001"/>
  </r>
  <r>
    <d v="2024-01-04T00:00:00"/>
    <x v="3"/>
    <x v="0"/>
    <x v="1"/>
    <n v="30.71"/>
    <n v="2.29"/>
    <n v="1"/>
    <n v="61207.979999999989"/>
    <x v="1"/>
    <n v="12.410480349344979"/>
    <x v="1265"/>
    <x v="0"/>
    <x v="2"/>
    <x v="0"/>
    <n v="30.71"/>
  </r>
  <r>
    <d v="2024-01-26T00:00:00"/>
    <x v="4"/>
    <x v="1"/>
    <x v="1"/>
    <n v="185.64"/>
    <n v="30.56"/>
    <n v="2"/>
    <n v="61207.979999999989"/>
    <x v="1"/>
    <n v="5.0746073298429319"/>
    <x v="1266"/>
    <x v="1"/>
    <x v="2"/>
    <x v="0"/>
    <n v="92.82"/>
  </r>
  <r>
    <d v="2024-01-14T00:00:00"/>
    <x v="0"/>
    <x v="1"/>
    <x v="1"/>
    <n v="59.93"/>
    <n v="40.200000000000003"/>
    <n v="2"/>
    <n v="61207.979999999989"/>
    <x v="1"/>
    <n v="0.49079601990049743"/>
    <x v="1267"/>
    <x v="1"/>
    <x v="2"/>
    <x v="0"/>
    <n v="29.965"/>
  </r>
  <r>
    <d v="2024-01-14T00:00:00"/>
    <x v="4"/>
    <x v="1"/>
    <x v="0"/>
    <n v="136.02000000000001"/>
    <n v="6.89"/>
    <n v="1"/>
    <n v="61207.979999999989"/>
    <x v="1"/>
    <n v="18.741654571843256"/>
    <x v="1268"/>
    <x v="1"/>
    <x v="2"/>
    <x v="0"/>
    <n v="136.02000000000001"/>
  </r>
  <r>
    <d v="2024-01-13T00:00:00"/>
    <x v="1"/>
    <x v="0"/>
    <x v="1"/>
    <n v="177.08"/>
    <n v="22.72"/>
    <n v="3"/>
    <n v="61207.979999999989"/>
    <x v="1"/>
    <n v="6.7940140845070429"/>
    <x v="1269"/>
    <x v="0"/>
    <x v="2"/>
    <x v="0"/>
    <n v="59.026666666666671"/>
  </r>
  <r>
    <d v="2024-03-17T00:00:00"/>
    <x v="1"/>
    <x v="1"/>
    <x v="0"/>
    <n v="37.42"/>
    <n v="24.13"/>
    <n v="2"/>
    <n v="54735.250000000029"/>
    <x v="0"/>
    <n v="0.55076668048072952"/>
    <x v="1270"/>
    <x v="1"/>
    <x v="3"/>
    <x v="1"/>
    <n v="18.71"/>
  </r>
  <r>
    <d v="2024-03-06T00:00:00"/>
    <x v="2"/>
    <x v="0"/>
    <x v="0"/>
    <n v="66.66"/>
    <n v="28.02"/>
    <n v="3"/>
    <n v="54735.250000000029"/>
    <x v="0"/>
    <n v="1.3790149892933619"/>
    <x v="144"/>
    <x v="1"/>
    <x v="3"/>
    <x v="1"/>
    <n v="22.22"/>
  </r>
  <r>
    <d v="2024-01-08T00:00:00"/>
    <x v="2"/>
    <x v="1"/>
    <x v="1"/>
    <n v="106.8"/>
    <n v="3.39"/>
    <n v="3"/>
    <n v="61207.979999999989"/>
    <x v="1"/>
    <n v="30.504424778761059"/>
    <x v="1271"/>
    <x v="0"/>
    <x v="2"/>
    <x v="0"/>
    <n v="35.6"/>
  </r>
  <r>
    <d v="2024-02-15T00:00:00"/>
    <x v="3"/>
    <x v="1"/>
    <x v="1"/>
    <n v="139.58000000000001"/>
    <n v="0.49"/>
    <n v="2"/>
    <n v="48675.899999999936"/>
    <x v="0"/>
    <n v="283.85714285714289"/>
    <x v="1272"/>
    <x v="1"/>
    <x v="0"/>
    <x v="0"/>
    <n v="69.790000000000006"/>
  </r>
  <r>
    <d v="2024-02-10T00:00:00"/>
    <x v="2"/>
    <x v="1"/>
    <x v="0"/>
    <n v="37.83"/>
    <n v="47.5"/>
    <n v="2"/>
    <n v="48675.899999999936"/>
    <x v="0"/>
    <n v="-0.20357894736842108"/>
    <x v="1273"/>
    <x v="0"/>
    <x v="0"/>
    <x v="0"/>
    <n v="18.914999999999999"/>
  </r>
  <r>
    <d v="2024-03-12T00:00:00"/>
    <x v="3"/>
    <x v="1"/>
    <x v="0"/>
    <n v="142.1"/>
    <n v="1.26"/>
    <n v="3"/>
    <n v="54735.250000000029"/>
    <x v="0"/>
    <n v="111.77777777777779"/>
    <x v="1274"/>
    <x v="0"/>
    <x v="3"/>
    <x v="1"/>
    <n v="47.366666666666667"/>
  </r>
  <r>
    <d v="2024-02-19T00:00:00"/>
    <x v="3"/>
    <x v="1"/>
    <x v="1"/>
    <n v="169.37"/>
    <n v="5.81"/>
    <n v="0"/>
    <n v="48675.899999999936"/>
    <x v="0"/>
    <n v="28.151462994836493"/>
    <x v="1275"/>
    <x v="1"/>
    <x v="0"/>
    <x v="0"/>
    <n v="0"/>
  </r>
  <r>
    <d v="2024-01-31T00:00:00"/>
    <x v="4"/>
    <x v="1"/>
    <x v="0"/>
    <n v="170.28"/>
    <n v="42.78"/>
    <n v="3"/>
    <n v="61207.979999999989"/>
    <x v="1"/>
    <n v="2.9803646563814867"/>
    <x v="1276"/>
    <x v="0"/>
    <x v="2"/>
    <x v="0"/>
    <n v="56.76"/>
  </r>
  <r>
    <d v="2024-01-15T00:00:00"/>
    <x v="0"/>
    <x v="0"/>
    <x v="0"/>
    <n v="124.1"/>
    <n v="5.67"/>
    <n v="0"/>
    <n v="61207.979999999989"/>
    <x v="1"/>
    <n v="20.887125220458554"/>
    <x v="1277"/>
    <x v="0"/>
    <x v="2"/>
    <x v="0"/>
    <n v="0"/>
  </r>
  <r>
    <d v="2024-04-12T00:00:00"/>
    <x v="4"/>
    <x v="1"/>
    <x v="1"/>
    <n v="106.91"/>
    <n v="24.77"/>
    <n v="0"/>
    <n v="58562.910000000018"/>
    <x v="1"/>
    <n v="3.3161081953976583"/>
    <x v="1278"/>
    <x v="1"/>
    <x v="1"/>
    <x v="1"/>
    <n v="0"/>
  </r>
  <r>
    <d v="2024-03-16T00:00:00"/>
    <x v="2"/>
    <x v="1"/>
    <x v="0"/>
    <n v="23.11"/>
    <n v="34.19"/>
    <n v="3"/>
    <n v="54735.250000000029"/>
    <x v="0"/>
    <n v="-0.32407136589646091"/>
    <x v="1279"/>
    <x v="0"/>
    <x v="3"/>
    <x v="1"/>
    <n v="7.7033333333333331"/>
  </r>
  <r>
    <d v="2024-04-04T00:00:00"/>
    <x v="2"/>
    <x v="0"/>
    <x v="0"/>
    <n v="133.86000000000001"/>
    <n v="13.56"/>
    <n v="3"/>
    <n v="58562.910000000018"/>
    <x v="1"/>
    <n v="8.8716814159292046"/>
    <x v="1280"/>
    <x v="1"/>
    <x v="1"/>
    <x v="1"/>
    <n v="44.620000000000005"/>
  </r>
  <r>
    <d v="2024-01-03T00:00:00"/>
    <x v="3"/>
    <x v="0"/>
    <x v="0"/>
    <n v="48"/>
    <n v="8.15"/>
    <n v="3"/>
    <n v="61207.979999999989"/>
    <x v="1"/>
    <n v="4.889570552147239"/>
    <x v="1281"/>
    <x v="1"/>
    <x v="2"/>
    <x v="0"/>
    <n v="16"/>
  </r>
  <r>
    <d v="2024-03-21T00:00:00"/>
    <x v="3"/>
    <x v="0"/>
    <x v="0"/>
    <n v="69.239999999999995"/>
    <n v="1.85"/>
    <n v="2"/>
    <n v="54735.250000000029"/>
    <x v="0"/>
    <n v="36.427027027027023"/>
    <x v="1282"/>
    <x v="0"/>
    <x v="3"/>
    <x v="1"/>
    <n v="34.619999999999997"/>
  </r>
  <r>
    <d v="2024-02-06T00:00:00"/>
    <x v="2"/>
    <x v="1"/>
    <x v="1"/>
    <n v="173.87"/>
    <n v="16.440000000000001"/>
    <n v="0"/>
    <n v="48675.899999999936"/>
    <x v="0"/>
    <n v="9.5760340632603409"/>
    <x v="1283"/>
    <x v="1"/>
    <x v="0"/>
    <x v="0"/>
    <n v="0"/>
  </r>
  <r>
    <d v="2024-01-18T00:00:00"/>
    <x v="2"/>
    <x v="1"/>
    <x v="1"/>
    <n v="89.27"/>
    <n v="27.26"/>
    <n v="2"/>
    <n v="61207.979999999989"/>
    <x v="1"/>
    <n v="2.2747615553925162"/>
    <x v="1284"/>
    <x v="1"/>
    <x v="2"/>
    <x v="0"/>
    <n v="44.634999999999998"/>
  </r>
  <r>
    <d v="2024-04-30T00:00:00"/>
    <x v="3"/>
    <x v="0"/>
    <x v="0"/>
    <n v="180.3"/>
    <n v="21.76"/>
    <n v="0"/>
    <n v="58562.910000000018"/>
    <x v="1"/>
    <n v="7.2858455882352944"/>
    <x v="1285"/>
    <x v="0"/>
    <x v="1"/>
    <x v="1"/>
    <n v="0"/>
  </r>
  <r>
    <d v="2024-01-21T00:00:00"/>
    <x v="2"/>
    <x v="0"/>
    <x v="0"/>
    <n v="150.66999999999999"/>
    <n v="30.77"/>
    <n v="1"/>
    <n v="61207.979999999989"/>
    <x v="1"/>
    <n v="3.8966525836854076"/>
    <x v="1286"/>
    <x v="0"/>
    <x v="2"/>
    <x v="0"/>
    <n v="150.66999999999999"/>
  </r>
  <r>
    <d v="2024-01-03T00:00:00"/>
    <x v="0"/>
    <x v="1"/>
    <x v="1"/>
    <n v="162.91999999999999"/>
    <n v="19.7"/>
    <n v="1"/>
    <n v="61207.979999999989"/>
    <x v="1"/>
    <n v="7.2700507614213201"/>
    <x v="1287"/>
    <x v="1"/>
    <x v="2"/>
    <x v="0"/>
    <n v="162.91999999999999"/>
  </r>
  <r>
    <d v="2024-02-21T00:00:00"/>
    <x v="4"/>
    <x v="1"/>
    <x v="1"/>
    <n v="95.27"/>
    <n v="40.76"/>
    <n v="3"/>
    <n v="48675.899999999936"/>
    <x v="0"/>
    <n v="1.3373405299313053"/>
    <x v="1288"/>
    <x v="1"/>
    <x v="0"/>
    <x v="0"/>
    <n v="31.756666666666664"/>
  </r>
  <r>
    <d v="2024-03-06T00:00:00"/>
    <x v="1"/>
    <x v="0"/>
    <x v="1"/>
    <n v="41.74"/>
    <n v="8.11"/>
    <n v="0"/>
    <n v="54735.250000000029"/>
    <x v="0"/>
    <n v="4.1467324290998775"/>
    <x v="1289"/>
    <x v="0"/>
    <x v="3"/>
    <x v="1"/>
    <n v="0"/>
  </r>
  <r>
    <d v="2024-02-12T00:00:00"/>
    <x v="3"/>
    <x v="1"/>
    <x v="1"/>
    <n v="57.76"/>
    <n v="34.43"/>
    <n v="1"/>
    <n v="48675.899999999936"/>
    <x v="0"/>
    <n v="0.67760673830961371"/>
    <x v="1290"/>
    <x v="1"/>
    <x v="0"/>
    <x v="0"/>
    <n v="57.76"/>
  </r>
  <r>
    <d v="2024-01-27T00:00:00"/>
    <x v="2"/>
    <x v="2"/>
    <x v="1"/>
    <n v="68.61"/>
    <n v="26.65"/>
    <n v="3"/>
    <n v="61207.979999999989"/>
    <x v="1"/>
    <n v="1.5744840525328332"/>
    <x v="1291"/>
    <x v="1"/>
    <x v="2"/>
    <x v="0"/>
    <n v="22.87"/>
  </r>
  <r>
    <d v="2024-04-11T00:00:00"/>
    <x v="4"/>
    <x v="0"/>
    <x v="1"/>
    <n v="171.3"/>
    <n v="0.31"/>
    <n v="0"/>
    <n v="58562.910000000018"/>
    <x v="1"/>
    <n v="551.58064516129036"/>
    <x v="1292"/>
    <x v="0"/>
    <x v="1"/>
    <x v="1"/>
    <n v="0"/>
  </r>
  <r>
    <d v="2024-01-23T00:00:00"/>
    <x v="0"/>
    <x v="2"/>
    <x v="1"/>
    <n v="44.74"/>
    <n v="37.24"/>
    <n v="0"/>
    <n v="61207.979999999989"/>
    <x v="1"/>
    <n v="0.20139634801288936"/>
    <x v="1293"/>
    <x v="0"/>
    <x v="2"/>
    <x v="0"/>
    <n v="0"/>
  </r>
  <r>
    <d v="2024-01-29T00:00:00"/>
    <x v="0"/>
    <x v="1"/>
    <x v="0"/>
    <n v="185.14"/>
    <n v="25.15"/>
    <n v="0"/>
    <n v="61207.979999999989"/>
    <x v="1"/>
    <n v="6.3614314115308144"/>
    <x v="1294"/>
    <x v="1"/>
    <x v="2"/>
    <x v="0"/>
    <n v="0"/>
  </r>
  <r>
    <d v="2024-04-03T00:00:00"/>
    <x v="3"/>
    <x v="1"/>
    <x v="0"/>
    <n v="47.41"/>
    <n v="9.58"/>
    <n v="1"/>
    <n v="58562.910000000018"/>
    <x v="1"/>
    <n v="3.9488517745302714"/>
    <x v="1295"/>
    <x v="0"/>
    <x v="1"/>
    <x v="1"/>
    <n v="47.41"/>
  </r>
  <r>
    <d v="2024-01-05T00:00:00"/>
    <x v="1"/>
    <x v="1"/>
    <x v="0"/>
    <n v="137.56"/>
    <n v="8.75"/>
    <n v="3"/>
    <n v="61207.979999999989"/>
    <x v="1"/>
    <n v="14.721142857142857"/>
    <x v="1296"/>
    <x v="1"/>
    <x v="2"/>
    <x v="0"/>
    <n v="45.853333333333332"/>
  </r>
  <r>
    <d v="2024-04-25T00:00:00"/>
    <x v="1"/>
    <x v="1"/>
    <x v="0"/>
    <n v="110.17"/>
    <n v="8.6"/>
    <n v="0"/>
    <n v="58562.910000000018"/>
    <x v="1"/>
    <n v="11.810465116279071"/>
    <x v="1297"/>
    <x v="1"/>
    <x v="1"/>
    <x v="1"/>
    <n v="0"/>
  </r>
  <r>
    <d v="2024-03-23T00:00:00"/>
    <x v="2"/>
    <x v="2"/>
    <x v="1"/>
    <n v="152.78"/>
    <n v="32.31"/>
    <n v="3"/>
    <n v="54735.250000000029"/>
    <x v="0"/>
    <n v="3.7285670071185391"/>
    <x v="1298"/>
    <x v="1"/>
    <x v="3"/>
    <x v="1"/>
    <n v="50.926666666666669"/>
  </r>
  <r>
    <d v="2024-01-26T00:00:00"/>
    <x v="4"/>
    <x v="0"/>
    <x v="0"/>
    <n v="184.77"/>
    <n v="18.86"/>
    <n v="3"/>
    <n v="61207.979999999989"/>
    <x v="1"/>
    <n v="8.7969247083775208"/>
    <x v="1299"/>
    <x v="1"/>
    <x v="2"/>
    <x v="0"/>
    <n v="61.59"/>
  </r>
  <r>
    <d v="2024-04-26T00:00:00"/>
    <x v="4"/>
    <x v="1"/>
    <x v="1"/>
    <n v="72.98"/>
    <n v="38.200000000000003"/>
    <n v="1"/>
    <n v="58562.910000000018"/>
    <x v="1"/>
    <n v="0.9104712041884816"/>
    <x v="723"/>
    <x v="1"/>
    <x v="1"/>
    <x v="1"/>
    <n v="72.98"/>
  </r>
  <r>
    <d v="2024-02-06T00:00:00"/>
    <x v="4"/>
    <x v="1"/>
    <x v="1"/>
    <n v="80.010000000000005"/>
    <n v="14.86"/>
    <n v="3"/>
    <n v="48675.899999999936"/>
    <x v="0"/>
    <n v="4.3842530282637959"/>
    <x v="1300"/>
    <x v="1"/>
    <x v="0"/>
    <x v="0"/>
    <n v="26.67"/>
  </r>
  <r>
    <d v="2024-02-03T00:00:00"/>
    <x v="4"/>
    <x v="0"/>
    <x v="1"/>
    <n v="122.52"/>
    <n v="49.84"/>
    <n v="1"/>
    <n v="48675.899999999936"/>
    <x v="0"/>
    <n v="1.4582664526484748"/>
    <x v="1301"/>
    <x v="1"/>
    <x v="0"/>
    <x v="0"/>
    <n v="122.52"/>
  </r>
  <r>
    <d v="2024-04-30T00:00:00"/>
    <x v="4"/>
    <x v="2"/>
    <x v="0"/>
    <n v="75.31"/>
    <n v="44.9"/>
    <n v="1"/>
    <n v="58562.910000000018"/>
    <x v="1"/>
    <n v="0.67728285077951011"/>
    <x v="1302"/>
    <x v="0"/>
    <x v="1"/>
    <x v="1"/>
    <n v="75.31"/>
  </r>
  <r>
    <d v="2024-04-16T00:00:00"/>
    <x v="4"/>
    <x v="1"/>
    <x v="1"/>
    <n v="192.02"/>
    <n v="44.01"/>
    <n v="2"/>
    <n v="58562.910000000018"/>
    <x v="1"/>
    <n v="3.3630992956146337"/>
    <x v="1303"/>
    <x v="1"/>
    <x v="1"/>
    <x v="1"/>
    <n v="96.01"/>
  </r>
  <r>
    <d v="2024-04-30T00:00:00"/>
    <x v="0"/>
    <x v="0"/>
    <x v="1"/>
    <n v="117.5"/>
    <n v="11.59"/>
    <n v="3"/>
    <n v="58562.910000000018"/>
    <x v="1"/>
    <n v="9.1380500431406375"/>
    <x v="1304"/>
    <x v="0"/>
    <x v="1"/>
    <x v="1"/>
    <n v="39.166666666666664"/>
  </r>
  <r>
    <d v="2024-02-13T00:00:00"/>
    <x v="3"/>
    <x v="2"/>
    <x v="0"/>
    <n v="184.01"/>
    <n v="39.090000000000003"/>
    <n v="3"/>
    <n v="48675.899999999936"/>
    <x v="0"/>
    <n v="3.7073420312100276"/>
    <x v="1305"/>
    <x v="1"/>
    <x v="0"/>
    <x v="0"/>
    <n v="61.336666666666666"/>
  </r>
  <r>
    <d v="2024-02-24T00:00:00"/>
    <x v="4"/>
    <x v="1"/>
    <x v="0"/>
    <n v="179.97"/>
    <n v="11.47"/>
    <n v="2"/>
    <n v="48675.899999999936"/>
    <x v="0"/>
    <n v="14.690496948561464"/>
    <x v="1306"/>
    <x v="1"/>
    <x v="0"/>
    <x v="0"/>
    <n v="89.984999999999999"/>
  </r>
  <r>
    <d v="2024-01-13T00:00:00"/>
    <x v="0"/>
    <x v="2"/>
    <x v="1"/>
    <n v="152.47"/>
    <n v="22.69"/>
    <n v="2"/>
    <n v="61207.979999999989"/>
    <x v="1"/>
    <n v="5.7197003085059492"/>
    <x v="1307"/>
    <x v="0"/>
    <x v="2"/>
    <x v="0"/>
    <n v="76.234999999999999"/>
  </r>
  <r>
    <d v="2024-03-08T00:00:00"/>
    <x v="4"/>
    <x v="0"/>
    <x v="0"/>
    <n v="143.69999999999999"/>
    <n v="5.42"/>
    <n v="0"/>
    <n v="54735.250000000029"/>
    <x v="0"/>
    <n v="25.512915129151292"/>
    <x v="1308"/>
    <x v="0"/>
    <x v="3"/>
    <x v="1"/>
    <n v="0"/>
  </r>
  <r>
    <d v="2024-04-10T00:00:00"/>
    <x v="1"/>
    <x v="2"/>
    <x v="1"/>
    <n v="177.73"/>
    <n v="26.92"/>
    <n v="0"/>
    <n v="58562.910000000018"/>
    <x v="1"/>
    <n v="5.6021545319465078"/>
    <x v="1309"/>
    <x v="0"/>
    <x v="1"/>
    <x v="1"/>
    <n v="0"/>
  </r>
  <r>
    <d v="2024-04-28T00:00:00"/>
    <x v="4"/>
    <x v="0"/>
    <x v="1"/>
    <n v="131.18"/>
    <n v="44.23"/>
    <n v="2"/>
    <n v="58562.910000000018"/>
    <x v="1"/>
    <n v="1.9658602758308845"/>
    <x v="1310"/>
    <x v="0"/>
    <x v="1"/>
    <x v="1"/>
    <n v="65.59"/>
  </r>
  <r>
    <d v="2024-04-06T00:00:00"/>
    <x v="1"/>
    <x v="2"/>
    <x v="1"/>
    <n v="94.7"/>
    <n v="47.7"/>
    <n v="1"/>
    <n v="58562.910000000018"/>
    <x v="1"/>
    <n v="0.9853249475890985"/>
    <x v="1311"/>
    <x v="0"/>
    <x v="1"/>
    <x v="1"/>
    <n v="94.7"/>
  </r>
  <r>
    <d v="2024-04-22T00:00:00"/>
    <x v="2"/>
    <x v="2"/>
    <x v="1"/>
    <n v="125.31"/>
    <n v="47.15"/>
    <n v="2"/>
    <n v="58562.910000000018"/>
    <x v="1"/>
    <n v="1.6576882290562036"/>
    <x v="1312"/>
    <x v="0"/>
    <x v="1"/>
    <x v="1"/>
    <n v="62.655000000000001"/>
  </r>
  <r>
    <d v="2024-04-08T00:00:00"/>
    <x v="3"/>
    <x v="2"/>
    <x v="1"/>
    <n v="136.88999999999999"/>
    <n v="42.23"/>
    <n v="3"/>
    <n v="58562.910000000018"/>
    <x v="1"/>
    <n v="2.2415344541794933"/>
    <x v="1313"/>
    <x v="1"/>
    <x v="1"/>
    <x v="1"/>
    <n v="45.629999999999995"/>
  </r>
  <r>
    <d v="2024-03-01T00:00:00"/>
    <x v="3"/>
    <x v="0"/>
    <x v="0"/>
    <n v="149.55000000000001"/>
    <n v="8.92"/>
    <n v="1"/>
    <n v="54735.250000000029"/>
    <x v="0"/>
    <n v="15.765695067264577"/>
    <x v="1314"/>
    <x v="1"/>
    <x v="3"/>
    <x v="1"/>
    <n v="149.55000000000001"/>
  </r>
  <r>
    <d v="2024-01-05T00:00:00"/>
    <x v="1"/>
    <x v="1"/>
    <x v="0"/>
    <n v="164.22"/>
    <n v="18.23"/>
    <n v="1"/>
    <n v="61207.979999999989"/>
    <x v="1"/>
    <n v="8.0082281952825021"/>
    <x v="1315"/>
    <x v="1"/>
    <x v="2"/>
    <x v="0"/>
    <n v="164.22"/>
  </r>
  <r>
    <d v="2024-01-23T00:00:00"/>
    <x v="2"/>
    <x v="0"/>
    <x v="1"/>
    <n v="155.69"/>
    <n v="35.409999999999997"/>
    <n v="0"/>
    <n v="61207.979999999989"/>
    <x v="1"/>
    <n v="3.3967805704603222"/>
    <x v="1316"/>
    <x v="1"/>
    <x v="2"/>
    <x v="0"/>
    <n v="0"/>
  </r>
  <r>
    <d v="2024-03-13T00:00:00"/>
    <x v="4"/>
    <x v="2"/>
    <x v="0"/>
    <n v="62.78"/>
    <n v="40"/>
    <n v="2"/>
    <n v="54735.250000000029"/>
    <x v="0"/>
    <n v="0.56950000000000001"/>
    <x v="1317"/>
    <x v="1"/>
    <x v="3"/>
    <x v="1"/>
    <n v="31.39"/>
  </r>
  <r>
    <d v="2024-04-23T00:00:00"/>
    <x v="2"/>
    <x v="1"/>
    <x v="0"/>
    <n v="167.52"/>
    <n v="12.67"/>
    <n v="0"/>
    <n v="58562.910000000018"/>
    <x v="1"/>
    <n v="12.22178374112076"/>
    <x v="1318"/>
    <x v="0"/>
    <x v="1"/>
    <x v="1"/>
    <n v="0"/>
  </r>
  <r>
    <d v="2024-02-05T00:00:00"/>
    <x v="2"/>
    <x v="1"/>
    <x v="0"/>
    <n v="28.13"/>
    <n v="43.58"/>
    <n v="3"/>
    <n v="48675.899999999936"/>
    <x v="0"/>
    <n v="-0.35452042221202384"/>
    <x v="1319"/>
    <x v="0"/>
    <x v="0"/>
    <x v="0"/>
    <n v="9.3766666666666669"/>
  </r>
  <r>
    <d v="2024-04-20T00:00:00"/>
    <x v="0"/>
    <x v="1"/>
    <x v="0"/>
    <n v="83.44"/>
    <n v="46"/>
    <n v="3"/>
    <n v="58562.910000000018"/>
    <x v="1"/>
    <n v="0.81391304347826077"/>
    <x v="1320"/>
    <x v="1"/>
    <x v="1"/>
    <x v="1"/>
    <n v="27.813333333333333"/>
  </r>
  <r>
    <d v="2024-02-03T00:00:00"/>
    <x v="4"/>
    <x v="0"/>
    <x v="0"/>
    <n v="125.41"/>
    <n v="24.01"/>
    <n v="0"/>
    <n v="48675.899999999936"/>
    <x v="0"/>
    <n v="4.2232403165347767"/>
    <x v="1321"/>
    <x v="1"/>
    <x v="0"/>
    <x v="0"/>
    <n v="0"/>
  </r>
  <r>
    <d v="2024-03-29T00:00:00"/>
    <x v="0"/>
    <x v="0"/>
    <x v="1"/>
    <n v="127.3"/>
    <n v="5.46"/>
    <n v="0"/>
    <n v="54735.250000000029"/>
    <x v="0"/>
    <n v="22.315018315018317"/>
    <x v="32"/>
    <x v="0"/>
    <x v="3"/>
    <x v="1"/>
    <n v="0"/>
  </r>
  <r>
    <d v="2024-01-28T00:00:00"/>
    <x v="2"/>
    <x v="2"/>
    <x v="0"/>
    <n v="153.63999999999999"/>
    <n v="32.200000000000003"/>
    <n v="0"/>
    <n v="61207.979999999989"/>
    <x v="1"/>
    <n v="3.7714285714285705"/>
    <x v="1322"/>
    <x v="1"/>
    <x v="2"/>
    <x v="0"/>
    <n v="0"/>
  </r>
  <r>
    <d v="2024-03-12T00:00:00"/>
    <x v="3"/>
    <x v="1"/>
    <x v="1"/>
    <n v="69.58"/>
    <n v="43.61"/>
    <n v="3"/>
    <n v="54735.250000000029"/>
    <x v="0"/>
    <n v="0.5955056179775281"/>
    <x v="1323"/>
    <x v="1"/>
    <x v="3"/>
    <x v="1"/>
    <n v="23.193333333333332"/>
  </r>
  <r>
    <d v="2024-01-04T00:00:00"/>
    <x v="0"/>
    <x v="2"/>
    <x v="1"/>
    <n v="175.15"/>
    <n v="11.41"/>
    <n v="1"/>
    <n v="61207.979999999989"/>
    <x v="1"/>
    <n v="14.350569675723051"/>
    <x v="1324"/>
    <x v="0"/>
    <x v="2"/>
    <x v="0"/>
    <n v="175.15"/>
  </r>
  <r>
    <d v="2024-01-20T00:00:00"/>
    <x v="1"/>
    <x v="2"/>
    <x v="1"/>
    <n v="172.21"/>
    <n v="30.07"/>
    <n v="1"/>
    <n v="61207.979999999989"/>
    <x v="1"/>
    <n v="4.7269704023944135"/>
    <x v="1325"/>
    <x v="0"/>
    <x v="2"/>
    <x v="0"/>
    <n v="172.21"/>
  </r>
  <r>
    <d v="2024-02-01T00:00:00"/>
    <x v="3"/>
    <x v="2"/>
    <x v="0"/>
    <n v="127.82"/>
    <n v="43.58"/>
    <n v="2"/>
    <n v="48675.899999999936"/>
    <x v="0"/>
    <n v="1.9329967875172096"/>
    <x v="1326"/>
    <x v="1"/>
    <x v="0"/>
    <x v="0"/>
    <n v="63.91"/>
  </r>
  <r>
    <d v="2024-04-11T00:00:00"/>
    <x v="3"/>
    <x v="0"/>
    <x v="1"/>
    <n v="188.78"/>
    <n v="44.13"/>
    <n v="2"/>
    <n v="58562.910000000018"/>
    <x v="1"/>
    <n v="3.2778155449807387"/>
    <x v="1327"/>
    <x v="0"/>
    <x v="1"/>
    <x v="1"/>
    <n v="94.39"/>
  </r>
  <r>
    <d v="2024-04-07T00:00:00"/>
    <x v="1"/>
    <x v="1"/>
    <x v="0"/>
    <n v="175.39"/>
    <n v="43.28"/>
    <n v="1"/>
    <n v="58562.910000000018"/>
    <x v="1"/>
    <n v="3.0524491682070236"/>
    <x v="1328"/>
    <x v="0"/>
    <x v="1"/>
    <x v="1"/>
    <n v="175.39"/>
  </r>
  <r>
    <d v="2024-01-26T00:00:00"/>
    <x v="2"/>
    <x v="0"/>
    <x v="0"/>
    <n v="142.15"/>
    <n v="23.34"/>
    <n v="3"/>
    <n v="61207.979999999989"/>
    <x v="1"/>
    <n v="5.0904027420736933"/>
    <x v="1329"/>
    <x v="1"/>
    <x v="2"/>
    <x v="0"/>
    <n v="47.383333333333333"/>
  </r>
  <r>
    <d v="2024-04-29T00:00:00"/>
    <x v="3"/>
    <x v="2"/>
    <x v="0"/>
    <n v="69.63"/>
    <n v="14.37"/>
    <n v="2"/>
    <n v="58562.910000000018"/>
    <x v="1"/>
    <n v="3.8455114822546972"/>
    <x v="1330"/>
    <x v="1"/>
    <x v="1"/>
    <x v="1"/>
    <n v="34.814999999999998"/>
  </r>
  <r>
    <d v="2024-03-27T00:00:00"/>
    <x v="2"/>
    <x v="0"/>
    <x v="1"/>
    <n v="63.27"/>
    <n v="20.96"/>
    <n v="2"/>
    <n v="54735.250000000029"/>
    <x v="0"/>
    <n v="2.0186068702290076"/>
    <x v="1331"/>
    <x v="0"/>
    <x v="3"/>
    <x v="1"/>
    <n v="31.635000000000002"/>
  </r>
  <r>
    <d v="2024-03-24T00:00:00"/>
    <x v="1"/>
    <x v="0"/>
    <x v="1"/>
    <n v="162.83000000000001"/>
    <n v="29.39"/>
    <n v="3"/>
    <n v="54735.250000000029"/>
    <x v="0"/>
    <n v="4.5403198366791422"/>
    <x v="1332"/>
    <x v="0"/>
    <x v="3"/>
    <x v="1"/>
    <n v="54.276666666666671"/>
  </r>
  <r>
    <d v="2024-03-18T00:00:00"/>
    <x v="2"/>
    <x v="2"/>
    <x v="0"/>
    <n v="59.38"/>
    <n v="32.409999999999997"/>
    <n v="3"/>
    <n v="54735.250000000029"/>
    <x v="0"/>
    <n v="0.83215057081147825"/>
    <x v="1333"/>
    <x v="1"/>
    <x v="3"/>
    <x v="1"/>
    <n v="19.793333333333333"/>
  </r>
  <r>
    <d v="2024-01-21T00:00:00"/>
    <x v="0"/>
    <x v="0"/>
    <x v="1"/>
    <n v="198.15"/>
    <n v="16.88"/>
    <n v="0"/>
    <n v="61207.979999999989"/>
    <x v="1"/>
    <n v="10.738744075829386"/>
    <x v="1334"/>
    <x v="0"/>
    <x v="2"/>
    <x v="0"/>
    <n v="0"/>
  </r>
  <r>
    <d v="2024-03-12T00:00:00"/>
    <x v="4"/>
    <x v="2"/>
    <x v="1"/>
    <n v="190.59"/>
    <n v="16.47"/>
    <n v="3"/>
    <n v="54735.250000000029"/>
    <x v="0"/>
    <n v="10.571948998178508"/>
    <x v="1335"/>
    <x v="0"/>
    <x v="3"/>
    <x v="1"/>
    <n v="63.53"/>
  </r>
  <r>
    <d v="2024-03-16T00:00:00"/>
    <x v="3"/>
    <x v="1"/>
    <x v="0"/>
    <n v="130.27000000000001"/>
    <n v="18.670000000000002"/>
    <n v="3"/>
    <n v="54735.250000000029"/>
    <x v="0"/>
    <n v="5.977504017139796"/>
    <x v="1336"/>
    <x v="0"/>
    <x v="3"/>
    <x v="1"/>
    <n v="43.423333333333339"/>
  </r>
  <r>
    <d v="2024-02-18T00:00:00"/>
    <x v="3"/>
    <x v="1"/>
    <x v="0"/>
    <n v="113.79"/>
    <n v="35.26"/>
    <n v="2"/>
    <n v="48675.899999999936"/>
    <x v="0"/>
    <n v="2.2271695972773684"/>
    <x v="1337"/>
    <x v="1"/>
    <x v="0"/>
    <x v="0"/>
    <n v="56.895000000000003"/>
  </r>
  <r>
    <d v="2024-04-25T00:00:00"/>
    <x v="2"/>
    <x v="1"/>
    <x v="0"/>
    <n v="103.9"/>
    <n v="0.87"/>
    <n v="2"/>
    <n v="58562.910000000018"/>
    <x v="1"/>
    <n v="118.42528735632185"/>
    <x v="1338"/>
    <x v="0"/>
    <x v="1"/>
    <x v="1"/>
    <n v="51.95"/>
  </r>
  <r>
    <d v="2024-03-02T00:00:00"/>
    <x v="0"/>
    <x v="1"/>
    <x v="0"/>
    <n v="145.99"/>
    <n v="47.57"/>
    <n v="1"/>
    <n v="54735.250000000029"/>
    <x v="0"/>
    <n v="2.0689510195501368"/>
    <x v="1339"/>
    <x v="0"/>
    <x v="3"/>
    <x v="1"/>
    <n v="145.99"/>
  </r>
  <r>
    <d v="2024-03-02T00:00:00"/>
    <x v="4"/>
    <x v="1"/>
    <x v="1"/>
    <n v="112.06"/>
    <n v="46.62"/>
    <n v="2"/>
    <n v="54735.250000000029"/>
    <x v="0"/>
    <n v="1.4036894036894036"/>
    <x v="1340"/>
    <x v="1"/>
    <x v="3"/>
    <x v="1"/>
    <n v="56.03"/>
  </r>
  <r>
    <d v="2024-04-14T00:00:00"/>
    <x v="4"/>
    <x v="0"/>
    <x v="1"/>
    <n v="79.319999999999993"/>
    <n v="7.72"/>
    <n v="3"/>
    <n v="58562.910000000018"/>
    <x v="1"/>
    <n v="9.2746113989637298"/>
    <x v="1341"/>
    <x v="1"/>
    <x v="1"/>
    <x v="1"/>
    <n v="26.439999999999998"/>
  </r>
  <r>
    <d v="2024-01-17T00:00:00"/>
    <x v="2"/>
    <x v="1"/>
    <x v="1"/>
    <n v="55.46"/>
    <n v="33.93"/>
    <n v="2"/>
    <n v="61207.979999999989"/>
    <x v="1"/>
    <n v="0.63454170350722083"/>
    <x v="1342"/>
    <x v="0"/>
    <x v="2"/>
    <x v="0"/>
    <n v="27.73"/>
  </r>
  <r>
    <d v="2024-01-21T00:00:00"/>
    <x v="4"/>
    <x v="2"/>
    <x v="1"/>
    <n v="105.92"/>
    <n v="26.58"/>
    <n v="3"/>
    <n v="61207.979999999989"/>
    <x v="1"/>
    <n v="2.9849510910458994"/>
    <x v="1343"/>
    <x v="1"/>
    <x v="2"/>
    <x v="0"/>
    <n v="35.306666666666665"/>
  </r>
  <r>
    <d v="2024-04-18T00:00:00"/>
    <x v="3"/>
    <x v="0"/>
    <x v="1"/>
    <n v="194.99"/>
    <n v="45.98"/>
    <n v="1"/>
    <n v="58562.910000000018"/>
    <x v="1"/>
    <n v="3.2407568508046984"/>
    <x v="1344"/>
    <x v="1"/>
    <x v="1"/>
    <x v="1"/>
    <n v="194.99"/>
  </r>
  <r>
    <d v="2024-01-24T00:00:00"/>
    <x v="1"/>
    <x v="0"/>
    <x v="1"/>
    <n v="128.33000000000001"/>
    <n v="7.76"/>
    <n v="0"/>
    <n v="61207.979999999989"/>
    <x v="1"/>
    <n v="15.537371134020621"/>
    <x v="1345"/>
    <x v="0"/>
    <x v="2"/>
    <x v="0"/>
    <n v="0"/>
  </r>
  <r>
    <d v="2024-04-13T00:00:00"/>
    <x v="2"/>
    <x v="2"/>
    <x v="0"/>
    <n v="142.63999999999999"/>
    <n v="11.03"/>
    <n v="3"/>
    <n v="58562.910000000018"/>
    <x v="1"/>
    <n v="11.932003626473254"/>
    <x v="1346"/>
    <x v="0"/>
    <x v="1"/>
    <x v="1"/>
    <n v="47.54666666666666"/>
  </r>
  <r>
    <d v="2024-04-12T00:00:00"/>
    <x v="2"/>
    <x v="0"/>
    <x v="1"/>
    <n v="80.55"/>
    <n v="26.08"/>
    <n v="3"/>
    <n v="58562.910000000018"/>
    <x v="1"/>
    <n v="2.088573619631902"/>
    <x v="1347"/>
    <x v="1"/>
    <x v="1"/>
    <x v="1"/>
    <n v="26.849999999999998"/>
  </r>
  <r>
    <d v="2024-03-08T00:00:00"/>
    <x v="4"/>
    <x v="0"/>
    <x v="0"/>
    <n v="26.23"/>
    <n v="24.92"/>
    <n v="1"/>
    <n v="54735.250000000029"/>
    <x v="0"/>
    <n v="5.2568218298555319E-2"/>
    <x v="1348"/>
    <x v="0"/>
    <x v="3"/>
    <x v="1"/>
    <n v="26.23"/>
  </r>
  <r>
    <d v="2024-03-14T00:00:00"/>
    <x v="3"/>
    <x v="2"/>
    <x v="1"/>
    <n v="25.9"/>
    <n v="44.21"/>
    <n v="0"/>
    <n v="54735.250000000029"/>
    <x v="0"/>
    <n v="-0.41415969237729022"/>
    <x v="1349"/>
    <x v="1"/>
    <x v="3"/>
    <x v="1"/>
    <n v="0"/>
  </r>
  <r>
    <d v="2024-04-16T00:00:00"/>
    <x v="3"/>
    <x v="1"/>
    <x v="0"/>
    <n v="47.3"/>
    <n v="49.29"/>
    <n v="0"/>
    <n v="58562.910000000018"/>
    <x v="1"/>
    <n v="-4.0373300872387947E-2"/>
    <x v="1350"/>
    <x v="1"/>
    <x v="1"/>
    <x v="1"/>
    <n v="0"/>
  </r>
  <r>
    <d v="2024-02-29T00:00:00"/>
    <x v="0"/>
    <x v="2"/>
    <x v="0"/>
    <n v="82.77"/>
    <n v="22.66"/>
    <n v="2"/>
    <n v="48675.899999999936"/>
    <x v="0"/>
    <n v="2.6526919682259487"/>
    <x v="1351"/>
    <x v="1"/>
    <x v="0"/>
    <x v="0"/>
    <n v="41.384999999999998"/>
  </r>
  <r>
    <d v="2024-01-07T00:00:00"/>
    <x v="4"/>
    <x v="0"/>
    <x v="1"/>
    <n v="28.76"/>
    <n v="47.92"/>
    <n v="3"/>
    <n v="61207.979999999989"/>
    <x v="1"/>
    <n v="-0.39983305509181971"/>
    <x v="1352"/>
    <x v="1"/>
    <x v="2"/>
    <x v="0"/>
    <n v="9.5866666666666678"/>
  </r>
  <r>
    <d v="2024-03-08T00:00:00"/>
    <x v="1"/>
    <x v="0"/>
    <x v="1"/>
    <n v="139.82"/>
    <n v="21.88"/>
    <n v="1"/>
    <n v="54735.250000000029"/>
    <x v="0"/>
    <n v="5.3903107861060331"/>
    <x v="1353"/>
    <x v="1"/>
    <x v="3"/>
    <x v="1"/>
    <n v="139.82"/>
  </r>
  <r>
    <d v="2024-03-10T00:00:00"/>
    <x v="3"/>
    <x v="2"/>
    <x v="1"/>
    <n v="137.94"/>
    <n v="42.22"/>
    <n v="0"/>
    <n v="54735.250000000029"/>
    <x v="0"/>
    <n v="2.2671719564187591"/>
    <x v="1354"/>
    <x v="0"/>
    <x v="3"/>
    <x v="1"/>
    <n v="0"/>
  </r>
  <r>
    <d v="2024-02-20T00:00:00"/>
    <x v="3"/>
    <x v="1"/>
    <x v="0"/>
    <n v="167.43"/>
    <n v="20.53"/>
    <n v="1"/>
    <n v="48675.899999999936"/>
    <x v="0"/>
    <n v="7.1553823672674133"/>
    <x v="1355"/>
    <x v="1"/>
    <x v="0"/>
    <x v="0"/>
    <n v="167.43"/>
  </r>
  <r>
    <d v="2024-02-19T00:00:00"/>
    <x v="4"/>
    <x v="2"/>
    <x v="1"/>
    <n v="37.72"/>
    <n v="10.74"/>
    <n v="2"/>
    <n v="48675.899999999936"/>
    <x v="0"/>
    <n v="2.5121042830540032"/>
    <x v="1356"/>
    <x v="1"/>
    <x v="0"/>
    <x v="0"/>
    <n v="18.86"/>
  </r>
  <r>
    <d v="2024-01-15T00:00:00"/>
    <x v="2"/>
    <x v="0"/>
    <x v="0"/>
    <n v="193.52"/>
    <n v="9.1999999999999993"/>
    <n v="2"/>
    <n v="61207.979999999989"/>
    <x v="1"/>
    <n v="20.034782608695657"/>
    <x v="1357"/>
    <x v="1"/>
    <x v="2"/>
    <x v="0"/>
    <n v="96.76"/>
  </r>
  <r>
    <d v="2024-01-04T00:00:00"/>
    <x v="1"/>
    <x v="2"/>
    <x v="1"/>
    <n v="146.16"/>
    <n v="44.1"/>
    <n v="1"/>
    <n v="61207.979999999989"/>
    <x v="1"/>
    <n v="2.3142857142857141"/>
    <x v="1358"/>
    <x v="1"/>
    <x v="2"/>
    <x v="0"/>
    <n v="146.16"/>
  </r>
  <r>
    <d v="2024-02-19T00:00:00"/>
    <x v="0"/>
    <x v="2"/>
    <x v="1"/>
    <n v="39.85"/>
    <n v="9.24"/>
    <n v="1"/>
    <n v="48675.899999999936"/>
    <x v="0"/>
    <n v="3.3127705627705626"/>
    <x v="1359"/>
    <x v="0"/>
    <x v="0"/>
    <x v="0"/>
    <n v="39.85"/>
  </r>
  <r>
    <d v="2024-03-19T00:00:00"/>
    <x v="0"/>
    <x v="0"/>
    <x v="1"/>
    <n v="89.4"/>
    <n v="43.04"/>
    <n v="1"/>
    <n v="54735.250000000029"/>
    <x v="0"/>
    <n v="1.0771375464684017"/>
    <x v="1360"/>
    <x v="1"/>
    <x v="3"/>
    <x v="1"/>
    <n v="89.4"/>
  </r>
  <r>
    <d v="2024-02-07T00:00:00"/>
    <x v="2"/>
    <x v="0"/>
    <x v="1"/>
    <n v="96.91"/>
    <n v="36.869999999999997"/>
    <n v="0"/>
    <n v="48675.899999999936"/>
    <x v="0"/>
    <n v="1.6284241931109305"/>
    <x v="1361"/>
    <x v="1"/>
    <x v="0"/>
    <x v="0"/>
    <n v="0"/>
  </r>
  <r>
    <d v="2024-02-08T00:00:00"/>
    <x v="1"/>
    <x v="2"/>
    <x v="1"/>
    <n v="93.83"/>
    <n v="23.86"/>
    <n v="3"/>
    <n v="48675.899999999936"/>
    <x v="0"/>
    <n v="2.9325230511316009"/>
    <x v="1362"/>
    <x v="0"/>
    <x v="0"/>
    <x v="0"/>
    <n v="31.276666666666667"/>
  </r>
  <r>
    <d v="2024-02-25T00:00:00"/>
    <x v="0"/>
    <x v="1"/>
    <x v="0"/>
    <n v="160.09"/>
    <n v="47.6"/>
    <n v="1"/>
    <n v="48675.899999999936"/>
    <x v="0"/>
    <n v="2.3632352941176471"/>
    <x v="1363"/>
    <x v="1"/>
    <x v="0"/>
    <x v="0"/>
    <n v="160.09"/>
  </r>
  <r>
    <d v="2024-03-05T00:00:00"/>
    <x v="3"/>
    <x v="2"/>
    <x v="1"/>
    <n v="122.84"/>
    <n v="8.34"/>
    <n v="3"/>
    <n v="54735.250000000029"/>
    <x v="0"/>
    <n v="13.729016786570744"/>
    <x v="1364"/>
    <x v="1"/>
    <x v="3"/>
    <x v="1"/>
    <n v="40.946666666666665"/>
  </r>
  <r>
    <d v="2024-03-13T00:00:00"/>
    <x v="1"/>
    <x v="1"/>
    <x v="1"/>
    <n v="153.21"/>
    <n v="1.39"/>
    <n v="3"/>
    <n v="54735.250000000029"/>
    <x v="0"/>
    <n v="109.22302158273384"/>
    <x v="1365"/>
    <x v="0"/>
    <x v="3"/>
    <x v="1"/>
    <n v="51.07"/>
  </r>
  <r>
    <d v="2024-01-29T00:00:00"/>
    <x v="2"/>
    <x v="2"/>
    <x v="0"/>
    <n v="175.5"/>
    <n v="25.93"/>
    <n v="3"/>
    <n v="61207.979999999989"/>
    <x v="1"/>
    <n v="5.7682221365214037"/>
    <x v="1366"/>
    <x v="1"/>
    <x v="2"/>
    <x v="0"/>
    <n v="58.5"/>
  </r>
  <r>
    <d v="2024-04-30T00:00:00"/>
    <x v="1"/>
    <x v="0"/>
    <x v="0"/>
    <n v="94.15"/>
    <n v="18.63"/>
    <n v="2"/>
    <n v="58562.910000000018"/>
    <x v="1"/>
    <n v="4.0536768652710693"/>
    <x v="1367"/>
    <x v="0"/>
    <x v="1"/>
    <x v="1"/>
    <n v="47.075000000000003"/>
  </r>
  <r>
    <d v="2024-02-24T00:00:00"/>
    <x v="2"/>
    <x v="0"/>
    <x v="0"/>
    <n v="67.099999999999994"/>
    <n v="43.46"/>
    <n v="0"/>
    <n v="48675.899999999936"/>
    <x v="0"/>
    <n v="0.54394845835250794"/>
    <x v="1368"/>
    <x v="0"/>
    <x v="0"/>
    <x v="0"/>
    <n v="0"/>
  </r>
  <r>
    <d v="2024-02-26T00:00:00"/>
    <x v="0"/>
    <x v="0"/>
    <x v="1"/>
    <n v="151.26"/>
    <n v="24.96"/>
    <n v="0"/>
    <n v="48675.899999999936"/>
    <x v="0"/>
    <n v="5.0600961538461533"/>
    <x v="1369"/>
    <x v="1"/>
    <x v="0"/>
    <x v="0"/>
    <n v="0"/>
  </r>
  <r>
    <d v="2024-02-03T00:00:00"/>
    <x v="1"/>
    <x v="1"/>
    <x v="1"/>
    <n v="32"/>
    <n v="41.51"/>
    <n v="1"/>
    <n v="48675.899999999936"/>
    <x v="0"/>
    <n v="-0.22910142134425435"/>
    <x v="1370"/>
    <x v="0"/>
    <x v="0"/>
    <x v="0"/>
    <n v="32"/>
  </r>
  <r>
    <d v="2024-03-21T00:00:00"/>
    <x v="3"/>
    <x v="0"/>
    <x v="1"/>
    <n v="37.049999999999997"/>
    <n v="38.200000000000003"/>
    <n v="2"/>
    <n v="54735.250000000029"/>
    <x v="0"/>
    <n v="-3.0104712041884963E-2"/>
    <x v="1371"/>
    <x v="0"/>
    <x v="3"/>
    <x v="1"/>
    <n v="18.524999999999999"/>
  </r>
  <r>
    <d v="2024-04-12T00:00:00"/>
    <x v="4"/>
    <x v="1"/>
    <x v="1"/>
    <n v="42.49"/>
    <n v="25.44"/>
    <n v="1"/>
    <n v="58562.910000000018"/>
    <x v="1"/>
    <n v="0.67020440251572322"/>
    <x v="1372"/>
    <x v="1"/>
    <x v="1"/>
    <x v="1"/>
    <n v="42.49"/>
  </r>
  <r>
    <d v="2024-04-11T00:00:00"/>
    <x v="1"/>
    <x v="1"/>
    <x v="0"/>
    <n v="74.36"/>
    <n v="0.6"/>
    <n v="1"/>
    <n v="58562.910000000018"/>
    <x v="1"/>
    <n v="122.93333333333335"/>
    <x v="1373"/>
    <x v="1"/>
    <x v="1"/>
    <x v="1"/>
    <n v="74.36"/>
  </r>
  <r>
    <d v="2024-01-20T00:00:00"/>
    <x v="3"/>
    <x v="1"/>
    <x v="1"/>
    <n v="84.28"/>
    <n v="44.54"/>
    <n v="3"/>
    <n v="61207.979999999989"/>
    <x v="1"/>
    <n v="0.89223170184104184"/>
    <x v="1374"/>
    <x v="0"/>
    <x v="2"/>
    <x v="0"/>
    <n v="28.093333333333334"/>
  </r>
  <r>
    <d v="2024-03-07T00:00:00"/>
    <x v="4"/>
    <x v="1"/>
    <x v="1"/>
    <n v="95.83"/>
    <n v="2.65"/>
    <n v="3"/>
    <n v="54735.250000000029"/>
    <x v="0"/>
    <n v="35.162264150943393"/>
    <x v="1375"/>
    <x v="0"/>
    <x v="3"/>
    <x v="1"/>
    <n v="31.943333333333332"/>
  </r>
  <r>
    <d v="2024-01-09T00:00:00"/>
    <x v="4"/>
    <x v="0"/>
    <x v="0"/>
    <n v="105.25"/>
    <n v="0.7"/>
    <n v="3"/>
    <n v="61207.979999999989"/>
    <x v="1"/>
    <n v="149.35714285714286"/>
    <x v="1376"/>
    <x v="0"/>
    <x v="2"/>
    <x v="0"/>
    <n v="35.083333333333336"/>
  </r>
  <r>
    <d v="2024-02-11T00:00:00"/>
    <x v="3"/>
    <x v="1"/>
    <x v="0"/>
    <n v="186.61"/>
    <n v="7.49"/>
    <n v="1"/>
    <n v="48675.899999999936"/>
    <x v="0"/>
    <n v="23.914552736982643"/>
    <x v="1377"/>
    <x v="1"/>
    <x v="0"/>
    <x v="0"/>
    <n v="186.61"/>
  </r>
  <r>
    <d v="2024-02-06T00:00:00"/>
    <x v="0"/>
    <x v="0"/>
    <x v="1"/>
    <n v="33.4"/>
    <n v="3.01"/>
    <n v="0"/>
    <n v="48675.899999999936"/>
    <x v="0"/>
    <n v="10.096345514950167"/>
    <x v="1378"/>
    <x v="0"/>
    <x v="0"/>
    <x v="0"/>
    <n v="0"/>
  </r>
  <r>
    <d v="2024-03-17T00:00:00"/>
    <x v="0"/>
    <x v="2"/>
    <x v="1"/>
    <n v="38.42"/>
    <n v="9.23"/>
    <n v="2"/>
    <n v="54735.250000000029"/>
    <x v="0"/>
    <n v="3.1625135427952329"/>
    <x v="1379"/>
    <x v="1"/>
    <x v="3"/>
    <x v="1"/>
    <n v="19.21"/>
  </r>
  <r>
    <d v="2024-03-08T00:00:00"/>
    <x v="4"/>
    <x v="1"/>
    <x v="1"/>
    <n v="158.12"/>
    <n v="37"/>
    <n v="2"/>
    <n v="54735.250000000029"/>
    <x v="0"/>
    <n v="3.2735135135135138"/>
    <x v="1380"/>
    <x v="1"/>
    <x v="3"/>
    <x v="1"/>
    <n v="79.06"/>
  </r>
  <r>
    <d v="2024-04-24T00:00:00"/>
    <x v="1"/>
    <x v="1"/>
    <x v="0"/>
    <n v="56.88"/>
    <n v="34.549999999999997"/>
    <n v="2"/>
    <n v="58562.910000000018"/>
    <x v="1"/>
    <n v="0.64630969609261957"/>
    <x v="1381"/>
    <x v="1"/>
    <x v="1"/>
    <x v="1"/>
    <n v="28.44"/>
  </r>
  <r>
    <d v="2024-03-18T00:00:00"/>
    <x v="3"/>
    <x v="1"/>
    <x v="0"/>
    <n v="29.56"/>
    <n v="23.67"/>
    <n v="3"/>
    <n v="54735.250000000029"/>
    <x v="0"/>
    <n v="0.24883819180397113"/>
    <x v="1382"/>
    <x v="0"/>
    <x v="3"/>
    <x v="1"/>
    <n v="9.8533333333333335"/>
  </r>
  <r>
    <d v="2024-03-06T00:00:00"/>
    <x v="2"/>
    <x v="0"/>
    <x v="0"/>
    <n v="125.13"/>
    <n v="26.07"/>
    <n v="1"/>
    <n v="54735.250000000029"/>
    <x v="0"/>
    <n v="3.7997698504027619"/>
    <x v="1383"/>
    <x v="1"/>
    <x v="3"/>
    <x v="1"/>
    <n v="125.13"/>
  </r>
  <r>
    <d v="2024-01-13T00:00:00"/>
    <x v="1"/>
    <x v="1"/>
    <x v="1"/>
    <n v="188.17"/>
    <n v="23.13"/>
    <n v="2"/>
    <n v="61207.979999999989"/>
    <x v="1"/>
    <n v="7.1353220925205356"/>
    <x v="1384"/>
    <x v="1"/>
    <x v="2"/>
    <x v="0"/>
    <n v="94.084999999999994"/>
  </r>
  <r>
    <d v="2024-03-31T00:00:00"/>
    <x v="2"/>
    <x v="0"/>
    <x v="1"/>
    <n v="172.06"/>
    <n v="35.11"/>
    <n v="3"/>
    <n v="54735.250000000029"/>
    <x v="0"/>
    <n v="3.9005981201936768"/>
    <x v="1385"/>
    <x v="1"/>
    <x v="3"/>
    <x v="1"/>
    <n v="57.353333333333332"/>
  </r>
  <r>
    <d v="2024-02-17T00:00:00"/>
    <x v="2"/>
    <x v="2"/>
    <x v="1"/>
    <n v="31.86"/>
    <n v="44.24"/>
    <n v="2"/>
    <n v="48675.899999999936"/>
    <x v="0"/>
    <n v="-0.27983725135623877"/>
    <x v="1386"/>
    <x v="1"/>
    <x v="0"/>
    <x v="0"/>
    <n v="15.93"/>
  </r>
  <r>
    <d v="2024-03-17T00:00:00"/>
    <x v="4"/>
    <x v="0"/>
    <x v="1"/>
    <n v="72.680000000000007"/>
    <n v="25.89"/>
    <n v="2"/>
    <n v="54735.250000000029"/>
    <x v="0"/>
    <n v="1.8072614909231366"/>
    <x v="1387"/>
    <x v="0"/>
    <x v="3"/>
    <x v="1"/>
    <n v="36.340000000000003"/>
  </r>
  <r>
    <d v="2024-03-18T00:00:00"/>
    <x v="0"/>
    <x v="2"/>
    <x v="1"/>
    <n v="87.21"/>
    <n v="19.760000000000002"/>
    <n v="3"/>
    <n v="54735.250000000029"/>
    <x v="0"/>
    <n v="3.4134615384615374"/>
    <x v="1388"/>
    <x v="1"/>
    <x v="3"/>
    <x v="1"/>
    <n v="29.069999999999997"/>
  </r>
  <r>
    <d v="2024-04-29T00:00:00"/>
    <x v="3"/>
    <x v="1"/>
    <x v="1"/>
    <n v="64.19"/>
    <n v="49.25"/>
    <n v="3"/>
    <n v="58562.910000000018"/>
    <x v="1"/>
    <n v="0.30335025380710656"/>
    <x v="1389"/>
    <x v="0"/>
    <x v="1"/>
    <x v="1"/>
    <n v="21.396666666666665"/>
  </r>
  <r>
    <d v="2024-03-05T00:00:00"/>
    <x v="2"/>
    <x v="1"/>
    <x v="0"/>
    <n v="192.16"/>
    <n v="7.73"/>
    <n v="2"/>
    <n v="54735.250000000029"/>
    <x v="0"/>
    <n v="23.858990944372575"/>
    <x v="1390"/>
    <x v="1"/>
    <x v="3"/>
    <x v="1"/>
    <n v="96.08"/>
  </r>
  <r>
    <d v="2024-04-06T00:00:00"/>
    <x v="0"/>
    <x v="0"/>
    <x v="1"/>
    <n v="110.78"/>
    <n v="27.33"/>
    <n v="2"/>
    <n v="58562.910000000018"/>
    <x v="1"/>
    <n v="3.0534211489206005"/>
    <x v="1391"/>
    <x v="1"/>
    <x v="1"/>
    <x v="1"/>
    <n v="55.39"/>
  </r>
  <r>
    <d v="2024-04-22T00:00:00"/>
    <x v="2"/>
    <x v="1"/>
    <x v="0"/>
    <n v="148.24"/>
    <n v="12.72"/>
    <n v="2"/>
    <n v="58562.910000000018"/>
    <x v="1"/>
    <n v="10.654088050314465"/>
    <x v="1392"/>
    <x v="0"/>
    <x v="1"/>
    <x v="1"/>
    <n v="74.12"/>
  </r>
  <r>
    <d v="2024-02-11T00:00:00"/>
    <x v="4"/>
    <x v="0"/>
    <x v="1"/>
    <n v="51.25"/>
    <n v="49.33"/>
    <n v="2"/>
    <n v="48675.899999999936"/>
    <x v="0"/>
    <n v="3.8921548753294177E-2"/>
    <x v="1393"/>
    <x v="1"/>
    <x v="0"/>
    <x v="0"/>
    <n v="25.625"/>
  </r>
  <r>
    <d v="2024-01-03T00:00:00"/>
    <x v="1"/>
    <x v="0"/>
    <x v="0"/>
    <n v="198.43"/>
    <n v="0.46"/>
    <n v="1"/>
    <n v="61207.979999999989"/>
    <x v="1"/>
    <n v="430.36956521739125"/>
    <x v="1394"/>
    <x v="1"/>
    <x v="2"/>
    <x v="0"/>
    <n v="198.43"/>
  </r>
  <r>
    <d v="2024-02-18T00:00:00"/>
    <x v="3"/>
    <x v="0"/>
    <x v="1"/>
    <n v="157.52000000000001"/>
    <n v="40.85"/>
    <n v="3"/>
    <n v="48675.899999999936"/>
    <x v="0"/>
    <n v="2.856058751529988"/>
    <x v="1395"/>
    <x v="1"/>
    <x v="0"/>
    <x v="0"/>
    <n v="52.506666666666668"/>
  </r>
  <r>
    <d v="2024-02-01T00:00:00"/>
    <x v="1"/>
    <x v="2"/>
    <x v="1"/>
    <n v="168.58"/>
    <n v="12.82"/>
    <n v="2"/>
    <n v="48675.899999999936"/>
    <x v="0"/>
    <n v="12.149765990639628"/>
    <x v="1396"/>
    <x v="0"/>
    <x v="0"/>
    <x v="0"/>
    <n v="84.29"/>
  </r>
  <r>
    <d v="2024-03-20T00:00:00"/>
    <x v="2"/>
    <x v="2"/>
    <x v="0"/>
    <n v="136.96"/>
    <n v="14.59"/>
    <n v="0"/>
    <n v="54735.250000000029"/>
    <x v="0"/>
    <n v="8.3872515421521587"/>
    <x v="1397"/>
    <x v="1"/>
    <x v="3"/>
    <x v="1"/>
    <n v="0"/>
  </r>
  <r>
    <d v="2024-04-26T00:00:00"/>
    <x v="0"/>
    <x v="0"/>
    <x v="1"/>
    <n v="25.67"/>
    <n v="28.8"/>
    <n v="1"/>
    <n v="58562.910000000018"/>
    <x v="1"/>
    <n v="-0.10868055555555552"/>
    <x v="1398"/>
    <x v="1"/>
    <x v="1"/>
    <x v="1"/>
    <n v="25.67"/>
  </r>
  <r>
    <d v="2024-04-26T00:00:00"/>
    <x v="2"/>
    <x v="1"/>
    <x v="1"/>
    <n v="164.38"/>
    <n v="39.79"/>
    <n v="1"/>
    <n v="58562.910000000018"/>
    <x v="1"/>
    <n v="3.1311887408896708"/>
    <x v="1399"/>
    <x v="1"/>
    <x v="1"/>
    <x v="1"/>
    <n v="164.38"/>
  </r>
  <r>
    <d v="2024-01-01T00:00:00"/>
    <x v="0"/>
    <x v="1"/>
    <x v="1"/>
    <n v="109.43"/>
    <n v="27.46"/>
    <n v="3"/>
    <n v="61207.979999999989"/>
    <x v="1"/>
    <n v="2.9850691915513474"/>
    <x v="1400"/>
    <x v="1"/>
    <x v="2"/>
    <x v="0"/>
    <n v="36.476666666666667"/>
  </r>
  <r>
    <d v="2024-04-27T00:00:00"/>
    <x v="4"/>
    <x v="2"/>
    <x v="0"/>
    <n v="183.33"/>
    <n v="16.14"/>
    <n v="0"/>
    <n v="58562.910000000018"/>
    <x v="1"/>
    <n v="10.358736059479554"/>
    <x v="1401"/>
    <x v="1"/>
    <x v="1"/>
    <x v="1"/>
    <n v="0"/>
  </r>
  <r>
    <d v="2024-01-14T00:00:00"/>
    <x v="0"/>
    <x v="0"/>
    <x v="1"/>
    <n v="77.430000000000007"/>
    <n v="3.81"/>
    <n v="3"/>
    <n v="61207.979999999989"/>
    <x v="1"/>
    <n v="19.322834645669293"/>
    <x v="1402"/>
    <x v="0"/>
    <x v="2"/>
    <x v="0"/>
    <n v="25.810000000000002"/>
  </r>
  <r>
    <d v="2024-04-22T00:00:00"/>
    <x v="1"/>
    <x v="2"/>
    <x v="1"/>
    <n v="138.76"/>
    <n v="40.479999999999997"/>
    <n v="1"/>
    <n v="58562.910000000018"/>
    <x v="1"/>
    <n v="2.4278656126482216"/>
    <x v="1403"/>
    <x v="0"/>
    <x v="1"/>
    <x v="1"/>
    <n v="138.76"/>
  </r>
  <r>
    <d v="2024-03-17T00:00:00"/>
    <x v="1"/>
    <x v="1"/>
    <x v="1"/>
    <n v="60.95"/>
    <n v="6.79"/>
    <n v="2"/>
    <n v="54735.250000000029"/>
    <x v="0"/>
    <n v="7.9764359351988219"/>
    <x v="1404"/>
    <x v="1"/>
    <x v="3"/>
    <x v="1"/>
    <n v="30.475000000000001"/>
  </r>
  <r>
    <d v="2024-02-27T00:00:00"/>
    <x v="4"/>
    <x v="0"/>
    <x v="1"/>
    <n v="197.45"/>
    <n v="20.99"/>
    <n v="3"/>
    <n v="48675.899999999936"/>
    <x v="0"/>
    <n v="8.406860409718913"/>
    <x v="1405"/>
    <x v="1"/>
    <x v="0"/>
    <x v="0"/>
    <n v="65.816666666666663"/>
  </r>
  <r>
    <d v="2024-03-19T00:00:00"/>
    <x v="0"/>
    <x v="0"/>
    <x v="1"/>
    <n v="89.1"/>
    <n v="22.25"/>
    <n v="0"/>
    <n v="54735.250000000029"/>
    <x v="0"/>
    <n v="3.0044943820224717"/>
    <x v="1406"/>
    <x v="1"/>
    <x v="3"/>
    <x v="1"/>
    <n v="0"/>
  </r>
  <r>
    <d v="2024-01-14T00:00:00"/>
    <x v="0"/>
    <x v="2"/>
    <x v="0"/>
    <n v="182.4"/>
    <n v="3.57"/>
    <n v="2"/>
    <n v="61207.979999999989"/>
    <x v="1"/>
    <n v="50.092436974789919"/>
    <x v="1407"/>
    <x v="0"/>
    <x v="2"/>
    <x v="0"/>
    <n v="91.2"/>
  </r>
  <r>
    <d v="2024-02-29T00:00:00"/>
    <x v="0"/>
    <x v="2"/>
    <x v="1"/>
    <n v="189.22"/>
    <n v="32.03"/>
    <n v="2"/>
    <n v="48675.899999999936"/>
    <x v="0"/>
    <n v="4.9075866375273183"/>
    <x v="1408"/>
    <x v="0"/>
    <x v="0"/>
    <x v="0"/>
    <n v="94.61"/>
  </r>
  <r>
    <d v="2024-02-21T00:00:00"/>
    <x v="4"/>
    <x v="1"/>
    <x v="0"/>
    <n v="196.18"/>
    <n v="42.05"/>
    <n v="1"/>
    <n v="48675.899999999936"/>
    <x v="0"/>
    <n v="3.6653983353151012"/>
    <x v="1409"/>
    <x v="0"/>
    <x v="0"/>
    <x v="0"/>
    <n v="196.18"/>
  </r>
  <r>
    <d v="2024-01-15T00:00:00"/>
    <x v="4"/>
    <x v="2"/>
    <x v="0"/>
    <n v="104.91"/>
    <n v="10.16"/>
    <n v="2"/>
    <n v="61207.979999999989"/>
    <x v="1"/>
    <n v="9.3257874015748037"/>
    <x v="1410"/>
    <x v="0"/>
    <x v="2"/>
    <x v="0"/>
    <n v="52.454999999999998"/>
  </r>
  <r>
    <d v="2024-04-23T00:00:00"/>
    <x v="4"/>
    <x v="2"/>
    <x v="1"/>
    <n v="64.72"/>
    <n v="17.79"/>
    <n v="2"/>
    <n v="58562.910000000018"/>
    <x v="1"/>
    <n v="2.6379988757729063"/>
    <x v="1411"/>
    <x v="1"/>
    <x v="1"/>
    <x v="1"/>
    <n v="32.36"/>
  </r>
  <r>
    <d v="2024-04-24T00:00:00"/>
    <x v="1"/>
    <x v="0"/>
    <x v="1"/>
    <n v="194.02"/>
    <n v="27.96"/>
    <n v="1"/>
    <n v="58562.910000000018"/>
    <x v="1"/>
    <n v="5.9391988555078683"/>
    <x v="1412"/>
    <x v="0"/>
    <x v="1"/>
    <x v="1"/>
    <n v="194.02"/>
  </r>
  <r>
    <d v="2024-04-18T00:00:00"/>
    <x v="1"/>
    <x v="2"/>
    <x v="1"/>
    <n v="183.5"/>
    <n v="15.85"/>
    <n v="0"/>
    <n v="58562.910000000018"/>
    <x v="1"/>
    <n v="10.577287066246058"/>
    <x v="1413"/>
    <x v="0"/>
    <x v="1"/>
    <x v="1"/>
    <n v="0"/>
  </r>
  <r>
    <d v="2024-01-18T00:00:00"/>
    <x v="1"/>
    <x v="0"/>
    <x v="1"/>
    <n v="147.30000000000001"/>
    <n v="47.62"/>
    <n v="3"/>
    <n v="61207.979999999989"/>
    <x v="1"/>
    <n v="2.0932381352372955"/>
    <x v="1414"/>
    <x v="0"/>
    <x v="2"/>
    <x v="0"/>
    <n v="49.1"/>
  </r>
  <r>
    <d v="2024-02-28T00:00:00"/>
    <x v="0"/>
    <x v="1"/>
    <x v="1"/>
    <n v="79.09"/>
    <n v="17.059999999999999"/>
    <n v="3"/>
    <n v="48675.899999999936"/>
    <x v="0"/>
    <n v="3.6359906213364601"/>
    <x v="1166"/>
    <x v="1"/>
    <x v="0"/>
    <x v="0"/>
    <n v="26.363333333333333"/>
  </r>
  <r>
    <d v="2024-04-28T00:00:00"/>
    <x v="4"/>
    <x v="1"/>
    <x v="1"/>
    <n v="117.8"/>
    <n v="27.58"/>
    <n v="1"/>
    <n v="58562.910000000018"/>
    <x v="1"/>
    <n v="3.2712110224800584"/>
    <x v="1415"/>
    <x v="1"/>
    <x v="1"/>
    <x v="1"/>
    <n v="117.8"/>
  </r>
  <r>
    <d v="2024-04-25T00:00:00"/>
    <x v="2"/>
    <x v="0"/>
    <x v="1"/>
    <n v="56.3"/>
    <n v="27.83"/>
    <n v="2"/>
    <n v="58562.910000000018"/>
    <x v="1"/>
    <n v="1.0229967660797701"/>
    <x v="1416"/>
    <x v="0"/>
    <x v="1"/>
    <x v="1"/>
    <n v="28.15"/>
  </r>
  <r>
    <d v="2024-02-05T00:00:00"/>
    <x v="0"/>
    <x v="2"/>
    <x v="0"/>
    <n v="99.75"/>
    <n v="27.52"/>
    <n v="3"/>
    <n v="48675.899999999936"/>
    <x v="0"/>
    <n v="2.6246366279069768"/>
    <x v="1417"/>
    <x v="1"/>
    <x v="0"/>
    <x v="0"/>
    <n v="33.25"/>
  </r>
  <r>
    <d v="2024-04-10T00:00:00"/>
    <x v="3"/>
    <x v="0"/>
    <x v="1"/>
    <n v="126.74"/>
    <n v="28.69"/>
    <n v="3"/>
    <n v="58562.910000000018"/>
    <x v="1"/>
    <n v="3.4175670965493201"/>
    <x v="1418"/>
    <x v="1"/>
    <x v="1"/>
    <x v="1"/>
    <n v="42.246666666666663"/>
  </r>
  <r>
    <d v="2024-01-01T00:00:00"/>
    <x v="0"/>
    <x v="2"/>
    <x v="0"/>
    <n v="38.92"/>
    <n v="47.3"/>
    <n v="2"/>
    <n v="61207.979999999989"/>
    <x v="1"/>
    <n v="-0.17716701902748405"/>
    <x v="1419"/>
    <x v="1"/>
    <x v="2"/>
    <x v="0"/>
    <n v="19.46"/>
  </r>
  <r>
    <d v="2024-01-08T00:00:00"/>
    <x v="2"/>
    <x v="2"/>
    <x v="1"/>
    <n v="137.19999999999999"/>
    <n v="45.72"/>
    <n v="3"/>
    <n v="61207.979999999989"/>
    <x v="1"/>
    <n v="2.00087489063867"/>
    <x v="1420"/>
    <x v="1"/>
    <x v="2"/>
    <x v="0"/>
    <n v="45.733333333333327"/>
  </r>
  <r>
    <d v="2024-04-10T00:00:00"/>
    <x v="4"/>
    <x v="1"/>
    <x v="1"/>
    <n v="132.72"/>
    <n v="47.28"/>
    <n v="3"/>
    <n v="58562.910000000018"/>
    <x v="1"/>
    <n v="1.8071065989847714"/>
    <x v="1421"/>
    <x v="1"/>
    <x v="1"/>
    <x v="1"/>
    <n v="44.24"/>
  </r>
  <r>
    <d v="2024-04-06T00:00:00"/>
    <x v="4"/>
    <x v="0"/>
    <x v="0"/>
    <n v="28.43"/>
    <n v="47.65"/>
    <n v="1"/>
    <n v="58562.910000000018"/>
    <x v="1"/>
    <n v="-0.40335781741867782"/>
    <x v="1422"/>
    <x v="0"/>
    <x v="1"/>
    <x v="1"/>
    <n v="28.43"/>
  </r>
  <r>
    <d v="2024-01-03T00:00:00"/>
    <x v="2"/>
    <x v="1"/>
    <x v="0"/>
    <n v="90.52"/>
    <n v="10.7"/>
    <n v="2"/>
    <n v="61207.979999999989"/>
    <x v="1"/>
    <n v="7.4598130841121497"/>
    <x v="1423"/>
    <x v="0"/>
    <x v="2"/>
    <x v="0"/>
    <n v="45.26"/>
  </r>
  <r>
    <d v="2024-04-23T00:00:00"/>
    <x v="0"/>
    <x v="2"/>
    <x v="1"/>
    <n v="20.059999999999999"/>
    <n v="12.36"/>
    <n v="0"/>
    <n v="58562.910000000018"/>
    <x v="1"/>
    <n v="0.62297734627831713"/>
    <x v="1424"/>
    <x v="0"/>
    <x v="1"/>
    <x v="1"/>
    <n v="0"/>
  </r>
  <r>
    <d v="2024-01-05T00:00:00"/>
    <x v="2"/>
    <x v="2"/>
    <x v="1"/>
    <n v="114.43"/>
    <n v="32.229999999999997"/>
    <n v="1"/>
    <n v="61207.979999999989"/>
    <x v="1"/>
    <n v="2.5504188644120394"/>
    <x v="1425"/>
    <x v="0"/>
    <x v="2"/>
    <x v="0"/>
    <n v="114.43"/>
  </r>
  <r>
    <d v="2024-01-11T00:00:00"/>
    <x v="2"/>
    <x v="2"/>
    <x v="0"/>
    <n v="93.07"/>
    <n v="3.81"/>
    <n v="3"/>
    <n v="61207.979999999989"/>
    <x v="1"/>
    <n v="23.42782152230971"/>
    <x v="1426"/>
    <x v="0"/>
    <x v="2"/>
    <x v="0"/>
    <n v="31.02333333333333"/>
  </r>
  <r>
    <d v="2024-01-22T00:00:00"/>
    <x v="0"/>
    <x v="2"/>
    <x v="0"/>
    <n v="28.33"/>
    <n v="28.87"/>
    <n v="2"/>
    <n v="61207.979999999989"/>
    <x v="1"/>
    <n v="-1.870453758226542E-2"/>
    <x v="1427"/>
    <x v="1"/>
    <x v="2"/>
    <x v="0"/>
    <n v="14.164999999999999"/>
  </r>
  <r>
    <d v="2024-03-13T00:00:00"/>
    <x v="3"/>
    <x v="0"/>
    <x v="0"/>
    <n v="20.92"/>
    <n v="45.94"/>
    <n v="3"/>
    <n v="54735.250000000029"/>
    <x v="0"/>
    <n v="-0.54462342185459289"/>
    <x v="1428"/>
    <x v="0"/>
    <x v="3"/>
    <x v="1"/>
    <n v="6.9733333333333336"/>
  </r>
  <r>
    <d v="2024-04-09T00:00:00"/>
    <x v="0"/>
    <x v="2"/>
    <x v="1"/>
    <n v="171.79"/>
    <n v="11.1"/>
    <n v="2"/>
    <n v="58562.910000000018"/>
    <x v="1"/>
    <n v="14.476576576576576"/>
    <x v="1429"/>
    <x v="1"/>
    <x v="1"/>
    <x v="1"/>
    <n v="85.894999999999996"/>
  </r>
  <r>
    <d v="2024-02-04T00:00:00"/>
    <x v="4"/>
    <x v="2"/>
    <x v="1"/>
    <n v="184.59"/>
    <n v="22.98"/>
    <n v="3"/>
    <n v="48675.899999999936"/>
    <x v="0"/>
    <n v="7.0326370757180161"/>
    <x v="1430"/>
    <x v="1"/>
    <x v="0"/>
    <x v="0"/>
    <n v="61.53"/>
  </r>
  <r>
    <d v="2024-02-28T00:00:00"/>
    <x v="4"/>
    <x v="2"/>
    <x v="1"/>
    <n v="185.95"/>
    <n v="22.23"/>
    <n v="2"/>
    <n v="48675.899999999936"/>
    <x v="0"/>
    <n v="7.364822312190733"/>
    <x v="1431"/>
    <x v="1"/>
    <x v="0"/>
    <x v="0"/>
    <n v="92.974999999999994"/>
  </r>
  <r>
    <d v="2024-03-08T00:00:00"/>
    <x v="1"/>
    <x v="0"/>
    <x v="1"/>
    <n v="111.17"/>
    <n v="16.47"/>
    <n v="0"/>
    <n v="54735.250000000029"/>
    <x v="0"/>
    <n v="5.749848208864603"/>
    <x v="1432"/>
    <x v="1"/>
    <x v="3"/>
    <x v="1"/>
    <n v="0"/>
  </r>
  <r>
    <d v="2024-04-19T00:00:00"/>
    <x v="2"/>
    <x v="0"/>
    <x v="1"/>
    <n v="25.17"/>
    <n v="48.07"/>
    <n v="1"/>
    <n v="58562.910000000018"/>
    <x v="1"/>
    <n v="-0.476388599958394"/>
    <x v="1433"/>
    <x v="1"/>
    <x v="1"/>
    <x v="1"/>
    <n v="25.17"/>
  </r>
  <r>
    <d v="2024-02-14T00:00:00"/>
    <x v="3"/>
    <x v="0"/>
    <x v="0"/>
    <n v="194.86"/>
    <n v="20.72"/>
    <n v="0"/>
    <n v="48675.899999999936"/>
    <x v="0"/>
    <n v="8.4044401544401559"/>
    <x v="1434"/>
    <x v="0"/>
    <x v="0"/>
    <x v="0"/>
    <n v="0"/>
  </r>
  <r>
    <d v="2024-02-20T00:00:00"/>
    <x v="0"/>
    <x v="0"/>
    <x v="0"/>
    <n v="198.45"/>
    <n v="47.79"/>
    <n v="2"/>
    <n v="48675.899999999936"/>
    <x v="0"/>
    <n v="3.152542372881356"/>
    <x v="1435"/>
    <x v="1"/>
    <x v="0"/>
    <x v="0"/>
    <n v="99.224999999999994"/>
  </r>
  <r>
    <d v="2024-03-04T00:00:00"/>
    <x v="2"/>
    <x v="0"/>
    <x v="1"/>
    <n v="70.36"/>
    <n v="32.840000000000003"/>
    <n v="0"/>
    <n v="54735.250000000029"/>
    <x v="0"/>
    <n v="1.1425091352009742"/>
    <x v="1436"/>
    <x v="0"/>
    <x v="3"/>
    <x v="1"/>
    <n v="0"/>
  </r>
  <r>
    <d v="2024-01-24T00:00:00"/>
    <x v="0"/>
    <x v="1"/>
    <x v="1"/>
    <n v="89.67"/>
    <n v="48.56"/>
    <n v="2"/>
    <n v="61207.979999999989"/>
    <x v="1"/>
    <n v="0.8465815485996705"/>
    <x v="1437"/>
    <x v="0"/>
    <x v="2"/>
    <x v="0"/>
    <n v="44.835000000000001"/>
  </r>
  <r>
    <d v="2024-01-07T00:00:00"/>
    <x v="4"/>
    <x v="2"/>
    <x v="0"/>
    <n v="81.2"/>
    <n v="32.14"/>
    <n v="3"/>
    <n v="61207.979999999989"/>
    <x v="1"/>
    <n v="1.5264467952706908"/>
    <x v="1438"/>
    <x v="1"/>
    <x v="2"/>
    <x v="0"/>
    <n v="27.066666666666666"/>
  </r>
  <r>
    <d v="2024-01-23T00:00:00"/>
    <x v="1"/>
    <x v="2"/>
    <x v="1"/>
    <n v="134.46"/>
    <n v="9.94"/>
    <n v="0"/>
    <n v="61207.979999999989"/>
    <x v="1"/>
    <n v="12.527162977867205"/>
    <x v="1439"/>
    <x v="0"/>
    <x v="2"/>
    <x v="0"/>
    <n v="0"/>
  </r>
  <r>
    <d v="2024-02-13T00:00:00"/>
    <x v="4"/>
    <x v="0"/>
    <x v="1"/>
    <n v="153.55000000000001"/>
    <n v="10.06"/>
    <n v="0"/>
    <n v="48675.899999999936"/>
    <x v="0"/>
    <n v="14.263419483101393"/>
    <x v="1440"/>
    <x v="1"/>
    <x v="0"/>
    <x v="0"/>
    <n v="0"/>
  </r>
  <r>
    <d v="2024-01-19T00:00:00"/>
    <x v="3"/>
    <x v="0"/>
    <x v="1"/>
    <n v="198.37"/>
    <n v="28.72"/>
    <n v="2"/>
    <n v="61207.979999999989"/>
    <x v="1"/>
    <n v="5.9070334261838449"/>
    <x v="1441"/>
    <x v="0"/>
    <x v="2"/>
    <x v="0"/>
    <n v="99.185000000000002"/>
  </r>
  <r>
    <d v="2024-02-10T00:00:00"/>
    <x v="2"/>
    <x v="0"/>
    <x v="0"/>
    <n v="117.69"/>
    <n v="47.92"/>
    <n v="3"/>
    <n v="48675.899999999936"/>
    <x v="0"/>
    <n v="1.4559682804674456"/>
    <x v="1442"/>
    <x v="0"/>
    <x v="0"/>
    <x v="0"/>
    <n v="39.229999999999997"/>
  </r>
  <r>
    <d v="2024-01-02T00:00:00"/>
    <x v="1"/>
    <x v="2"/>
    <x v="1"/>
    <n v="182.48"/>
    <n v="46.13"/>
    <n v="2"/>
    <n v="61207.979999999989"/>
    <x v="1"/>
    <n v="2.9557771515282893"/>
    <x v="1443"/>
    <x v="0"/>
    <x v="2"/>
    <x v="0"/>
    <n v="91.24"/>
  </r>
  <r>
    <d v="2024-02-09T00:00:00"/>
    <x v="3"/>
    <x v="2"/>
    <x v="0"/>
    <n v="67.63"/>
    <n v="33.81"/>
    <n v="0"/>
    <n v="48675.899999999936"/>
    <x v="0"/>
    <n v="1.0002957704821056"/>
    <x v="1444"/>
    <x v="1"/>
    <x v="0"/>
    <x v="0"/>
    <n v="0"/>
  </r>
  <r>
    <d v="2024-02-03T00:00:00"/>
    <x v="3"/>
    <x v="2"/>
    <x v="0"/>
    <n v="68.67"/>
    <n v="48.92"/>
    <n v="0"/>
    <n v="48675.899999999936"/>
    <x v="0"/>
    <n v="0.40372035977105475"/>
    <x v="783"/>
    <x v="0"/>
    <x v="0"/>
    <x v="0"/>
    <n v="0"/>
  </r>
  <r>
    <d v="2024-02-15T00:00:00"/>
    <x v="2"/>
    <x v="2"/>
    <x v="0"/>
    <n v="114.08"/>
    <n v="27.41"/>
    <n v="3"/>
    <n v="48675.899999999936"/>
    <x v="0"/>
    <n v="3.1619846771251368"/>
    <x v="1445"/>
    <x v="0"/>
    <x v="0"/>
    <x v="0"/>
    <n v="38.026666666666664"/>
  </r>
  <r>
    <d v="2024-04-04T00:00:00"/>
    <x v="3"/>
    <x v="1"/>
    <x v="1"/>
    <n v="160.02000000000001"/>
    <n v="8.7100000000000009"/>
    <n v="0"/>
    <n v="58562.910000000018"/>
    <x v="1"/>
    <n v="17.371986222732492"/>
    <x v="1446"/>
    <x v="1"/>
    <x v="1"/>
    <x v="1"/>
    <n v="0"/>
  </r>
  <r>
    <d v="2024-04-06T00:00:00"/>
    <x v="0"/>
    <x v="0"/>
    <x v="1"/>
    <n v="22.57"/>
    <n v="17.21"/>
    <n v="2"/>
    <n v="58562.910000000018"/>
    <x v="1"/>
    <n v="0.31144683323649036"/>
    <x v="1447"/>
    <x v="1"/>
    <x v="1"/>
    <x v="1"/>
    <n v="11.285"/>
  </r>
  <r>
    <d v="2024-02-28T00:00:00"/>
    <x v="2"/>
    <x v="1"/>
    <x v="0"/>
    <n v="33.61"/>
    <n v="2.2599999999999998"/>
    <n v="3"/>
    <n v="48675.899999999936"/>
    <x v="0"/>
    <n v="13.871681415929206"/>
    <x v="1448"/>
    <x v="1"/>
    <x v="0"/>
    <x v="0"/>
    <n v="11.203333333333333"/>
  </r>
  <r>
    <d v="2024-02-18T00:00:00"/>
    <x v="1"/>
    <x v="1"/>
    <x v="0"/>
    <n v="121.3"/>
    <n v="25.7"/>
    <n v="2"/>
    <n v="48675.899999999936"/>
    <x v="0"/>
    <n v="3.7198443579766534"/>
    <x v="1449"/>
    <x v="1"/>
    <x v="0"/>
    <x v="0"/>
    <n v="60.65"/>
  </r>
  <r>
    <d v="2024-01-06T00:00:00"/>
    <x v="0"/>
    <x v="2"/>
    <x v="1"/>
    <n v="169.95"/>
    <n v="35.54"/>
    <n v="1"/>
    <n v="61207.979999999989"/>
    <x v="1"/>
    <n v="3.7819358469330333"/>
    <x v="1450"/>
    <x v="1"/>
    <x v="2"/>
    <x v="0"/>
    <n v="169.95"/>
  </r>
  <r>
    <d v="2024-01-28T00:00:00"/>
    <x v="0"/>
    <x v="1"/>
    <x v="1"/>
    <n v="177.14"/>
    <n v="24.73"/>
    <n v="2"/>
    <n v="61207.979999999989"/>
    <x v="1"/>
    <n v="6.1629599676506261"/>
    <x v="1451"/>
    <x v="0"/>
    <x v="2"/>
    <x v="0"/>
    <n v="88.57"/>
  </r>
  <r>
    <d v="2024-03-08T00:00:00"/>
    <x v="2"/>
    <x v="1"/>
    <x v="1"/>
    <n v="158.94999999999999"/>
    <n v="29.17"/>
    <n v="1"/>
    <n v="54735.250000000029"/>
    <x v="0"/>
    <n v="4.4490915323962961"/>
    <x v="1452"/>
    <x v="0"/>
    <x v="3"/>
    <x v="1"/>
    <n v="158.94999999999999"/>
  </r>
  <r>
    <d v="2024-01-23T00:00:00"/>
    <x v="3"/>
    <x v="0"/>
    <x v="1"/>
    <n v="38.46"/>
    <n v="9.67"/>
    <n v="3"/>
    <n v="61207.979999999989"/>
    <x v="1"/>
    <n v="2.9772492244053774"/>
    <x v="1453"/>
    <x v="0"/>
    <x v="2"/>
    <x v="0"/>
    <n v="12.82"/>
  </r>
  <r>
    <d v="2024-02-16T00:00:00"/>
    <x v="1"/>
    <x v="0"/>
    <x v="0"/>
    <n v="55.07"/>
    <n v="29.35"/>
    <n v="2"/>
    <n v="48675.899999999936"/>
    <x v="0"/>
    <n v="0.87632027257240197"/>
    <x v="1454"/>
    <x v="1"/>
    <x v="0"/>
    <x v="0"/>
    <n v="27.535"/>
  </r>
  <r>
    <d v="2024-04-14T00:00:00"/>
    <x v="0"/>
    <x v="2"/>
    <x v="0"/>
    <n v="123.87"/>
    <n v="0.38"/>
    <n v="0"/>
    <n v="58562.910000000018"/>
    <x v="1"/>
    <n v="324.97368421052636"/>
    <x v="1455"/>
    <x v="1"/>
    <x v="1"/>
    <x v="1"/>
    <n v="0"/>
  </r>
  <r>
    <d v="2024-02-01T00:00:00"/>
    <x v="1"/>
    <x v="0"/>
    <x v="1"/>
    <n v="92.28"/>
    <n v="0.6"/>
    <n v="3"/>
    <n v="48675.899999999936"/>
    <x v="0"/>
    <n v="152.80000000000001"/>
    <x v="1456"/>
    <x v="0"/>
    <x v="0"/>
    <x v="0"/>
    <n v="30.76"/>
  </r>
  <r>
    <d v="2024-04-29T00:00:00"/>
    <x v="0"/>
    <x v="0"/>
    <x v="0"/>
    <n v="92.19"/>
    <n v="35.47"/>
    <n v="2"/>
    <n v="58562.910000000018"/>
    <x v="1"/>
    <n v="1.5990978291513955"/>
    <x v="1457"/>
    <x v="0"/>
    <x v="1"/>
    <x v="1"/>
    <n v="46.094999999999999"/>
  </r>
  <r>
    <d v="2024-03-10T00:00:00"/>
    <x v="2"/>
    <x v="0"/>
    <x v="0"/>
    <n v="177.46"/>
    <n v="4.08"/>
    <n v="1"/>
    <n v="54735.250000000029"/>
    <x v="0"/>
    <n v="42.495098039215684"/>
    <x v="1458"/>
    <x v="0"/>
    <x v="3"/>
    <x v="1"/>
    <n v="177.46"/>
  </r>
  <r>
    <d v="2024-04-10T00:00:00"/>
    <x v="1"/>
    <x v="2"/>
    <x v="0"/>
    <n v="152.76"/>
    <n v="8.33"/>
    <n v="0"/>
    <n v="58562.910000000018"/>
    <x v="1"/>
    <n v="17.338535414165662"/>
    <x v="1459"/>
    <x v="1"/>
    <x v="1"/>
    <x v="1"/>
    <n v="0"/>
  </r>
  <r>
    <d v="2024-01-10T00:00:00"/>
    <x v="2"/>
    <x v="1"/>
    <x v="1"/>
    <n v="191.22"/>
    <n v="48.67"/>
    <n v="2"/>
    <n v="61207.979999999989"/>
    <x v="1"/>
    <n v="2.9289089788370659"/>
    <x v="1460"/>
    <x v="1"/>
    <x v="2"/>
    <x v="0"/>
    <n v="95.61"/>
  </r>
  <r>
    <d v="2024-03-15T00:00:00"/>
    <x v="2"/>
    <x v="1"/>
    <x v="1"/>
    <n v="148.61000000000001"/>
    <n v="25.25"/>
    <n v="2"/>
    <n v="54735.250000000029"/>
    <x v="0"/>
    <n v="4.8855445544554463"/>
    <x v="1461"/>
    <x v="0"/>
    <x v="3"/>
    <x v="1"/>
    <n v="74.305000000000007"/>
  </r>
  <r>
    <d v="2024-04-27T00:00:00"/>
    <x v="1"/>
    <x v="0"/>
    <x v="1"/>
    <n v="41.12"/>
    <n v="47.2"/>
    <n v="3"/>
    <n v="58562.910000000018"/>
    <x v="1"/>
    <n v="-0.128813559322034"/>
    <x v="1462"/>
    <x v="1"/>
    <x v="1"/>
    <x v="1"/>
    <n v="13.706666666666665"/>
  </r>
  <r>
    <d v="2024-04-09T00:00:00"/>
    <x v="4"/>
    <x v="0"/>
    <x v="0"/>
    <n v="164.39"/>
    <n v="31.97"/>
    <n v="2"/>
    <n v="58562.910000000018"/>
    <x v="1"/>
    <n v="4.1420081326243352"/>
    <x v="1463"/>
    <x v="1"/>
    <x v="1"/>
    <x v="1"/>
    <n v="82.194999999999993"/>
  </r>
  <r>
    <d v="2024-03-04T00:00:00"/>
    <x v="4"/>
    <x v="0"/>
    <x v="1"/>
    <n v="58.27"/>
    <n v="21.51"/>
    <n v="3"/>
    <n v="54735.250000000029"/>
    <x v="0"/>
    <n v="1.7089725708972572"/>
    <x v="1464"/>
    <x v="1"/>
    <x v="3"/>
    <x v="1"/>
    <n v="19.423333333333336"/>
  </r>
  <r>
    <d v="2024-01-27T00:00:00"/>
    <x v="0"/>
    <x v="1"/>
    <x v="0"/>
    <n v="146.02000000000001"/>
    <n v="19.600000000000001"/>
    <n v="0"/>
    <n v="61207.979999999989"/>
    <x v="1"/>
    <n v="6.45"/>
    <x v="1465"/>
    <x v="0"/>
    <x v="2"/>
    <x v="0"/>
    <n v="0"/>
  </r>
  <r>
    <d v="2024-03-12T00:00:00"/>
    <x v="2"/>
    <x v="2"/>
    <x v="0"/>
    <n v="176.25"/>
    <n v="20.83"/>
    <n v="2"/>
    <n v="54735.250000000029"/>
    <x v="0"/>
    <n v="7.461353816610659"/>
    <x v="1466"/>
    <x v="0"/>
    <x v="3"/>
    <x v="1"/>
    <n v="88.125"/>
  </r>
  <r>
    <d v="2024-03-26T00:00:00"/>
    <x v="3"/>
    <x v="0"/>
    <x v="0"/>
    <n v="74.64"/>
    <n v="38.630000000000003"/>
    <n v="1"/>
    <n v="54735.250000000029"/>
    <x v="0"/>
    <n v="0.93217706445767523"/>
    <x v="1467"/>
    <x v="1"/>
    <x v="3"/>
    <x v="1"/>
    <n v="74.64"/>
  </r>
  <r>
    <d v="2024-02-11T00:00:00"/>
    <x v="2"/>
    <x v="1"/>
    <x v="1"/>
    <n v="86.5"/>
    <n v="19.22"/>
    <n v="3"/>
    <n v="48675.899999999936"/>
    <x v="0"/>
    <n v="3.5005202913631637"/>
    <x v="1468"/>
    <x v="0"/>
    <x v="0"/>
    <x v="0"/>
    <n v="28.833333333333332"/>
  </r>
  <r>
    <d v="2024-01-09T00:00:00"/>
    <x v="2"/>
    <x v="1"/>
    <x v="1"/>
    <n v="59.42"/>
    <n v="23.85"/>
    <n v="0"/>
    <n v="61207.979999999989"/>
    <x v="1"/>
    <n v="1.491404612159329"/>
    <x v="1469"/>
    <x v="0"/>
    <x v="2"/>
    <x v="0"/>
    <n v="0"/>
  </r>
  <r>
    <d v="2024-01-13T00:00:00"/>
    <x v="2"/>
    <x v="2"/>
    <x v="1"/>
    <n v="40.49"/>
    <n v="29.82"/>
    <n v="3"/>
    <n v="61207.979999999989"/>
    <x v="1"/>
    <n v="0.35781354795439307"/>
    <x v="1470"/>
    <x v="0"/>
    <x v="2"/>
    <x v="0"/>
    <n v="13.496666666666668"/>
  </r>
  <r>
    <d v="2024-03-10T00:00:00"/>
    <x v="3"/>
    <x v="1"/>
    <x v="1"/>
    <n v="37.94"/>
    <n v="25.15"/>
    <n v="3"/>
    <n v="54735.250000000029"/>
    <x v="0"/>
    <n v="0.50854870775347916"/>
    <x v="1471"/>
    <x v="1"/>
    <x v="3"/>
    <x v="1"/>
    <n v="12.646666666666667"/>
  </r>
  <r>
    <d v="2024-04-26T00:00:00"/>
    <x v="0"/>
    <x v="2"/>
    <x v="1"/>
    <n v="57.41"/>
    <n v="31.63"/>
    <n v="0"/>
    <n v="58562.910000000018"/>
    <x v="1"/>
    <n v="0.81504900411002212"/>
    <x v="1472"/>
    <x v="1"/>
    <x v="1"/>
    <x v="1"/>
    <n v="0"/>
  </r>
  <r>
    <d v="2024-02-18T00:00:00"/>
    <x v="4"/>
    <x v="2"/>
    <x v="1"/>
    <n v="24.45"/>
    <n v="44.23"/>
    <n v="0"/>
    <n v="48675.899999999936"/>
    <x v="0"/>
    <n v="-0.44720777752656565"/>
    <x v="1473"/>
    <x v="0"/>
    <x v="0"/>
    <x v="0"/>
    <n v="0"/>
  </r>
  <r>
    <d v="2024-03-13T00:00:00"/>
    <x v="0"/>
    <x v="0"/>
    <x v="0"/>
    <n v="110.47"/>
    <n v="35.36"/>
    <n v="2"/>
    <n v="54735.250000000029"/>
    <x v="0"/>
    <n v="2.1241515837104075"/>
    <x v="1474"/>
    <x v="0"/>
    <x v="3"/>
    <x v="1"/>
    <n v="55.234999999999999"/>
  </r>
  <r>
    <d v="2024-03-22T00:00:00"/>
    <x v="0"/>
    <x v="2"/>
    <x v="0"/>
    <n v="146.16"/>
    <n v="32.42"/>
    <n v="1"/>
    <n v="54735.250000000029"/>
    <x v="0"/>
    <n v="3.5083281924737815"/>
    <x v="1475"/>
    <x v="0"/>
    <x v="3"/>
    <x v="1"/>
    <n v="146.16"/>
  </r>
  <r>
    <d v="2024-01-04T00:00:00"/>
    <x v="2"/>
    <x v="2"/>
    <x v="0"/>
    <n v="49.45"/>
    <n v="16.09"/>
    <n v="2"/>
    <n v="61207.979999999989"/>
    <x v="1"/>
    <n v="2.0733374766935984"/>
    <x v="1476"/>
    <x v="0"/>
    <x v="2"/>
    <x v="0"/>
    <n v="24.725000000000001"/>
  </r>
  <r>
    <d v="2024-01-07T00:00:00"/>
    <x v="4"/>
    <x v="1"/>
    <x v="0"/>
    <n v="177.07"/>
    <n v="38.43"/>
    <n v="1"/>
    <n v="61207.979999999989"/>
    <x v="1"/>
    <n v="3.6075982305490499"/>
    <x v="1477"/>
    <x v="0"/>
    <x v="2"/>
    <x v="0"/>
    <n v="177.07"/>
  </r>
  <r>
    <d v="2024-04-27T00:00:00"/>
    <x v="3"/>
    <x v="2"/>
    <x v="0"/>
    <n v="73.94"/>
    <n v="35.270000000000003"/>
    <n v="3"/>
    <n v="58562.910000000018"/>
    <x v="1"/>
    <n v="1.0963992061241845"/>
    <x v="1478"/>
    <x v="1"/>
    <x v="1"/>
    <x v="1"/>
    <n v="24.646666666666665"/>
  </r>
  <r>
    <d v="2024-03-15T00:00:00"/>
    <x v="0"/>
    <x v="0"/>
    <x v="0"/>
    <n v="28.02"/>
    <n v="49.72"/>
    <n v="0"/>
    <n v="54735.250000000029"/>
    <x v="0"/>
    <n v="-0.43644408688656477"/>
    <x v="1479"/>
    <x v="1"/>
    <x v="3"/>
    <x v="1"/>
    <n v="0"/>
  </r>
  <r>
    <d v="2024-03-05T00:00:00"/>
    <x v="3"/>
    <x v="2"/>
    <x v="1"/>
    <n v="77.760000000000005"/>
    <n v="31.57"/>
    <n v="3"/>
    <n v="54735.250000000029"/>
    <x v="0"/>
    <n v="1.4630978777320243"/>
    <x v="1480"/>
    <x v="0"/>
    <x v="3"/>
    <x v="1"/>
    <n v="25.92"/>
  </r>
  <r>
    <d v="2024-03-05T00:00:00"/>
    <x v="3"/>
    <x v="0"/>
    <x v="1"/>
    <n v="126.45"/>
    <n v="49.76"/>
    <n v="1"/>
    <n v="54735.250000000029"/>
    <x v="0"/>
    <n v="1.5411977491961415"/>
    <x v="1481"/>
    <x v="0"/>
    <x v="3"/>
    <x v="1"/>
    <n v="126.45"/>
  </r>
  <r>
    <d v="2024-03-02T00:00:00"/>
    <x v="4"/>
    <x v="1"/>
    <x v="1"/>
    <n v="92.15"/>
    <n v="7.45"/>
    <n v="0"/>
    <n v="54735.250000000029"/>
    <x v="0"/>
    <n v="11.369127516778523"/>
    <x v="1482"/>
    <x v="1"/>
    <x v="3"/>
    <x v="1"/>
    <n v="0"/>
  </r>
  <r>
    <d v="2024-03-28T00:00:00"/>
    <x v="4"/>
    <x v="0"/>
    <x v="1"/>
    <n v="173"/>
    <n v="41.11"/>
    <n v="1"/>
    <n v="54735.250000000029"/>
    <x v="0"/>
    <n v="3.2082218438336167"/>
    <x v="1483"/>
    <x v="0"/>
    <x v="3"/>
    <x v="1"/>
    <n v="173"/>
  </r>
  <r>
    <d v="2024-03-10T00:00:00"/>
    <x v="3"/>
    <x v="0"/>
    <x v="0"/>
    <n v="186.06"/>
    <n v="7.46"/>
    <n v="3"/>
    <n v="54735.250000000029"/>
    <x v="0"/>
    <n v="23.941018766756031"/>
    <x v="1484"/>
    <x v="0"/>
    <x v="3"/>
    <x v="1"/>
    <n v="62.02"/>
  </r>
  <r>
    <d v="2024-01-08T00:00:00"/>
    <x v="1"/>
    <x v="0"/>
    <x v="0"/>
    <n v="105.25"/>
    <n v="4.79"/>
    <n v="2"/>
    <n v="61207.979999999989"/>
    <x v="1"/>
    <n v="20.972860125260958"/>
    <x v="1485"/>
    <x v="0"/>
    <x v="2"/>
    <x v="0"/>
    <n v="52.625"/>
  </r>
  <r>
    <d v="2024-03-20T00:00:00"/>
    <x v="2"/>
    <x v="0"/>
    <x v="0"/>
    <n v="108.35"/>
    <n v="22.78"/>
    <n v="3"/>
    <n v="54735.250000000029"/>
    <x v="0"/>
    <n v="3.7563652326602277"/>
    <x v="1486"/>
    <x v="0"/>
    <x v="3"/>
    <x v="1"/>
    <n v="36.116666666666667"/>
  </r>
  <r>
    <d v="2024-01-18T00:00:00"/>
    <x v="4"/>
    <x v="2"/>
    <x v="0"/>
    <n v="107.12"/>
    <n v="24.5"/>
    <n v="0"/>
    <n v="61207.979999999989"/>
    <x v="1"/>
    <n v="3.3722448979591837"/>
    <x v="1487"/>
    <x v="1"/>
    <x v="2"/>
    <x v="0"/>
    <n v="0"/>
  </r>
  <r>
    <d v="2024-03-02T00:00:00"/>
    <x v="0"/>
    <x v="2"/>
    <x v="1"/>
    <n v="194.71"/>
    <n v="27.64"/>
    <n v="3"/>
    <n v="54735.250000000029"/>
    <x v="0"/>
    <n v="6.0445007235890014"/>
    <x v="1488"/>
    <x v="1"/>
    <x v="3"/>
    <x v="1"/>
    <n v="64.903333333333336"/>
  </r>
  <r>
    <d v="2024-04-04T00:00:00"/>
    <x v="4"/>
    <x v="1"/>
    <x v="0"/>
    <n v="173.06"/>
    <n v="1.1100000000000001"/>
    <n v="3"/>
    <n v="58562.910000000018"/>
    <x v="1"/>
    <n v="154.90990990990989"/>
    <x v="1489"/>
    <x v="0"/>
    <x v="1"/>
    <x v="1"/>
    <n v="57.686666666666667"/>
  </r>
  <r>
    <d v="2024-02-29T00:00:00"/>
    <x v="3"/>
    <x v="1"/>
    <x v="0"/>
    <n v="86.23"/>
    <n v="48.62"/>
    <n v="3"/>
    <n v="48675.899999999936"/>
    <x v="0"/>
    <n v="0.7735499794323325"/>
    <x v="1490"/>
    <x v="1"/>
    <x v="0"/>
    <x v="0"/>
    <n v="28.743333333333336"/>
  </r>
  <r>
    <d v="2024-02-09T00:00:00"/>
    <x v="1"/>
    <x v="2"/>
    <x v="1"/>
    <n v="58.62"/>
    <n v="7.21"/>
    <n v="2"/>
    <n v="48675.899999999936"/>
    <x v="0"/>
    <n v="7.1303744798890429"/>
    <x v="1491"/>
    <x v="1"/>
    <x v="0"/>
    <x v="0"/>
    <n v="29.31"/>
  </r>
  <r>
    <d v="2024-02-17T00:00:00"/>
    <x v="3"/>
    <x v="0"/>
    <x v="0"/>
    <n v="143.77000000000001"/>
    <n v="11.87"/>
    <n v="1"/>
    <n v="48675.899999999936"/>
    <x v="0"/>
    <n v="11.112047177759058"/>
    <x v="1492"/>
    <x v="1"/>
    <x v="0"/>
    <x v="0"/>
    <n v="143.77000000000001"/>
  </r>
  <r>
    <d v="2024-04-20T00:00:00"/>
    <x v="3"/>
    <x v="2"/>
    <x v="0"/>
    <n v="112.76"/>
    <n v="36.6"/>
    <n v="3"/>
    <n v="58562.910000000018"/>
    <x v="1"/>
    <n v="2.0808743169398904"/>
    <x v="1493"/>
    <x v="1"/>
    <x v="1"/>
    <x v="1"/>
    <n v="37.586666666666666"/>
  </r>
  <r>
    <d v="2024-02-29T00:00:00"/>
    <x v="1"/>
    <x v="0"/>
    <x v="0"/>
    <n v="155.63"/>
    <n v="23.29"/>
    <n v="2"/>
    <n v="48675.899999999936"/>
    <x v="0"/>
    <n v="5.6822670674109066"/>
    <x v="1494"/>
    <x v="0"/>
    <x v="0"/>
    <x v="0"/>
    <n v="77.814999999999998"/>
  </r>
  <r>
    <d v="2024-01-13T00:00:00"/>
    <x v="0"/>
    <x v="1"/>
    <x v="1"/>
    <n v="116.78"/>
    <n v="3.98"/>
    <n v="0"/>
    <n v="61207.979999999989"/>
    <x v="1"/>
    <n v="28.341708542713569"/>
    <x v="1495"/>
    <x v="1"/>
    <x v="2"/>
    <x v="0"/>
    <n v="0"/>
  </r>
  <r>
    <d v="2024-03-31T00:00:00"/>
    <x v="0"/>
    <x v="2"/>
    <x v="0"/>
    <n v="117.32"/>
    <n v="19.84"/>
    <n v="2"/>
    <n v="54735.250000000029"/>
    <x v="0"/>
    <n v="4.913306451612903"/>
    <x v="1496"/>
    <x v="1"/>
    <x v="3"/>
    <x v="1"/>
    <n v="58.66"/>
  </r>
  <r>
    <d v="2024-03-19T00:00:00"/>
    <x v="2"/>
    <x v="1"/>
    <x v="0"/>
    <n v="102.09"/>
    <n v="8.06"/>
    <n v="0"/>
    <n v="54735.250000000029"/>
    <x v="0"/>
    <n v="11.666253101736972"/>
    <x v="1497"/>
    <x v="0"/>
    <x v="3"/>
    <x v="1"/>
    <n v="0"/>
  </r>
  <r>
    <d v="2024-02-15T00:00:00"/>
    <x v="2"/>
    <x v="2"/>
    <x v="1"/>
    <n v="177.08"/>
    <n v="9.4499999999999993"/>
    <n v="1"/>
    <n v="48675.899999999936"/>
    <x v="0"/>
    <n v="17.738624338624341"/>
    <x v="1498"/>
    <x v="1"/>
    <x v="0"/>
    <x v="0"/>
    <n v="177.08"/>
  </r>
  <r>
    <d v="2024-04-29T00:00:00"/>
    <x v="4"/>
    <x v="2"/>
    <x v="0"/>
    <n v="199.44"/>
    <n v="46.19"/>
    <n v="0"/>
    <n v="58562.910000000018"/>
    <x v="1"/>
    <n v="3.3178177094609222"/>
    <x v="1499"/>
    <x v="1"/>
    <x v="1"/>
    <x v="1"/>
    <n v="0"/>
  </r>
  <r>
    <d v="2024-04-29T00:00:00"/>
    <x v="1"/>
    <x v="0"/>
    <x v="1"/>
    <n v="178.35"/>
    <n v="36.450000000000003"/>
    <n v="3"/>
    <n v="58562.910000000018"/>
    <x v="1"/>
    <n v="3.8930041152263364"/>
    <x v="1500"/>
    <x v="1"/>
    <x v="1"/>
    <x v="1"/>
    <n v="59.449999999999996"/>
  </r>
  <r>
    <d v="2024-02-14T00:00:00"/>
    <x v="3"/>
    <x v="2"/>
    <x v="1"/>
    <n v="159.11000000000001"/>
    <n v="3.58"/>
    <n v="0"/>
    <n v="48675.899999999936"/>
    <x v="0"/>
    <n v="43.444134078212286"/>
    <x v="1501"/>
    <x v="0"/>
    <x v="0"/>
    <x v="0"/>
    <n v="0"/>
  </r>
  <r>
    <d v="2024-04-09T00:00:00"/>
    <x v="0"/>
    <x v="1"/>
    <x v="0"/>
    <n v="147.12"/>
    <n v="13.94"/>
    <n v="2"/>
    <n v="58562.910000000018"/>
    <x v="1"/>
    <n v="9.5538020086083222"/>
    <x v="1502"/>
    <x v="0"/>
    <x v="1"/>
    <x v="1"/>
    <n v="73.56"/>
  </r>
  <r>
    <d v="2024-02-10T00:00:00"/>
    <x v="2"/>
    <x v="0"/>
    <x v="1"/>
    <n v="128.46"/>
    <n v="34.5"/>
    <n v="3"/>
    <n v="48675.899999999936"/>
    <x v="0"/>
    <n v="2.7234782608695656"/>
    <x v="1503"/>
    <x v="1"/>
    <x v="0"/>
    <x v="0"/>
    <n v="42.82"/>
  </r>
  <r>
    <d v="2024-02-17T00:00:00"/>
    <x v="3"/>
    <x v="2"/>
    <x v="1"/>
    <n v="143.87"/>
    <n v="4.46"/>
    <n v="2"/>
    <n v="48675.899999999936"/>
    <x v="0"/>
    <n v="31.257847533632287"/>
    <x v="1504"/>
    <x v="1"/>
    <x v="0"/>
    <x v="0"/>
    <n v="71.935000000000002"/>
  </r>
  <r>
    <d v="2024-01-29T00:00:00"/>
    <x v="3"/>
    <x v="1"/>
    <x v="1"/>
    <n v="74.39"/>
    <n v="11.68"/>
    <n v="0"/>
    <n v="61207.979999999989"/>
    <x v="1"/>
    <n v="5.3690068493150687"/>
    <x v="1505"/>
    <x v="1"/>
    <x v="2"/>
    <x v="0"/>
    <n v="0"/>
  </r>
  <r>
    <d v="2024-04-06T00:00:00"/>
    <x v="4"/>
    <x v="1"/>
    <x v="1"/>
    <n v="163.09"/>
    <n v="48.01"/>
    <n v="2"/>
    <n v="58562.910000000018"/>
    <x v="1"/>
    <n v="2.3970006248698192"/>
    <x v="1506"/>
    <x v="1"/>
    <x v="1"/>
    <x v="1"/>
    <n v="81.545000000000002"/>
  </r>
  <r>
    <d v="2024-01-13T00:00:00"/>
    <x v="4"/>
    <x v="0"/>
    <x v="0"/>
    <n v="122.31"/>
    <n v="28.93"/>
    <n v="2"/>
    <n v="61207.979999999989"/>
    <x v="1"/>
    <n v="3.2277912201866572"/>
    <x v="1507"/>
    <x v="0"/>
    <x v="2"/>
    <x v="0"/>
    <n v="61.155000000000001"/>
  </r>
  <r>
    <d v="2024-01-30T00:00:00"/>
    <x v="2"/>
    <x v="0"/>
    <x v="0"/>
    <n v="178.67"/>
    <n v="32.82"/>
    <n v="0"/>
    <n v="61207.979999999989"/>
    <x v="1"/>
    <n v="4.4439366240097495"/>
    <x v="1508"/>
    <x v="1"/>
    <x v="2"/>
    <x v="0"/>
    <n v="0"/>
  </r>
  <r>
    <d v="2024-04-06T00:00:00"/>
    <x v="4"/>
    <x v="0"/>
    <x v="1"/>
    <n v="161.19999999999999"/>
    <n v="14.26"/>
    <n v="1"/>
    <n v="58562.910000000018"/>
    <x v="1"/>
    <n v="10.304347826086957"/>
    <x v="1509"/>
    <x v="1"/>
    <x v="1"/>
    <x v="1"/>
    <n v="161.19999999999999"/>
  </r>
  <r>
    <d v="2024-01-02T00:00:00"/>
    <x v="0"/>
    <x v="1"/>
    <x v="1"/>
    <n v="151.80000000000001"/>
    <n v="1.28"/>
    <n v="3"/>
    <n v="61207.979999999989"/>
    <x v="1"/>
    <n v="117.59375"/>
    <x v="1510"/>
    <x v="0"/>
    <x v="2"/>
    <x v="0"/>
    <n v="50.6"/>
  </r>
  <r>
    <d v="2024-03-24T00:00:00"/>
    <x v="4"/>
    <x v="1"/>
    <x v="1"/>
    <n v="52.98"/>
    <n v="25.89"/>
    <n v="1"/>
    <n v="54735.250000000029"/>
    <x v="0"/>
    <n v="1.0463499420625721"/>
    <x v="1511"/>
    <x v="1"/>
    <x v="3"/>
    <x v="1"/>
    <n v="52.98"/>
  </r>
  <r>
    <d v="2024-02-04T00:00:00"/>
    <x v="0"/>
    <x v="2"/>
    <x v="1"/>
    <n v="127.77"/>
    <n v="44.37"/>
    <n v="1"/>
    <n v="48675.899999999936"/>
    <x v="0"/>
    <n v="1.8796484110885736"/>
    <x v="1512"/>
    <x v="0"/>
    <x v="0"/>
    <x v="0"/>
    <n v="127.77"/>
  </r>
  <r>
    <d v="2024-04-21T00:00:00"/>
    <x v="0"/>
    <x v="0"/>
    <x v="1"/>
    <n v="109.36"/>
    <n v="45.33"/>
    <n v="1"/>
    <n v="58562.910000000018"/>
    <x v="1"/>
    <n v="1.412530333112729"/>
    <x v="1513"/>
    <x v="1"/>
    <x v="1"/>
    <x v="1"/>
    <n v="109.36"/>
  </r>
  <r>
    <d v="2024-01-23T00:00:00"/>
    <x v="1"/>
    <x v="1"/>
    <x v="1"/>
    <n v="59.19"/>
    <n v="23.97"/>
    <n v="3"/>
    <n v="61207.979999999989"/>
    <x v="1"/>
    <n v="1.4693366708385482"/>
    <x v="1514"/>
    <x v="0"/>
    <x v="2"/>
    <x v="0"/>
    <n v="19.73"/>
  </r>
  <r>
    <d v="2024-03-26T00:00:00"/>
    <x v="1"/>
    <x v="2"/>
    <x v="0"/>
    <n v="192.75"/>
    <n v="38.78"/>
    <n v="1"/>
    <n v="54735.250000000029"/>
    <x v="0"/>
    <n v="3.9703455389375963"/>
    <x v="1515"/>
    <x v="0"/>
    <x v="3"/>
    <x v="1"/>
    <n v="192.75"/>
  </r>
  <r>
    <d v="2024-01-31T00:00:00"/>
    <x v="3"/>
    <x v="1"/>
    <x v="1"/>
    <n v="39.06"/>
    <n v="13.19"/>
    <n v="2"/>
    <n v="61207.979999999989"/>
    <x v="1"/>
    <n v="1.9613343442001521"/>
    <x v="1516"/>
    <x v="0"/>
    <x v="2"/>
    <x v="0"/>
    <n v="19.53"/>
  </r>
  <r>
    <d v="2024-04-01T00:00:00"/>
    <x v="3"/>
    <x v="0"/>
    <x v="1"/>
    <n v="171.65"/>
    <n v="20.5"/>
    <n v="3"/>
    <n v="58562.910000000018"/>
    <x v="1"/>
    <n v="7.373170731707317"/>
    <x v="1517"/>
    <x v="0"/>
    <x v="1"/>
    <x v="1"/>
    <n v="57.216666666666669"/>
  </r>
  <r>
    <d v="2024-01-10T00:00:00"/>
    <x v="2"/>
    <x v="0"/>
    <x v="1"/>
    <n v="53.22"/>
    <n v="38.83"/>
    <n v="1"/>
    <n v="61207.979999999989"/>
    <x v="1"/>
    <n v="0.37058975019314966"/>
    <x v="1518"/>
    <x v="1"/>
    <x v="2"/>
    <x v="0"/>
    <n v="53.22"/>
  </r>
  <r>
    <d v="2024-04-09T00:00:00"/>
    <x v="0"/>
    <x v="2"/>
    <x v="0"/>
    <n v="193.78"/>
    <n v="14.12"/>
    <n v="3"/>
    <n v="58562.910000000018"/>
    <x v="1"/>
    <n v="12.723796033994335"/>
    <x v="1519"/>
    <x v="0"/>
    <x v="1"/>
    <x v="1"/>
    <n v="64.593333333333334"/>
  </r>
  <r>
    <d v="2024-02-09T00:00:00"/>
    <x v="1"/>
    <x v="0"/>
    <x v="1"/>
    <n v="105.32"/>
    <n v="11.73"/>
    <n v="2"/>
    <n v="48675.899999999936"/>
    <x v="0"/>
    <n v="7.9786871270247222"/>
    <x v="1520"/>
    <x v="0"/>
    <x v="0"/>
    <x v="0"/>
    <n v="52.66"/>
  </r>
  <r>
    <d v="2024-03-28T00:00:00"/>
    <x v="3"/>
    <x v="1"/>
    <x v="0"/>
    <n v="36.4"/>
    <n v="31.72"/>
    <n v="1"/>
    <n v="54735.250000000029"/>
    <x v="0"/>
    <n v="0.14754098360655737"/>
    <x v="1521"/>
    <x v="0"/>
    <x v="3"/>
    <x v="1"/>
    <n v="36.4"/>
  </r>
  <r>
    <d v="2024-01-01T00:00:00"/>
    <x v="0"/>
    <x v="1"/>
    <x v="1"/>
    <n v="41.71"/>
    <n v="13.85"/>
    <n v="3"/>
    <n v="61207.979999999989"/>
    <x v="1"/>
    <n v="2.0115523465703973"/>
    <x v="1522"/>
    <x v="1"/>
    <x v="2"/>
    <x v="0"/>
    <n v="13.903333333333334"/>
  </r>
  <r>
    <d v="2024-01-27T00:00:00"/>
    <x v="1"/>
    <x v="1"/>
    <x v="0"/>
    <n v="75.12"/>
    <n v="29.67"/>
    <n v="2"/>
    <n v="61207.979999999989"/>
    <x v="1"/>
    <n v="1.531850353892821"/>
    <x v="1523"/>
    <x v="1"/>
    <x v="2"/>
    <x v="0"/>
    <n v="37.56"/>
  </r>
  <r>
    <d v="2024-01-07T00:00:00"/>
    <x v="0"/>
    <x v="2"/>
    <x v="0"/>
    <n v="147.78"/>
    <n v="4.5599999999999996"/>
    <n v="1"/>
    <n v="61207.979999999989"/>
    <x v="1"/>
    <n v="31.407894736842106"/>
    <x v="1287"/>
    <x v="1"/>
    <x v="2"/>
    <x v="0"/>
    <n v="147.78"/>
  </r>
  <r>
    <d v="2024-01-16T00:00:00"/>
    <x v="4"/>
    <x v="0"/>
    <x v="1"/>
    <n v="81.709999999999994"/>
    <n v="27.07"/>
    <n v="1"/>
    <n v="61207.979999999989"/>
    <x v="1"/>
    <n v="2.0184706316956036"/>
    <x v="1524"/>
    <x v="0"/>
    <x v="2"/>
    <x v="0"/>
    <n v="81.709999999999994"/>
  </r>
  <r>
    <d v="2024-04-15T00:00:00"/>
    <x v="3"/>
    <x v="1"/>
    <x v="0"/>
    <n v="119.26"/>
    <n v="22.38"/>
    <n v="3"/>
    <n v="58562.910000000018"/>
    <x v="1"/>
    <n v="4.3288650580875787"/>
    <x v="1525"/>
    <x v="0"/>
    <x v="1"/>
    <x v="1"/>
    <n v="39.753333333333337"/>
  </r>
  <r>
    <d v="2024-04-19T00:00:00"/>
    <x v="2"/>
    <x v="0"/>
    <x v="0"/>
    <n v="59.43"/>
    <n v="17.21"/>
    <n v="1"/>
    <n v="58562.910000000018"/>
    <x v="1"/>
    <n v="2.4532248692620566"/>
    <x v="1526"/>
    <x v="1"/>
    <x v="1"/>
    <x v="1"/>
    <n v="59.43"/>
  </r>
  <r>
    <d v="2024-02-22T00:00:00"/>
    <x v="4"/>
    <x v="0"/>
    <x v="0"/>
    <n v="25.54"/>
    <n v="38.979999999999997"/>
    <n v="1"/>
    <n v="48675.899999999936"/>
    <x v="0"/>
    <n v="-0.34479220112878395"/>
    <x v="1527"/>
    <x v="1"/>
    <x v="0"/>
    <x v="0"/>
    <n v="25.54"/>
  </r>
  <r>
    <d v="2024-01-13T00:00:00"/>
    <x v="4"/>
    <x v="1"/>
    <x v="1"/>
    <n v="88.17"/>
    <n v="32.18"/>
    <n v="3"/>
    <n v="61207.979999999989"/>
    <x v="1"/>
    <n v="1.7399005593536359"/>
    <x v="1528"/>
    <x v="0"/>
    <x v="2"/>
    <x v="0"/>
    <n v="29.39"/>
  </r>
  <r>
    <d v="2024-04-18T00:00:00"/>
    <x v="0"/>
    <x v="0"/>
    <x v="1"/>
    <n v="32.119999999999997"/>
    <n v="9.43"/>
    <n v="0"/>
    <n v="58562.910000000018"/>
    <x v="1"/>
    <n v="2.4061505832449628"/>
    <x v="1529"/>
    <x v="0"/>
    <x v="1"/>
    <x v="1"/>
    <n v="0"/>
  </r>
  <r>
    <d v="2024-03-02T00:00:00"/>
    <x v="0"/>
    <x v="2"/>
    <x v="1"/>
    <n v="59.34"/>
    <n v="48.87"/>
    <n v="3"/>
    <n v="54735.250000000029"/>
    <x v="0"/>
    <n v="0.21424186617556798"/>
    <x v="1530"/>
    <x v="1"/>
    <x v="3"/>
    <x v="1"/>
    <n v="19.78"/>
  </r>
  <r>
    <d v="2024-03-19T00:00:00"/>
    <x v="3"/>
    <x v="2"/>
    <x v="1"/>
    <n v="150.72999999999999"/>
    <n v="20.64"/>
    <n v="3"/>
    <n v="54735.250000000029"/>
    <x v="0"/>
    <n v="6.3028100775193785"/>
    <x v="1531"/>
    <x v="0"/>
    <x v="3"/>
    <x v="1"/>
    <n v="50.243333333333332"/>
  </r>
  <r>
    <d v="2024-03-17T00:00:00"/>
    <x v="1"/>
    <x v="1"/>
    <x v="1"/>
    <n v="185.12"/>
    <n v="30.3"/>
    <n v="0"/>
    <n v="54735.250000000029"/>
    <x v="0"/>
    <n v="5.1095709570957091"/>
    <x v="1532"/>
    <x v="0"/>
    <x v="3"/>
    <x v="1"/>
    <n v="0"/>
  </r>
  <r>
    <d v="2024-01-07T00:00:00"/>
    <x v="1"/>
    <x v="2"/>
    <x v="0"/>
    <n v="155.06"/>
    <n v="9.58"/>
    <n v="0"/>
    <n v="61207.979999999989"/>
    <x v="1"/>
    <n v="15.185803757828809"/>
    <x v="1533"/>
    <x v="1"/>
    <x v="2"/>
    <x v="0"/>
    <n v="0"/>
  </r>
  <r>
    <d v="2024-04-13T00:00:00"/>
    <x v="1"/>
    <x v="0"/>
    <x v="1"/>
    <n v="166.43"/>
    <n v="9.07"/>
    <n v="3"/>
    <n v="58562.910000000018"/>
    <x v="1"/>
    <n v="17.349503858875416"/>
    <x v="1534"/>
    <x v="1"/>
    <x v="1"/>
    <x v="1"/>
    <n v="55.476666666666667"/>
  </r>
  <r>
    <d v="2024-04-26T00:00:00"/>
    <x v="3"/>
    <x v="0"/>
    <x v="0"/>
    <n v="93.77"/>
    <n v="25.04"/>
    <n v="2"/>
    <n v="58562.910000000018"/>
    <x v="1"/>
    <n v="2.744808306709265"/>
    <x v="1535"/>
    <x v="0"/>
    <x v="1"/>
    <x v="1"/>
    <n v="46.884999999999998"/>
  </r>
  <r>
    <d v="2024-03-18T00:00:00"/>
    <x v="3"/>
    <x v="2"/>
    <x v="0"/>
    <n v="103.29"/>
    <n v="47.95"/>
    <n v="0"/>
    <n v="54735.250000000029"/>
    <x v="0"/>
    <n v="1.154118873826903"/>
    <x v="1536"/>
    <x v="0"/>
    <x v="3"/>
    <x v="1"/>
    <n v="0"/>
  </r>
  <r>
    <d v="2024-02-25T00:00:00"/>
    <x v="4"/>
    <x v="0"/>
    <x v="0"/>
    <n v="46.85"/>
    <n v="32.840000000000003"/>
    <n v="1"/>
    <n v="48675.899999999936"/>
    <x v="0"/>
    <n v="0.42661388550548102"/>
    <x v="1537"/>
    <x v="1"/>
    <x v="0"/>
    <x v="0"/>
    <n v="46.85"/>
  </r>
  <r>
    <d v="2024-01-13T00:00:00"/>
    <x v="2"/>
    <x v="0"/>
    <x v="0"/>
    <n v="177.8"/>
    <n v="45.75"/>
    <n v="3"/>
    <n v="61207.979999999989"/>
    <x v="1"/>
    <n v="2.8863387978142079"/>
    <x v="1024"/>
    <x v="1"/>
    <x v="2"/>
    <x v="0"/>
    <n v="59.266666666666673"/>
  </r>
  <r>
    <d v="2024-02-29T00:00:00"/>
    <x v="1"/>
    <x v="0"/>
    <x v="1"/>
    <n v="32.5"/>
    <n v="10.69"/>
    <n v="1"/>
    <n v="48675.899999999936"/>
    <x v="0"/>
    <n v="2.0402245088868103"/>
    <x v="1538"/>
    <x v="1"/>
    <x v="0"/>
    <x v="0"/>
    <n v="32.5"/>
  </r>
  <r>
    <d v="2024-01-27T00:00:00"/>
    <x v="2"/>
    <x v="2"/>
    <x v="0"/>
    <n v="96.51"/>
    <n v="30.35"/>
    <n v="0"/>
    <n v="61207.979999999989"/>
    <x v="1"/>
    <n v="2.1799011532125205"/>
    <x v="1539"/>
    <x v="0"/>
    <x v="2"/>
    <x v="0"/>
    <n v="0"/>
  </r>
  <r>
    <d v="2024-01-01T00:00:00"/>
    <x v="2"/>
    <x v="2"/>
    <x v="0"/>
    <n v="25.14"/>
    <n v="31.78"/>
    <n v="1"/>
    <n v="61207.979999999989"/>
    <x v="1"/>
    <n v="-0.20893643801132789"/>
    <x v="1540"/>
    <x v="1"/>
    <x v="2"/>
    <x v="0"/>
    <n v="25.14"/>
  </r>
  <r>
    <d v="2024-03-29T00:00:00"/>
    <x v="2"/>
    <x v="0"/>
    <x v="1"/>
    <n v="102.34"/>
    <n v="10.73"/>
    <n v="2"/>
    <n v="54735.250000000029"/>
    <x v="0"/>
    <n v="8.5377446411929174"/>
    <x v="1541"/>
    <x v="0"/>
    <x v="3"/>
    <x v="1"/>
    <n v="51.17"/>
  </r>
  <r>
    <d v="2024-02-05T00:00:00"/>
    <x v="2"/>
    <x v="1"/>
    <x v="1"/>
    <n v="183.42"/>
    <n v="36.68"/>
    <n v="3"/>
    <n v="48675.899999999936"/>
    <x v="0"/>
    <n v="4.0005452562704464"/>
    <x v="1542"/>
    <x v="1"/>
    <x v="0"/>
    <x v="0"/>
    <n v="61.139999999999993"/>
  </r>
  <r>
    <d v="2024-04-22T00:00:00"/>
    <x v="0"/>
    <x v="1"/>
    <x v="0"/>
    <n v="199.23"/>
    <n v="9.7799999999999994"/>
    <n v="2"/>
    <n v="58562.910000000018"/>
    <x v="1"/>
    <n v="19.371165644171779"/>
    <x v="1543"/>
    <x v="1"/>
    <x v="1"/>
    <x v="1"/>
    <n v="99.614999999999995"/>
  </r>
  <r>
    <d v="2024-02-25T00:00:00"/>
    <x v="0"/>
    <x v="2"/>
    <x v="0"/>
    <n v="34.92"/>
    <n v="22.74"/>
    <n v="1"/>
    <n v="48675.899999999936"/>
    <x v="0"/>
    <n v="0.53562005277044877"/>
    <x v="1544"/>
    <x v="1"/>
    <x v="0"/>
    <x v="0"/>
    <n v="34.92"/>
  </r>
  <r>
    <d v="2024-01-04T00:00:00"/>
    <x v="2"/>
    <x v="1"/>
    <x v="0"/>
    <n v="112.24"/>
    <n v="47.43"/>
    <n v="0"/>
    <n v="61207.979999999989"/>
    <x v="1"/>
    <n v="1.3664347459413875"/>
    <x v="1545"/>
    <x v="0"/>
    <x v="2"/>
    <x v="0"/>
    <n v="0"/>
  </r>
  <r>
    <d v="2024-02-11T00:00:00"/>
    <x v="1"/>
    <x v="1"/>
    <x v="0"/>
    <n v="152.13"/>
    <n v="32.61"/>
    <n v="3"/>
    <n v="48675.899999999936"/>
    <x v="0"/>
    <n v="3.6651333946642133"/>
    <x v="1546"/>
    <x v="1"/>
    <x v="0"/>
    <x v="0"/>
    <n v="50.71"/>
  </r>
  <r>
    <d v="2024-01-27T00:00:00"/>
    <x v="1"/>
    <x v="1"/>
    <x v="0"/>
    <n v="27.13"/>
    <n v="41.3"/>
    <n v="1"/>
    <n v="61207.979999999989"/>
    <x v="1"/>
    <n v="-0.34309927360774817"/>
    <x v="1547"/>
    <x v="0"/>
    <x v="2"/>
    <x v="0"/>
    <n v="27.13"/>
  </r>
  <r>
    <d v="2024-04-08T00:00:00"/>
    <x v="3"/>
    <x v="1"/>
    <x v="1"/>
    <n v="67.900000000000006"/>
    <n v="10.35"/>
    <n v="1"/>
    <n v="58562.910000000018"/>
    <x v="1"/>
    <n v="5.5603864734299524"/>
    <x v="1548"/>
    <x v="1"/>
    <x v="1"/>
    <x v="1"/>
    <n v="67.900000000000006"/>
  </r>
  <r>
    <d v="2024-04-30T00:00:00"/>
    <x v="0"/>
    <x v="2"/>
    <x v="1"/>
    <n v="154.11000000000001"/>
    <n v="32.69"/>
    <n v="0"/>
    <n v="58562.910000000018"/>
    <x v="1"/>
    <n v="3.7142857142857149"/>
    <x v="1549"/>
    <x v="0"/>
    <x v="1"/>
    <x v="1"/>
    <n v="0"/>
  </r>
  <r>
    <d v="2024-02-22T00:00:00"/>
    <x v="1"/>
    <x v="0"/>
    <x v="0"/>
    <n v="167.89"/>
    <n v="2.44"/>
    <n v="2"/>
    <n v="48675.899999999936"/>
    <x v="0"/>
    <n v="67.807377049180332"/>
    <x v="1550"/>
    <x v="1"/>
    <x v="0"/>
    <x v="0"/>
    <n v="83.944999999999993"/>
  </r>
  <r>
    <d v="2024-01-27T00:00:00"/>
    <x v="3"/>
    <x v="0"/>
    <x v="0"/>
    <n v="49.86"/>
    <n v="24.66"/>
    <n v="3"/>
    <n v="61207.979999999989"/>
    <x v="1"/>
    <n v="1.021897810218978"/>
    <x v="1551"/>
    <x v="0"/>
    <x v="2"/>
    <x v="0"/>
    <n v="16.62"/>
  </r>
  <r>
    <d v="2024-01-29T00:00:00"/>
    <x v="0"/>
    <x v="0"/>
    <x v="0"/>
    <n v="194.51"/>
    <n v="7.39"/>
    <n v="0"/>
    <n v="61207.979999999989"/>
    <x v="1"/>
    <n v="25.32070365358593"/>
    <x v="1552"/>
    <x v="0"/>
    <x v="2"/>
    <x v="0"/>
    <n v="0"/>
  </r>
  <r>
    <d v="2024-02-05T00:00:00"/>
    <x v="4"/>
    <x v="0"/>
    <x v="1"/>
    <n v="116.09"/>
    <n v="0.38"/>
    <n v="2"/>
    <n v="48675.899999999936"/>
    <x v="0"/>
    <n v="304.5"/>
    <x v="1553"/>
    <x v="1"/>
    <x v="0"/>
    <x v="0"/>
    <n v="58.045000000000002"/>
  </r>
  <r>
    <d v="2024-02-15T00:00:00"/>
    <x v="4"/>
    <x v="0"/>
    <x v="0"/>
    <n v="68.239999999999995"/>
    <n v="2.5"/>
    <n v="1"/>
    <n v="48675.899999999936"/>
    <x v="0"/>
    <n v="26.295999999999999"/>
    <x v="1554"/>
    <x v="1"/>
    <x v="0"/>
    <x v="0"/>
    <n v="68.239999999999995"/>
  </r>
  <r>
    <d v="2024-03-30T00:00:00"/>
    <x v="0"/>
    <x v="1"/>
    <x v="1"/>
    <n v="31.23"/>
    <n v="26.61"/>
    <n v="3"/>
    <n v="54735.250000000029"/>
    <x v="0"/>
    <n v="0.1736189402480271"/>
    <x v="1555"/>
    <x v="0"/>
    <x v="3"/>
    <x v="1"/>
    <n v="10.41"/>
  </r>
  <r>
    <d v="2024-03-17T00:00:00"/>
    <x v="0"/>
    <x v="2"/>
    <x v="0"/>
    <n v="128.19"/>
    <n v="30.71"/>
    <n v="0"/>
    <n v="54735.250000000029"/>
    <x v="0"/>
    <n v="3.1742103549332459"/>
    <x v="1496"/>
    <x v="0"/>
    <x v="3"/>
    <x v="1"/>
    <n v="0"/>
  </r>
  <r>
    <d v="2024-02-03T00:00:00"/>
    <x v="4"/>
    <x v="0"/>
    <x v="0"/>
    <n v="34.57"/>
    <n v="40.090000000000003"/>
    <n v="3"/>
    <n v="48675.899999999936"/>
    <x v="0"/>
    <n v="-0.13769019705662267"/>
    <x v="1556"/>
    <x v="1"/>
    <x v="0"/>
    <x v="0"/>
    <n v="11.523333333333333"/>
  </r>
  <r>
    <d v="2024-03-22T00:00:00"/>
    <x v="0"/>
    <x v="1"/>
    <x v="1"/>
    <n v="68.069999999999993"/>
    <n v="14.65"/>
    <n v="2"/>
    <n v="54735.250000000029"/>
    <x v="0"/>
    <n v="3.6464163822525593"/>
    <x v="1557"/>
    <x v="0"/>
    <x v="3"/>
    <x v="1"/>
    <n v="34.034999999999997"/>
  </r>
  <r>
    <d v="2024-01-17T00:00:00"/>
    <x v="0"/>
    <x v="1"/>
    <x v="1"/>
    <n v="109.88"/>
    <n v="18.04"/>
    <n v="0"/>
    <n v="61207.979999999989"/>
    <x v="1"/>
    <n v="5.0909090909090917"/>
    <x v="397"/>
    <x v="0"/>
    <x v="2"/>
    <x v="0"/>
    <n v="0"/>
  </r>
  <r>
    <d v="2024-01-30T00:00:00"/>
    <x v="3"/>
    <x v="2"/>
    <x v="1"/>
    <n v="121.44"/>
    <n v="39.020000000000003"/>
    <n v="2"/>
    <n v="61207.979999999989"/>
    <x v="1"/>
    <n v="2.112250128139415"/>
    <x v="1558"/>
    <x v="0"/>
    <x v="2"/>
    <x v="0"/>
    <n v="60.72"/>
  </r>
  <r>
    <d v="2024-02-28T00:00:00"/>
    <x v="2"/>
    <x v="2"/>
    <x v="1"/>
    <n v="125.67"/>
    <n v="17.05"/>
    <n v="1"/>
    <n v="48675.899999999936"/>
    <x v="0"/>
    <n v="6.3706744868035194"/>
    <x v="1559"/>
    <x v="0"/>
    <x v="0"/>
    <x v="0"/>
    <n v="125.67"/>
  </r>
  <r>
    <d v="2024-01-12T00:00:00"/>
    <x v="3"/>
    <x v="0"/>
    <x v="0"/>
    <n v="112.27"/>
    <n v="2.69"/>
    <n v="0"/>
    <n v="61207.979999999989"/>
    <x v="1"/>
    <n v="40.736059479553901"/>
    <x v="1560"/>
    <x v="0"/>
    <x v="2"/>
    <x v="0"/>
    <n v="0"/>
  </r>
  <r>
    <d v="2024-04-23T00:00:00"/>
    <x v="0"/>
    <x v="2"/>
    <x v="0"/>
    <n v="34.340000000000003"/>
    <n v="42.79"/>
    <n v="3"/>
    <n v="58562.910000000018"/>
    <x v="1"/>
    <n v="-0.19747604580509456"/>
    <x v="1561"/>
    <x v="1"/>
    <x v="1"/>
    <x v="1"/>
    <n v="11.446666666666667"/>
  </r>
  <r>
    <d v="2024-02-09T00:00:00"/>
    <x v="0"/>
    <x v="0"/>
    <x v="0"/>
    <n v="189.4"/>
    <n v="43.68"/>
    <n v="3"/>
    <n v="48675.899999999936"/>
    <x v="0"/>
    <n v="3.3360805860805862"/>
    <x v="1562"/>
    <x v="0"/>
    <x v="0"/>
    <x v="0"/>
    <n v="63.133333333333333"/>
  </r>
  <r>
    <d v="2024-01-20T00:00:00"/>
    <x v="4"/>
    <x v="0"/>
    <x v="1"/>
    <n v="189.16"/>
    <n v="23.07"/>
    <n v="3"/>
    <n v="61207.979999999989"/>
    <x v="1"/>
    <n v="7.1993931512787173"/>
    <x v="1563"/>
    <x v="1"/>
    <x v="2"/>
    <x v="0"/>
    <n v="63.053333333333335"/>
  </r>
  <r>
    <d v="2024-02-02T00:00:00"/>
    <x v="0"/>
    <x v="0"/>
    <x v="1"/>
    <n v="28.38"/>
    <n v="44.2"/>
    <n v="0"/>
    <n v="48675.899999999936"/>
    <x v="0"/>
    <n v="-0.35791855203619916"/>
    <x v="1564"/>
    <x v="1"/>
    <x v="0"/>
    <x v="0"/>
    <n v="0"/>
  </r>
  <r>
    <d v="2024-04-19T00:00:00"/>
    <x v="4"/>
    <x v="1"/>
    <x v="1"/>
    <n v="155.59"/>
    <n v="19.079999999999998"/>
    <n v="3"/>
    <n v="58562.910000000018"/>
    <x v="1"/>
    <n v="7.1546121593291403"/>
    <x v="1565"/>
    <x v="1"/>
    <x v="1"/>
    <x v="1"/>
    <n v="51.863333333333337"/>
  </r>
  <r>
    <d v="2024-04-09T00:00:00"/>
    <x v="2"/>
    <x v="2"/>
    <x v="1"/>
    <n v="117.56"/>
    <n v="3.79"/>
    <n v="3"/>
    <n v="58562.910000000018"/>
    <x v="1"/>
    <n v="30.018469656992082"/>
    <x v="1566"/>
    <x v="0"/>
    <x v="1"/>
    <x v="1"/>
    <n v="39.186666666666667"/>
  </r>
  <r>
    <d v="2024-01-09T00:00:00"/>
    <x v="0"/>
    <x v="0"/>
    <x v="1"/>
    <n v="136.01"/>
    <n v="20.55"/>
    <n v="2"/>
    <n v="61207.979999999989"/>
    <x v="1"/>
    <n v="5.6184914841849141"/>
    <x v="1567"/>
    <x v="1"/>
    <x v="2"/>
    <x v="0"/>
    <n v="68.004999999999995"/>
  </r>
  <r>
    <d v="2024-04-30T00:00:00"/>
    <x v="3"/>
    <x v="0"/>
    <x v="1"/>
    <n v="148.41"/>
    <n v="27.99"/>
    <n v="0"/>
    <n v="58562.910000000018"/>
    <x v="1"/>
    <n v="4.302250803858521"/>
    <x v="1568"/>
    <x v="0"/>
    <x v="1"/>
    <x v="1"/>
    <n v="0"/>
  </r>
  <r>
    <d v="2024-03-08T00:00:00"/>
    <x v="0"/>
    <x v="0"/>
    <x v="0"/>
    <n v="127.25"/>
    <n v="28.84"/>
    <n v="0"/>
    <n v="54735.250000000029"/>
    <x v="0"/>
    <n v="3.4122746185852981"/>
    <x v="1569"/>
    <x v="0"/>
    <x v="3"/>
    <x v="1"/>
    <n v="0"/>
  </r>
  <r>
    <d v="2024-02-14T00:00:00"/>
    <x v="0"/>
    <x v="1"/>
    <x v="0"/>
    <n v="90.56"/>
    <n v="2.19"/>
    <n v="3"/>
    <n v="48675.899999999936"/>
    <x v="0"/>
    <n v="40.351598173515988"/>
    <x v="1570"/>
    <x v="0"/>
    <x v="0"/>
    <x v="0"/>
    <n v="30.186666666666667"/>
  </r>
  <r>
    <d v="2024-01-25T00:00:00"/>
    <x v="0"/>
    <x v="2"/>
    <x v="0"/>
    <n v="194.71"/>
    <n v="36.04"/>
    <n v="3"/>
    <n v="61207.979999999989"/>
    <x v="1"/>
    <n v="4.4026082130965598"/>
    <x v="1571"/>
    <x v="1"/>
    <x v="2"/>
    <x v="0"/>
    <n v="64.903333333333336"/>
  </r>
  <r>
    <d v="2024-04-25T00:00:00"/>
    <x v="3"/>
    <x v="1"/>
    <x v="1"/>
    <n v="163.97"/>
    <n v="36.549999999999997"/>
    <n v="2"/>
    <n v="58562.910000000018"/>
    <x v="1"/>
    <n v="3.4861833105335163"/>
    <x v="1572"/>
    <x v="1"/>
    <x v="1"/>
    <x v="1"/>
    <n v="81.984999999999999"/>
  </r>
  <r>
    <d v="2024-03-28T00:00:00"/>
    <x v="0"/>
    <x v="1"/>
    <x v="1"/>
    <n v="41"/>
    <n v="9.3800000000000008"/>
    <n v="1"/>
    <n v="54735.250000000029"/>
    <x v="0"/>
    <n v="3.3710021321961614"/>
    <x v="1573"/>
    <x v="0"/>
    <x v="3"/>
    <x v="1"/>
    <n v="41"/>
  </r>
  <r>
    <d v="2024-03-25T00:00:00"/>
    <x v="3"/>
    <x v="2"/>
    <x v="1"/>
    <n v="39.61"/>
    <n v="30.69"/>
    <n v="3"/>
    <n v="54735.250000000029"/>
    <x v="0"/>
    <n v="0.29064841968067767"/>
    <x v="1574"/>
    <x v="1"/>
    <x v="3"/>
    <x v="1"/>
    <n v="13.203333333333333"/>
  </r>
  <r>
    <d v="2024-04-22T00:00:00"/>
    <x v="4"/>
    <x v="2"/>
    <x v="0"/>
    <n v="124.46"/>
    <n v="15.08"/>
    <n v="3"/>
    <n v="58562.910000000018"/>
    <x v="1"/>
    <n v="7.2533156498673739"/>
    <x v="1575"/>
    <x v="0"/>
    <x v="1"/>
    <x v="1"/>
    <n v="41.486666666666665"/>
  </r>
  <r>
    <d v="2024-03-23T00:00:00"/>
    <x v="2"/>
    <x v="1"/>
    <x v="1"/>
    <n v="88.98"/>
    <n v="8.7799999999999994"/>
    <n v="0"/>
    <n v="54735.250000000029"/>
    <x v="0"/>
    <n v="9.1343963553530756"/>
    <x v="1576"/>
    <x v="1"/>
    <x v="3"/>
    <x v="1"/>
    <n v="0"/>
  </r>
  <r>
    <d v="2024-02-20T00:00:00"/>
    <x v="3"/>
    <x v="0"/>
    <x v="1"/>
    <n v="156.68"/>
    <n v="31.41"/>
    <n v="1"/>
    <n v="48675.899999999936"/>
    <x v="0"/>
    <n v="3.9882203120025475"/>
    <x v="1577"/>
    <x v="0"/>
    <x v="0"/>
    <x v="0"/>
    <n v="156.68"/>
  </r>
  <r>
    <d v="2024-03-10T00:00:00"/>
    <x v="1"/>
    <x v="0"/>
    <x v="1"/>
    <n v="120.14"/>
    <n v="42.29"/>
    <n v="2"/>
    <n v="54735.250000000029"/>
    <x v="0"/>
    <n v="1.8408607235753132"/>
    <x v="1578"/>
    <x v="1"/>
    <x v="3"/>
    <x v="1"/>
    <n v="60.07"/>
  </r>
  <r>
    <d v="2024-04-15T00:00:00"/>
    <x v="4"/>
    <x v="1"/>
    <x v="0"/>
    <n v="176.82"/>
    <n v="10.46"/>
    <n v="3"/>
    <n v="58562.910000000018"/>
    <x v="1"/>
    <n v="15.90439770554493"/>
    <x v="1579"/>
    <x v="0"/>
    <x v="1"/>
    <x v="1"/>
    <n v="58.94"/>
  </r>
  <r>
    <d v="2024-03-14T00:00:00"/>
    <x v="1"/>
    <x v="2"/>
    <x v="1"/>
    <n v="160.02000000000001"/>
    <n v="21.32"/>
    <n v="1"/>
    <n v="54735.250000000029"/>
    <x v="0"/>
    <n v="6.5056285178236406"/>
    <x v="1580"/>
    <x v="1"/>
    <x v="3"/>
    <x v="1"/>
    <n v="160.02000000000001"/>
  </r>
  <r>
    <d v="2024-02-06T00:00:00"/>
    <x v="0"/>
    <x v="2"/>
    <x v="0"/>
    <n v="156.59"/>
    <n v="39.92"/>
    <n v="3"/>
    <n v="48675.899999999936"/>
    <x v="0"/>
    <n v="2.9225951903807617"/>
    <x v="1581"/>
    <x v="1"/>
    <x v="0"/>
    <x v="0"/>
    <n v="52.196666666666665"/>
  </r>
  <r>
    <d v="2024-03-10T00:00:00"/>
    <x v="0"/>
    <x v="1"/>
    <x v="0"/>
    <n v="116.48"/>
    <n v="19.79"/>
    <n v="0"/>
    <n v="54735.250000000029"/>
    <x v="0"/>
    <n v="4.8858009095502783"/>
    <x v="1582"/>
    <x v="0"/>
    <x v="3"/>
    <x v="1"/>
    <n v="0"/>
  </r>
  <r>
    <d v="2024-01-02T00:00:00"/>
    <x v="4"/>
    <x v="2"/>
    <x v="0"/>
    <n v="97.02"/>
    <n v="0.26"/>
    <n v="0"/>
    <n v="61207.979999999989"/>
    <x v="1"/>
    <n v="372.15384615384613"/>
    <x v="1583"/>
    <x v="1"/>
    <x v="2"/>
    <x v="0"/>
    <n v="0"/>
  </r>
  <r>
    <d v="2024-03-09T00:00:00"/>
    <x v="0"/>
    <x v="1"/>
    <x v="1"/>
    <n v="130.05000000000001"/>
    <n v="22.29"/>
    <n v="0"/>
    <n v="54735.250000000029"/>
    <x v="0"/>
    <n v="4.8344549125168248"/>
    <x v="1584"/>
    <x v="1"/>
    <x v="3"/>
    <x v="1"/>
    <n v="0"/>
  </r>
  <r>
    <d v="2024-01-01T00:00:00"/>
    <x v="3"/>
    <x v="1"/>
    <x v="0"/>
    <n v="136.61000000000001"/>
    <n v="36.72"/>
    <n v="1"/>
    <n v="61207.979999999989"/>
    <x v="1"/>
    <n v="2.7203159041394342"/>
    <x v="1585"/>
    <x v="1"/>
    <x v="2"/>
    <x v="0"/>
    <n v="136.61000000000001"/>
  </r>
  <r>
    <d v="2024-01-22T00:00:00"/>
    <x v="4"/>
    <x v="0"/>
    <x v="0"/>
    <n v="107.61"/>
    <n v="35.869999999999997"/>
    <n v="2"/>
    <n v="61207.979999999989"/>
    <x v="1"/>
    <n v="2.0000000000000004"/>
    <x v="1586"/>
    <x v="0"/>
    <x v="2"/>
    <x v="0"/>
    <n v="53.805"/>
  </r>
  <r>
    <d v="2024-03-27T00:00:00"/>
    <x v="2"/>
    <x v="1"/>
    <x v="0"/>
    <n v="149.78"/>
    <n v="21.51"/>
    <n v="3"/>
    <n v="54735.250000000029"/>
    <x v="0"/>
    <n v="5.9632728963272896"/>
    <x v="1587"/>
    <x v="0"/>
    <x v="3"/>
    <x v="1"/>
    <n v="49.926666666666669"/>
  </r>
  <r>
    <d v="2024-02-10T00:00:00"/>
    <x v="3"/>
    <x v="1"/>
    <x v="0"/>
    <n v="157.24"/>
    <n v="12.61"/>
    <n v="0"/>
    <n v="48675.899999999936"/>
    <x v="0"/>
    <n v="11.469468675654243"/>
    <x v="1588"/>
    <x v="0"/>
    <x v="0"/>
    <x v="0"/>
    <n v="0"/>
  </r>
  <r>
    <d v="2024-04-15T00:00:00"/>
    <x v="4"/>
    <x v="2"/>
    <x v="0"/>
    <n v="153.85"/>
    <n v="44.54"/>
    <n v="1"/>
    <n v="58562.910000000018"/>
    <x v="1"/>
    <n v="2.4541984732824429"/>
    <x v="1589"/>
    <x v="1"/>
    <x v="1"/>
    <x v="1"/>
    <n v="153.85"/>
  </r>
  <r>
    <d v="2024-03-04T00:00:00"/>
    <x v="2"/>
    <x v="2"/>
    <x v="1"/>
    <n v="196.43"/>
    <n v="9.7100000000000009"/>
    <n v="3"/>
    <n v="54735.250000000029"/>
    <x v="0"/>
    <n v="19.229660144181256"/>
    <x v="1590"/>
    <x v="1"/>
    <x v="3"/>
    <x v="1"/>
    <n v="65.476666666666674"/>
  </r>
  <r>
    <d v="2024-01-16T00:00:00"/>
    <x v="4"/>
    <x v="2"/>
    <x v="1"/>
    <n v="135.09"/>
    <n v="28.77"/>
    <n v="1"/>
    <n v="61207.979999999989"/>
    <x v="1"/>
    <n v="3.6955161626694477"/>
    <x v="1591"/>
    <x v="0"/>
    <x v="2"/>
    <x v="0"/>
    <n v="135.09"/>
  </r>
  <r>
    <d v="2024-02-26T00:00:00"/>
    <x v="2"/>
    <x v="1"/>
    <x v="0"/>
    <n v="84.15"/>
    <n v="40.93"/>
    <n v="0"/>
    <n v="48675.899999999936"/>
    <x v="0"/>
    <n v="1.0559491815294406"/>
    <x v="1592"/>
    <x v="1"/>
    <x v="0"/>
    <x v="0"/>
    <n v="0"/>
  </r>
  <r>
    <d v="2024-01-29T00:00:00"/>
    <x v="2"/>
    <x v="2"/>
    <x v="1"/>
    <n v="32.64"/>
    <n v="36.83"/>
    <n v="1"/>
    <n v="61207.979999999989"/>
    <x v="1"/>
    <n v="-0.11376595166983432"/>
    <x v="1593"/>
    <x v="1"/>
    <x v="2"/>
    <x v="0"/>
    <n v="32.64"/>
  </r>
  <r>
    <d v="2024-02-27T00:00:00"/>
    <x v="3"/>
    <x v="1"/>
    <x v="0"/>
    <n v="159.44999999999999"/>
    <n v="49.5"/>
    <n v="1"/>
    <n v="48675.899999999936"/>
    <x v="0"/>
    <n v="2.2212121212121212"/>
    <x v="1594"/>
    <x v="1"/>
    <x v="0"/>
    <x v="0"/>
    <n v="159.44999999999999"/>
  </r>
  <r>
    <d v="2024-04-27T00:00:00"/>
    <x v="4"/>
    <x v="0"/>
    <x v="0"/>
    <n v="138.13999999999999"/>
    <n v="19.05"/>
    <n v="1"/>
    <n v="58562.910000000018"/>
    <x v="1"/>
    <n v="6.2514435695538051"/>
    <x v="1595"/>
    <x v="0"/>
    <x v="1"/>
    <x v="1"/>
    <n v="138.13999999999999"/>
  </r>
  <r>
    <d v="2024-04-16T00:00:00"/>
    <x v="3"/>
    <x v="1"/>
    <x v="0"/>
    <n v="140.47"/>
    <n v="29.79"/>
    <n v="3"/>
    <n v="58562.910000000018"/>
    <x v="1"/>
    <n v="3.7153407183618667"/>
    <x v="1596"/>
    <x v="0"/>
    <x v="1"/>
    <x v="1"/>
    <n v="46.823333333333331"/>
  </r>
  <r>
    <d v="2024-04-10T00:00:00"/>
    <x v="0"/>
    <x v="0"/>
    <x v="0"/>
    <n v="154.27000000000001"/>
    <n v="6.41"/>
    <n v="1"/>
    <n v="58562.910000000018"/>
    <x v="1"/>
    <n v="23.067082683307333"/>
    <x v="1597"/>
    <x v="1"/>
    <x v="1"/>
    <x v="1"/>
    <n v="154.27000000000001"/>
  </r>
  <r>
    <d v="2024-02-04T00:00:00"/>
    <x v="4"/>
    <x v="0"/>
    <x v="1"/>
    <n v="179.28"/>
    <n v="3.25"/>
    <n v="1"/>
    <n v="48675.899999999936"/>
    <x v="0"/>
    <n v="54.163076923076922"/>
    <x v="1598"/>
    <x v="0"/>
    <x v="0"/>
    <x v="0"/>
    <n v="179.28"/>
  </r>
  <r>
    <d v="2024-04-25T00:00:00"/>
    <x v="1"/>
    <x v="0"/>
    <x v="0"/>
    <n v="147.57"/>
    <n v="32.270000000000003"/>
    <n v="2"/>
    <n v="58562.910000000018"/>
    <x v="1"/>
    <n v="3.5729779981406873"/>
    <x v="1599"/>
    <x v="0"/>
    <x v="1"/>
    <x v="1"/>
    <n v="73.784999999999997"/>
  </r>
  <r>
    <d v="2024-04-26T00:00:00"/>
    <x v="2"/>
    <x v="0"/>
    <x v="0"/>
    <n v="106.7"/>
    <n v="23.71"/>
    <n v="1"/>
    <n v="58562.910000000018"/>
    <x v="1"/>
    <n v="3.5002108814846058"/>
    <x v="1600"/>
    <x v="0"/>
    <x v="1"/>
    <x v="1"/>
    <n v="106.7"/>
  </r>
  <r>
    <d v="2024-03-29T00:00:00"/>
    <x v="3"/>
    <x v="1"/>
    <x v="0"/>
    <n v="70.28"/>
    <n v="26.26"/>
    <n v="0"/>
    <n v="54735.250000000029"/>
    <x v="0"/>
    <n v="1.6763137852246761"/>
    <x v="1601"/>
    <x v="1"/>
    <x v="3"/>
    <x v="1"/>
    <n v="0"/>
  </r>
  <r>
    <d v="2024-02-22T00:00:00"/>
    <x v="2"/>
    <x v="1"/>
    <x v="1"/>
    <n v="32.81"/>
    <n v="49.85"/>
    <n v="1"/>
    <n v="48675.899999999936"/>
    <x v="0"/>
    <n v="-0.34182547642928784"/>
    <x v="1602"/>
    <x v="0"/>
    <x v="0"/>
    <x v="0"/>
    <n v="32.81"/>
  </r>
  <r>
    <d v="2024-02-08T00:00:00"/>
    <x v="2"/>
    <x v="0"/>
    <x v="1"/>
    <n v="61.11"/>
    <n v="36.25"/>
    <n v="0"/>
    <n v="48675.899999999936"/>
    <x v="0"/>
    <n v="0.68579310344827582"/>
    <x v="1603"/>
    <x v="1"/>
    <x v="0"/>
    <x v="0"/>
    <n v="0"/>
  </r>
  <r>
    <d v="2024-04-25T00:00:00"/>
    <x v="2"/>
    <x v="0"/>
    <x v="0"/>
    <n v="120.89"/>
    <n v="47.08"/>
    <n v="0"/>
    <n v="58562.910000000018"/>
    <x v="1"/>
    <n v="1.5677570093457944"/>
    <x v="1604"/>
    <x v="0"/>
    <x v="1"/>
    <x v="1"/>
    <n v="0"/>
  </r>
  <r>
    <d v="2024-04-17T00:00:00"/>
    <x v="1"/>
    <x v="2"/>
    <x v="1"/>
    <n v="56.39"/>
    <n v="12.37"/>
    <n v="3"/>
    <n v="58562.910000000018"/>
    <x v="1"/>
    <n v="3.5586095392077612"/>
    <x v="1605"/>
    <x v="1"/>
    <x v="1"/>
    <x v="1"/>
    <n v="18.796666666666667"/>
  </r>
  <r>
    <d v="2024-02-17T00:00:00"/>
    <x v="4"/>
    <x v="1"/>
    <x v="1"/>
    <n v="114.69"/>
    <n v="31.06"/>
    <n v="0"/>
    <n v="48675.899999999936"/>
    <x v="0"/>
    <n v="2.6925305859626527"/>
    <x v="1606"/>
    <x v="0"/>
    <x v="0"/>
    <x v="0"/>
    <n v="0"/>
  </r>
  <r>
    <d v="2024-03-01T00:00:00"/>
    <x v="3"/>
    <x v="2"/>
    <x v="0"/>
    <n v="53.75"/>
    <n v="21.2"/>
    <n v="1"/>
    <n v="54735.250000000029"/>
    <x v="0"/>
    <n v="1.5353773584905659"/>
    <x v="1607"/>
    <x v="0"/>
    <x v="3"/>
    <x v="1"/>
    <n v="53.75"/>
  </r>
  <r>
    <d v="2024-03-22T00:00:00"/>
    <x v="3"/>
    <x v="1"/>
    <x v="1"/>
    <n v="42.01"/>
    <n v="17.3"/>
    <n v="3"/>
    <n v="54735.250000000029"/>
    <x v="0"/>
    <n v="1.428323699421965"/>
    <x v="1608"/>
    <x v="1"/>
    <x v="3"/>
    <x v="1"/>
    <n v="14.003333333333332"/>
  </r>
  <r>
    <d v="2024-01-11T00:00:00"/>
    <x v="0"/>
    <x v="1"/>
    <x v="1"/>
    <n v="154.07"/>
    <n v="14.91"/>
    <n v="2"/>
    <n v="61207.979999999989"/>
    <x v="1"/>
    <n v="9.3333333333333321"/>
    <x v="1609"/>
    <x v="0"/>
    <x v="2"/>
    <x v="0"/>
    <n v="77.034999999999997"/>
  </r>
  <r>
    <d v="2024-01-23T00:00:00"/>
    <x v="4"/>
    <x v="1"/>
    <x v="1"/>
    <n v="167.55"/>
    <n v="7.72"/>
    <n v="1"/>
    <n v="61207.979999999989"/>
    <x v="1"/>
    <n v="20.703367875647672"/>
    <x v="1610"/>
    <x v="0"/>
    <x v="2"/>
    <x v="0"/>
    <n v="167.55"/>
  </r>
  <r>
    <d v="2024-02-18T00:00:00"/>
    <x v="2"/>
    <x v="2"/>
    <x v="1"/>
    <n v="77.28"/>
    <n v="24.38"/>
    <n v="3"/>
    <n v="48675.899999999936"/>
    <x v="0"/>
    <n v="2.1698113207547172"/>
    <x v="1611"/>
    <x v="0"/>
    <x v="0"/>
    <x v="0"/>
    <n v="25.76"/>
  </r>
  <r>
    <d v="2024-02-02T00:00:00"/>
    <x v="4"/>
    <x v="2"/>
    <x v="0"/>
    <n v="147.30000000000001"/>
    <n v="31.59"/>
    <n v="0"/>
    <n v="48675.899999999936"/>
    <x v="0"/>
    <n v="3.6628679962013297"/>
    <x v="1553"/>
    <x v="1"/>
    <x v="0"/>
    <x v="0"/>
    <n v="0"/>
  </r>
  <r>
    <d v="2024-04-26T00:00:00"/>
    <x v="1"/>
    <x v="2"/>
    <x v="1"/>
    <n v="42.08"/>
    <n v="5.26"/>
    <n v="1"/>
    <n v="58562.910000000018"/>
    <x v="1"/>
    <n v="7"/>
    <x v="1612"/>
    <x v="1"/>
    <x v="1"/>
    <x v="1"/>
    <n v="42.08"/>
  </r>
  <r>
    <d v="2024-02-21T00:00:00"/>
    <x v="4"/>
    <x v="1"/>
    <x v="1"/>
    <n v="115.68"/>
    <n v="4.67"/>
    <n v="3"/>
    <n v="48675.899999999936"/>
    <x v="0"/>
    <n v="23.770877944325484"/>
    <x v="1613"/>
    <x v="0"/>
    <x v="0"/>
    <x v="0"/>
    <n v="38.56"/>
  </r>
  <r>
    <d v="2024-02-14T00:00:00"/>
    <x v="2"/>
    <x v="2"/>
    <x v="1"/>
    <n v="63.07"/>
    <n v="21.54"/>
    <n v="0"/>
    <n v="48675.899999999936"/>
    <x v="0"/>
    <n v="1.9280408542246983"/>
    <x v="1614"/>
    <x v="1"/>
    <x v="0"/>
    <x v="0"/>
    <n v="0"/>
  </r>
  <r>
    <d v="2024-01-17T00:00:00"/>
    <x v="3"/>
    <x v="2"/>
    <x v="0"/>
    <n v="93.85"/>
    <n v="48.35"/>
    <n v="2"/>
    <n v="61207.979999999989"/>
    <x v="1"/>
    <n v="0.94105480868665958"/>
    <x v="1615"/>
    <x v="0"/>
    <x v="2"/>
    <x v="0"/>
    <n v="46.924999999999997"/>
  </r>
  <r>
    <d v="2024-04-30T00:00:00"/>
    <x v="4"/>
    <x v="0"/>
    <x v="0"/>
    <n v="67.94"/>
    <n v="4.5199999999999996"/>
    <n v="3"/>
    <n v="58562.910000000018"/>
    <x v="1"/>
    <n v="14.030973451327435"/>
    <x v="1616"/>
    <x v="1"/>
    <x v="1"/>
    <x v="1"/>
    <n v="22.646666666666665"/>
  </r>
  <r>
    <d v="2024-02-22T00:00:00"/>
    <x v="1"/>
    <x v="2"/>
    <x v="0"/>
    <n v="155.91999999999999"/>
    <n v="47.48"/>
    <n v="3"/>
    <n v="48675.899999999936"/>
    <x v="0"/>
    <n v="2.2839090143218197"/>
    <x v="1617"/>
    <x v="1"/>
    <x v="0"/>
    <x v="0"/>
    <n v="51.973333333333329"/>
  </r>
  <r>
    <d v="2024-01-03T00:00:00"/>
    <x v="3"/>
    <x v="0"/>
    <x v="1"/>
    <n v="92.88"/>
    <n v="1.66"/>
    <n v="0"/>
    <n v="61207.979999999989"/>
    <x v="1"/>
    <n v="54.951807228915662"/>
    <x v="1618"/>
    <x v="1"/>
    <x v="2"/>
    <x v="0"/>
    <n v="0"/>
  </r>
  <r>
    <d v="2024-02-07T00:00:00"/>
    <x v="3"/>
    <x v="2"/>
    <x v="0"/>
    <n v="199.38"/>
    <n v="35.39"/>
    <n v="0"/>
    <n v="48675.899999999936"/>
    <x v="0"/>
    <n v="4.6337948573043235"/>
    <x v="1619"/>
    <x v="0"/>
    <x v="0"/>
    <x v="0"/>
    <n v="0"/>
  </r>
  <r>
    <d v="2024-03-28T00:00:00"/>
    <x v="2"/>
    <x v="2"/>
    <x v="1"/>
    <n v="175.84"/>
    <n v="30.1"/>
    <n v="2"/>
    <n v="54735.250000000029"/>
    <x v="0"/>
    <n v="4.8418604651162793"/>
    <x v="1620"/>
    <x v="0"/>
    <x v="3"/>
    <x v="1"/>
    <n v="87.92"/>
  </r>
  <r>
    <d v="2024-03-23T00:00:00"/>
    <x v="4"/>
    <x v="2"/>
    <x v="0"/>
    <n v="59.78"/>
    <n v="20.84"/>
    <n v="3"/>
    <n v="54735.250000000029"/>
    <x v="0"/>
    <n v="1.8685220729366603"/>
    <x v="1621"/>
    <x v="0"/>
    <x v="3"/>
    <x v="1"/>
    <n v="19.926666666666666"/>
  </r>
  <r>
    <d v="2024-02-22T00:00:00"/>
    <x v="4"/>
    <x v="0"/>
    <x v="1"/>
    <n v="183.42"/>
    <n v="13.87"/>
    <n v="1"/>
    <n v="48675.899999999936"/>
    <x v="0"/>
    <n v="12.22422494592646"/>
    <x v="1622"/>
    <x v="1"/>
    <x v="0"/>
    <x v="0"/>
    <n v="183.42"/>
  </r>
  <r>
    <d v="2024-03-07T00:00:00"/>
    <x v="1"/>
    <x v="0"/>
    <x v="0"/>
    <n v="180.23"/>
    <n v="9.44"/>
    <n v="0"/>
    <n v="54735.250000000029"/>
    <x v="0"/>
    <n v="18.092161016949152"/>
    <x v="1623"/>
    <x v="1"/>
    <x v="3"/>
    <x v="1"/>
    <n v="0"/>
  </r>
  <r>
    <d v="2024-03-02T00:00:00"/>
    <x v="4"/>
    <x v="2"/>
    <x v="0"/>
    <n v="65.47"/>
    <n v="32.1"/>
    <n v="3"/>
    <n v="54735.250000000029"/>
    <x v="0"/>
    <n v="1.0395638629283488"/>
    <x v="1624"/>
    <x v="1"/>
    <x v="3"/>
    <x v="1"/>
    <n v="21.823333333333334"/>
  </r>
  <r>
    <d v="2024-02-21T00:00:00"/>
    <x v="0"/>
    <x v="0"/>
    <x v="1"/>
    <n v="189.81"/>
    <n v="45.35"/>
    <n v="1"/>
    <n v="48675.899999999936"/>
    <x v="0"/>
    <n v="3.1854465270121279"/>
    <x v="73"/>
    <x v="1"/>
    <x v="0"/>
    <x v="0"/>
    <n v="189.81"/>
  </r>
  <r>
    <d v="2024-02-25T00:00:00"/>
    <x v="3"/>
    <x v="1"/>
    <x v="1"/>
    <n v="26.14"/>
    <n v="33.659999999999997"/>
    <n v="3"/>
    <n v="48675.899999999936"/>
    <x v="0"/>
    <n v="-0.22341057635175274"/>
    <x v="1625"/>
    <x v="0"/>
    <x v="0"/>
    <x v="0"/>
    <n v="8.7133333333333329"/>
  </r>
  <r>
    <d v="2024-02-02T00:00:00"/>
    <x v="4"/>
    <x v="1"/>
    <x v="0"/>
    <n v="62.63"/>
    <n v="29.1"/>
    <n v="3"/>
    <n v="48675.899999999936"/>
    <x v="0"/>
    <n v="1.1522336769759449"/>
    <x v="1626"/>
    <x v="0"/>
    <x v="0"/>
    <x v="0"/>
    <n v="20.876666666666669"/>
  </r>
  <r>
    <d v="2024-03-22T00:00:00"/>
    <x v="4"/>
    <x v="2"/>
    <x v="1"/>
    <n v="29.64"/>
    <n v="1.1599999999999999"/>
    <n v="0"/>
    <n v="54735.250000000029"/>
    <x v="0"/>
    <n v="24.551724137931036"/>
    <x v="1627"/>
    <x v="0"/>
    <x v="3"/>
    <x v="1"/>
    <n v="0"/>
  </r>
  <r>
    <d v="2024-04-30T00:00:00"/>
    <x v="3"/>
    <x v="2"/>
    <x v="0"/>
    <n v="174.42"/>
    <n v="27.95"/>
    <n v="1"/>
    <n v="58562.910000000018"/>
    <x v="1"/>
    <n v="5.2404293381037572"/>
    <x v="1628"/>
    <x v="1"/>
    <x v="1"/>
    <x v="1"/>
    <n v="174.42"/>
  </r>
  <r>
    <d v="2024-01-06T00:00:00"/>
    <x v="1"/>
    <x v="0"/>
    <x v="0"/>
    <n v="135.24"/>
    <n v="14.69"/>
    <n v="3"/>
    <n v="61207.979999999989"/>
    <x v="1"/>
    <n v="8.2062627637848884"/>
    <x v="1629"/>
    <x v="1"/>
    <x v="2"/>
    <x v="0"/>
    <n v="45.080000000000005"/>
  </r>
  <r>
    <d v="2024-03-19T00:00:00"/>
    <x v="4"/>
    <x v="0"/>
    <x v="0"/>
    <n v="148.52000000000001"/>
    <n v="41.12"/>
    <n v="0"/>
    <n v="54735.250000000029"/>
    <x v="0"/>
    <n v="2.6118677042801561"/>
    <x v="1630"/>
    <x v="0"/>
    <x v="3"/>
    <x v="1"/>
    <n v="0"/>
  </r>
  <r>
    <d v="2024-02-18T00:00:00"/>
    <x v="1"/>
    <x v="2"/>
    <x v="0"/>
    <n v="194.13"/>
    <n v="43.93"/>
    <n v="1"/>
    <n v="48675.899999999936"/>
    <x v="0"/>
    <n v="3.4190758024129293"/>
    <x v="1631"/>
    <x v="1"/>
    <x v="0"/>
    <x v="0"/>
    <n v="194.13"/>
  </r>
  <r>
    <d v="2024-02-20T00:00:00"/>
    <x v="1"/>
    <x v="2"/>
    <x v="1"/>
    <n v="99.23"/>
    <n v="12.82"/>
    <n v="0"/>
    <n v="48675.899999999936"/>
    <x v="0"/>
    <n v="6.7402496099843994"/>
    <x v="884"/>
    <x v="1"/>
    <x v="0"/>
    <x v="0"/>
    <n v="0"/>
  </r>
  <r>
    <d v="2024-04-11T00:00:00"/>
    <x v="0"/>
    <x v="1"/>
    <x v="1"/>
    <n v="49.89"/>
    <n v="39.15"/>
    <n v="1"/>
    <n v="58562.910000000018"/>
    <x v="1"/>
    <n v="0.27432950191570887"/>
    <x v="1632"/>
    <x v="0"/>
    <x v="1"/>
    <x v="1"/>
    <n v="49.89"/>
  </r>
  <r>
    <d v="2024-03-19T00:00:00"/>
    <x v="1"/>
    <x v="0"/>
    <x v="1"/>
    <n v="102.09"/>
    <n v="29.36"/>
    <n v="0"/>
    <n v="54735.250000000029"/>
    <x v="0"/>
    <n v="2.4771798365122617"/>
    <x v="1633"/>
    <x v="1"/>
    <x v="3"/>
    <x v="1"/>
    <n v="0"/>
  </r>
  <r>
    <d v="2024-04-18T00:00:00"/>
    <x v="4"/>
    <x v="2"/>
    <x v="1"/>
    <n v="136.16999999999999"/>
    <n v="16.48"/>
    <n v="0"/>
    <n v="58562.910000000018"/>
    <x v="1"/>
    <n v="7.2627427184466011"/>
    <x v="1634"/>
    <x v="1"/>
    <x v="1"/>
    <x v="1"/>
    <n v="0"/>
  </r>
  <r>
    <d v="2024-01-22T00:00:00"/>
    <x v="1"/>
    <x v="2"/>
    <x v="1"/>
    <n v="174.36"/>
    <n v="38.21"/>
    <n v="2"/>
    <n v="61207.979999999989"/>
    <x v="1"/>
    <n v="3.563203349908401"/>
    <x v="1635"/>
    <x v="1"/>
    <x v="2"/>
    <x v="0"/>
    <n v="87.18"/>
  </r>
  <r>
    <d v="2024-02-19T00:00:00"/>
    <x v="2"/>
    <x v="2"/>
    <x v="1"/>
    <n v="185.44"/>
    <n v="4.1399999999999997"/>
    <n v="2"/>
    <n v="48675.899999999936"/>
    <x v="0"/>
    <n v="43.792270531400973"/>
    <x v="1636"/>
    <x v="0"/>
    <x v="0"/>
    <x v="0"/>
    <n v="92.72"/>
  </r>
  <r>
    <d v="2024-02-18T00:00:00"/>
    <x v="4"/>
    <x v="1"/>
    <x v="1"/>
    <n v="146.22999999999999"/>
    <n v="44.29"/>
    <n v="1"/>
    <n v="48675.899999999936"/>
    <x v="0"/>
    <n v="2.3016482275908783"/>
    <x v="767"/>
    <x v="1"/>
    <x v="0"/>
    <x v="0"/>
    <n v="146.22999999999999"/>
  </r>
  <r>
    <d v="2024-01-09T00:00:00"/>
    <x v="2"/>
    <x v="1"/>
    <x v="1"/>
    <n v="94.41"/>
    <n v="49.61"/>
    <n v="2"/>
    <n v="61207.979999999989"/>
    <x v="1"/>
    <n v="0.90304374118121344"/>
    <x v="251"/>
    <x v="0"/>
    <x v="2"/>
    <x v="0"/>
    <n v="47.204999999999998"/>
  </r>
  <r>
    <d v="2024-03-29T00:00:00"/>
    <x v="1"/>
    <x v="2"/>
    <x v="1"/>
    <n v="173.39"/>
    <n v="5.83"/>
    <n v="0"/>
    <n v="54735.250000000029"/>
    <x v="0"/>
    <n v="28.740994854202398"/>
    <x v="1637"/>
    <x v="1"/>
    <x v="3"/>
    <x v="1"/>
    <n v="0"/>
  </r>
  <r>
    <d v="2024-01-30T00:00:00"/>
    <x v="4"/>
    <x v="0"/>
    <x v="1"/>
    <n v="93.13"/>
    <n v="18.32"/>
    <n v="1"/>
    <n v="61207.979999999989"/>
    <x v="1"/>
    <n v="4.0835152838427948"/>
    <x v="1638"/>
    <x v="0"/>
    <x v="2"/>
    <x v="0"/>
    <n v="93.13"/>
  </r>
  <r>
    <d v="2024-03-13T00:00:00"/>
    <x v="1"/>
    <x v="1"/>
    <x v="1"/>
    <n v="191.94"/>
    <n v="22.46"/>
    <n v="1"/>
    <n v="54735.250000000029"/>
    <x v="0"/>
    <n v="7.5458593054318781"/>
    <x v="1639"/>
    <x v="0"/>
    <x v="3"/>
    <x v="1"/>
    <n v="191.94"/>
  </r>
  <r>
    <d v="2024-04-08T00:00:00"/>
    <x v="1"/>
    <x v="1"/>
    <x v="0"/>
    <n v="119.57"/>
    <n v="48.56"/>
    <n v="1"/>
    <n v="58562.910000000018"/>
    <x v="1"/>
    <n v="1.462314662273476"/>
    <x v="1640"/>
    <x v="0"/>
    <x v="1"/>
    <x v="1"/>
    <n v="119.57"/>
  </r>
  <r>
    <d v="2024-01-27T00:00:00"/>
    <x v="2"/>
    <x v="2"/>
    <x v="1"/>
    <n v="164.76"/>
    <n v="47.42"/>
    <n v="0"/>
    <n v="61207.979999999989"/>
    <x v="1"/>
    <n v="2.474483340362716"/>
    <x v="1641"/>
    <x v="1"/>
    <x v="2"/>
    <x v="0"/>
    <n v="0"/>
  </r>
  <r>
    <d v="2024-04-07T00:00:00"/>
    <x v="0"/>
    <x v="2"/>
    <x v="1"/>
    <n v="194.05"/>
    <n v="19.45"/>
    <n v="2"/>
    <n v="58562.910000000018"/>
    <x v="1"/>
    <n v="8.9768637532133688"/>
    <x v="1642"/>
    <x v="1"/>
    <x v="1"/>
    <x v="1"/>
    <n v="97.025000000000006"/>
  </r>
  <r>
    <d v="2024-01-03T00:00:00"/>
    <x v="2"/>
    <x v="0"/>
    <x v="1"/>
    <n v="152.47"/>
    <n v="28.72"/>
    <n v="2"/>
    <n v="61207.979999999989"/>
    <x v="1"/>
    <n v="4.3088440111420612"/>
    <x v="1643"/>
    <x v="1"/>
    <x v="2"/>
    <x v="0"/>
    <n v="76.234999999999999"/>
  </r>
  <r>
    <d v="2024-02-15T00:00:00"/>
    <x v="3"/>
    <x v="0"/>
    <x v="1"/>
    <n v="71.5"/>
    <n v="47.87"/>
    <n v="3"/>
    <n v="48675.899999999936"/>
    <x v="0"/>
    <n v="0.4936285773971173"/>
    <x v="1644"/>
    <x v="1"/>
    <x v="0"/>
    <x v="0"/>
    <n v="23.833333333333332"/>
  </r>
  <r>
    <d v="2024-04-24T00:00:00"/>
    <x v="2"/>
    <x v="1"/>
    <x v="0"/>
    <n v="82.72"/>
    <n v="28.14"/>
    <n v="0"/>
    <n v="58562.910000000018"/>
    <x v="1"/>
    <n v="1.9395877754086708"/>
    <x v="1645"/>
    <x v="1"/>
    <x v="1"/>
    <x v="1"/>
    <n v="0"/>
  </r>
  <r>
    <d v="2024-02-18T00:00:00"/>
    <x v="1"/>
    <x v="0"/>
    <x v="0"/>
    <n v="46.11"/>
    <n v="49.88"/>
    <n v="3"/>
    <n v="48675.899999999936"/>
    <x v="0"/>
    <n v="-7.5581395348837274E-2"/>
    <x v="1646"/>
    <x v="1"/>
    <x v="0"/>
    <x v="0"/>
    <n v="15.37"/>
  </r>
  <r>
    <d v="2024-02-15T00:00:00"/>
    <x v="1"/>
    <x v="1"/>
    <x v="0"/>
    <n v="189.83"/>
    <n v="36.35"/>
    <n v="2"/>
    <n v="48675.899999999936"/>
    <x v="0"/>
    <n v="4.2222833562585977"/>
    <x v="1647"/>
    <x v="0"/>
    <x v="0"/>
    <x v="0"/>
    <n v="94.915000000000006"/>
  </r>
  <r>
    <d v="2024-02-20T00:00:00"/>
    <x v="0"/>
    <x v="2"/>
    <x v="1"/>
    <n v="52.99"/>
    <n v="24.84"/>
    <n v="1"/>
    <n v="48675.899999999936"/>
    <x v="0"/>
    <n v="1.1332528180354269"/>
    <x v="1648"/>
    <x v="0"/>
    <x v="0"/>
    <x v="0"/>
    <n v="52.99"/>
  </r>
  <r>
    <d v="2024-01-13T00:00:00"/>
    <x v="1"/>
    <x v="0"/>
    <x v="1"/>
    <n v="61.76"/>
    <n v="1.42"/>
    <n v="2"/>
    <n v="61207.979999999989"/>
    <x v="1"/>
    <n v="42.492957746478872"/>
    <x v="1649"/>
    <x v="1"/>
    <x v="2"/>
    <x v="0"/>
    <n v="30.88"/>
  </r>
  <r>
    <d v="2024-01-20T00:00:00"/>
    <x v="2"/>
    <x v="1"/>
    <x v="0"/>
    <n v="138.99"/>
    <n v="13.3"/>
    <n v="3"/>
    <n v="61207.979999999989"/>
    <x v="1"/>
    <n v="9.450375939849625"/>
    <x v="1650"/>
    <x v="1"/>
    <x v="2"/>
    <x v="0"/>
    <n v="46.330000000000005"/>
  </r>
  <r>
    <d v="2024-01-23T00:00:00"/>
    <x v="4"/>
    <x v="1"/>
    <x v="1"/>
    <n v="165.28"/>
    <n v="43.39"/>
    <n v="1"/>
    <n v="61207.979999999989"/>
    <x v="1"/>
    <n v="2.8091726204194516"/>
    <x v="1651"/>
    <x v="0"/>
    <x v="2"/>
    <x v="0"/>
    <n v="165.28"/>
  </r>
  <r>
    <d v="2024-03-29T00:00:00"/>
    <x v="1"/>
    <x v="1"/>
    <x v="1"/>
    <n v="186.88"/>
    <n v="18.809999999999999"/>
    <n v="0"/>
    <n v="54735.250000000029"/>
    <x v="0"/>
    <n v="8.9351408825093035"/>
    <x v="1652"/>
    <x v="0"/>
    <x v="3"/>
    <x v="1"/>
    <n v="0"/>
  </r>
  <r>
    <d v="2024-04-01T00:00:00"/>
    <x v="4"/>
    <x v="2"/>
    <x v="0"/>
    <n v="57.25"/>
    <n v="25.63"/>
    <n v="1"/>
    <n v="58562.910000000018"/>
    <x v="1"/>
    <n v="1.2337104955130707"/>
    <x v="1653"/>
    <x v="0"/>
    <x v="1"/>
    <x v="1"/>
    <n v="57.25"/>
  </r>
  <r>
    <d v="2024-02-18T00:00:00"/>
    <x v="1"/>
    <x v="2"/>
    <x v="1"/>
    <n v="140.76"/>
    <n v="33.04"/>
    <n v="1"/>
    <n v="48675.899999999936"/>
    <x v="0"/>
    <n v="3.2602905569007263"/>
    <x v="1654"/>
    <x v="0"/>
    <x v="0"/>
    <x v="0"/>
    <n v="140.76"/>
  </r>
  <r>
    <d v="2024-01-29T00:00:00"/>
    <x v="0"/>
    <x v="0"/>
    <x v="1"/>
    <n v="23.18"/>
    <n v="49.24"/>
    <n v="0"/>
    <n v="61207.979999999989"/>
    <x v="1"/>
    <n v="-0.52924451665312755"/>
    <x v="1655"/>
    <x v="0"/>
    <x v="2"/>
    <x v="0"/>
    <n v="0"/>
  </r>
  <r>
    <d v="2024-01-09T00:00:00"/>
    <x v="3"/>
    <x v="0"/>
    <x v="0"/>
    <n v="198.28"/>
    <n v="29.52"/>
    <n v="1"/>
    <n v="61207.979999999989"/>
    <x v="1"/>
    <n v="5.7168021680216796"/>
    <x v="1656"/>
    <x v="0"/>
    <x v="2"/>
    <x v="0"/>
    <n v="198.28"/>
  </r>
  <r>
    <d v="2024-01-11T00:00:00"/>
    <x v="3"/>
    <x v="1"/>
    <x v="1"/>
    <n v="47.13"/>
    <n v="32.549999999999997"/>
    <n v="2"/>
    <n v="61207.979999999989"/>
    <x v="1"/>
    <n v="0.44792626728110618"/>
    <x v="1657"/>
    <x v="1"/>
    <x v="2"/>
    <x v="0"/>
    <n v="23.565000000000001"/>
  </r>
  <r>
    <d v="2024-02-06T00:00:00"/>
    <x v="2"/>
    <x v="2"/>
    <x v="0"/>
    <n v="164.07"/>
    <n v="17.190000000000001"/>
    <n v="0"/>
    <n v="48675.899999999936"/>
    <x v="0"/>
    <n v="8.5445026178010455"/>
    <x v="711"/>
    <x v="0"/>
    <x v="0"/>
    <x v="0"/>
    <n v="0"/>
  </r>
  <r>
    <d v="2024-01-22T00:00:00"/>
    <x v="2"/>
    <x v="1"/>
    <x v="0"/>
    <n v="43.26"/>
    <n v="20.13"/>
    <n v="3"/>
    <n v="61207.979999999989"/>
    <x v="1"/>
    <n v="1.1490312965722802"/>
    <x v="1658"/>
    <x v="0"/>
    <x v="2"/>
    <x v="0"/>
    <n v="14.42"/>
  </r>
  <r>
    <d v="2024-04-20T00:00:00"/>
    <x v="1"/>
    <x v="1"/>
    <x v="0"/>
    <n v="110.91"/>
    <n v="33.590000000000003"/>
    <n v="3"/>
    <n v="58562.910000000018"/>
    <x v="1"/>
    <n v="2.3018755582018455"/>
    <x v="1659"/>
    <x v="1"/>
    <x v="1"/>
    <x v="1"/>
    <n v="36.97"/>
  </r>
  <r>
    <d v="2024-01-26T00:00:00"/>
    <x v="4"/>
    <x v="2"/>
    <x v="0"/>
    <n v="35.32"/>
    <n v="49.63"/>
    <n v="0"/>
    <n v="61207.979999999989"/>
    <x v="1"/>
    <n v="-0.28833366915172276"/>
    <x v="1660"/>
    <x v="0"/>
    <x v="2"/>
    <x v="0"/>
    <n v="0"/>
  </r>
  <r>
    <d v="2024-02-28T00:00:00"/>
    <x v="2"/>
    <x v="0"/>
    <x v="1"/>
    <n v="88.13"/>
    <n v="10.83"/>
    <n v="0"/>
    <n v="48675.899999999936"/>
    <x v="0"/>
    <n v="7.1375807940904892"/>
    <x v="1661"/>
    <x v="1"/>
    <x v="0"/>
    <x v="0"/>
    <n v="0"/>
  </r>
  <r>
    <d v="2024-01-20T00:00:00"/>
    <x v="2"/>
    <x v="0"/>
    <x v="1"/>
    <n v="126.85"/>
    <n v="24.83"/>
    <n v="3"/>
    <n v="61207.979999999989"/>
    <x v="1"/>
    <n v="4.1087394281111562"/>
    <x v="1662"/>
    <x v="1"/>
    <x v="2"/>
    <x v="0"/>
    <n v="42.283333333333331"/>
  </r>
  <r>
    <d v="2024-02-04T00:00:00"/>
    <x v="4"/>
    <x v="2"/>
    <x v="0"/>
    <n v="45.1"/>
    <n v="17.48"/>
    <n v="2"/>
    <n v="48675.899999999936"/>
    <x v="0"/>
    <n v="1.5800915331807781"/>
    <x v="1663"/>
    <x v="0"/>
    <x v="0"/>
    <x v="0"/>
    <n v="22.55"/>
  </r>
  <r>
    <d v="2024-01-16T00:00:00"/>
    <x v="1"/>
    <x v="0"/>
    <x v="0"/>
    <n v="38.630000000000003"/>
    <n v="34.39"/>
    <n v="2"/>
    <n v="61207.979999999989"/>
    <x v="1"/>
    <n v="0.12329165455074155"/>
    <x v="1664"/>
    <x v="1"/>
    <x v="2"/>
    <x v="0"/>
    <n v="19.315000000000001"/>
  </r>
  <r>
    <d v="2024-01-03T00:00:00"/>
    <x v="4"/>
    <x v="2"/>
    <x v="0"/>
    <n v="56.24"/>
    <n v="3.62"/>
    <n v="1"/>
    <n v="61207.979999999989"/>
    <x v="1"/>
    <n v="14.535911602209946"/>
    <x v="1665"/>
    <x v="0"/>
    <x v="2"/>
    <x v="0"/>
    <n v="56.24"/>
  </r>
  <r>
    <d v="2024-01-14T00:00:00"/>
    <x v="3"/>
    <x v="0"/>
    <x v="1"/>
    <n v="97.79"/>
    <n v="47.1"/>
    <n v="2"/>
    <n v="61207.979999999989"/>
    <x v="1"/>
    <n v="1.0762208067940553"/>
    <x v="1666"/>
    <x v="0"/>
    <x v="2"/>
    <x v="0"/>
    <n v="48.895000000000003"/>
  </r>
  <r>
    <d v="2024-03-18T00:00:00"/>
    <x v="4"/>
    <x v="1"/>
    <x v="1"/>
    <n v="20.329999999999998"/>
    <n v="20.09"/>
    <n v="1"/>
    <n v="54735.250000000029"/>
    <x v="0"/>
    <n v="1.1946241911398628E-2"/>
    <x v="1667"/>
    <x v="1"/>
    <x v="3"/>
    <x v="1"/>
    <n v="20.329999999999998"/>
  </r>
  <r>
    <d v="2024-03-29T00:00:00"/>
    <x v="0"/>
    <x v="0"/>
    <x v="1"/>
    <n v="29.25"/>
    <n v="22.61"/>
    <n v="0"/>
    <n v="54735.250000000029"/>
    <x v="0"/>
    <n v="0.29367536488279528"/>
    <x v="1668"/>
    <x v="0"/>
    <x v="3"/>
    <x v="1"/>
    <n v="0"/>
  </r>
  <r>
    <d v="2024-03-06T00:00:00"/>
    <x v="3"/>
    <x v="1"/>
    <x v="0"/>
    <n v="165.27"/>
    <n v="29.09"/>
    <n v="3"/>
    <n v="54735.250000000029"/>
    <x v="0"/>
    <n v="4.6813337916809905"/>
    <x v="1669"/>
    <x v="1"/>
    <x v="3"/>
    <x v="1"/>
    <n v="55.09"/>
  </r>
  <r>
    <d v="2024-01-01T00:00:00"/>
    <x v="3"/>
    <x v="1"/>
    <x v="0"/>
    <n v="147.54"/>
    <n v="0.97"/>
    <n v="2"/>
    <n v="61207.979999999989"/>
    <x v="1"/>
    <n v="151.10309278350516"/>
    <x v="1670"/>
    <x v="1"/>
    <x v="2"/>
    <x v="0"/>
    <n v="73.77"/>
  </r>
  <r>
    <d v="2024-03-27T00:00:00"/>
    <x v="1"/>
    <x v="0"/>
    <x v="0"/>
    <n v="174.4"/>
    <n v="7.14"/>
    <n v="1"/>
    <n v="54735.250000000029"/>
    <x v="0"/>
    <n v="23.425770308123251"/>
    <x v="1671"/>
    <x v="0"/>
    <x v="3"/>
    <x v="1"/>
    <n v="174.4"/>
  </r>
  <r>
    <d v="2024-01-14T00:00:00"/>
    <x v="3"/>
    <x v="2"/>
    <x v="1"/>
    <n v="161.26"/>
    <n v="44.58"/>
    <n v="2"/>
    <n v="61207.979999999989"/>
    <x v="1"/>
    <n v="2.6173171825930912"/>
    <x v="1672"/>
    <x v="1"/>
    <x v="2"/>
    <x v="0"/>
    <n v="80.63"/>
  </r>
  <r>
    <d v="2024-04-20T00:00:00"/>
    <x v="3"/>
    <x v="1"/>
    <x v="1"/>
    <n v="148.44"/>
    <n v="13.31"/>
    <n v="2"/>
    <n v="58562.910000000018"/>
    <x v="1"/>
    <n v="10.15251690458302"/>
    <x v="1673"/>
    <x v="1"/>
    <x v="1"/>
    <x v="1"/>
    <n v="74.22"/>
  </r>
  <r>
    <d v="2024-03-14T00:00:00"/>
    <x v="1"/>
    <x v="2"/>
    <x v="0"/>
    <n v="193.94"/>
    <n v="37.83"/>
    <n v="0"/>
    <n v="54735.250000000029"/>
    <x v="0"/>
    <n v="4.1266190853819724"/>
    <x v="1674"/>
    <x v="1"/>
    <x v="3"/>
    <x v="1"/>
    <n v="0"/>
  </r>
  <r>
    <d v="2024-04-04T00:00:00"/>
    <x v="1"/>
    <x v="2"/>
    <x v="0"/>
    <n v="147.15"/>
    <n v="44.36"/>
    <n v="3"/>
    <n v="58562.910000000018"/>
    <x v="1"/>
    <n v="2.3171776375112714"/>
    <x v="1675"/>
    <x v="1"/>
    <x v="1"/>
    <x v="1"/>
    <n v="49.050000000000004"/>
  </r>
  <r>
    <d v="2024-01-21T00:00:00"/>
    <x v="0"/>
    <x v="1"/>
    <x v="0"/>
    <n v="141.5"/>
    <n v="27.12"/>
    <n v="0"/>
    <n v="61207.979999999989"/>
    <x v="1"/>
    <n v="4.2175516224188785"/>
    <x v="1676"/>
    <x v="0"/>
    <x v="2"/>
    <x v="0"/>
    <n v="0"/>
  </r>
  <r>
    <d v="2024-01-01T00:00:00"/>
    <x v="1"/>
    <x v="1"/>
    <x v="1"/>
    <n v="187.18"/>
    <n v="44.65"/>
    <n v="0"/>
    <n v="61207.979999999989"/>
    <x v="1"/>
    <n v="3.1921612541993283"/>
    <x v="1677"/>
    <x v="0"/>
    <x v="2"/>
    <x v="0"/>
    <n v="0"/>
  </r>
  <r>
    <d v="2024-03-02T00:00:00"/>
    <x v="0"/>
    <x v="2"/>
    <x v="0"/>
    <n v="175.19"/>
    <n v="25.99"/>
    <n v="1"/>
    <n v="54735.250000000029"/>
    <x v="0"/>
    <n v="5.7406694882647171"/>
    <x v="1678"/>
    <x v="0"/>
    <x v="3"/>
    <x v="1"/>
    <n v="175.19"/>
  </r>
  <r>
    <d v="2024-04-22T00:00:00"/>
    <x v="4"/>
    <x v="0"/>
    <x v="1"/>
    <n v="48.99"/>
    <n v="27.81"/>
    <n v="2"/>
    <n v="58562.910000000018"/>
    <x v="1"/>
    <n v="0.7615965480043152"/>
    <x v="1679"/>
    <x v="1"/>
    <x v="1"/>
    <x v="1"/>
    <n v="24.495000000000001"/>
  </r>
  <r>
    <d v="2024-02-19T00:00:00"/>
    <x v="1"/>
    <x v="1"/>
    <x v="0"/>
    <n v="179.01"/>
    <n v="48.17"/>
    <n v="0"/>
    <n v="48675.899999999936"/>
    <x v="0"/>
    <n v="2.7162134108366196"/>
    <x v="1680"/>
    <x v="1"/>
    <x v="0"/>
    <x v="0"/>
    <n v="0"/>
  </r>
  <r>
    <d v="2024-04-10T00:00:00"/>
    <x v="1"/>
    <x v="0"/>
    <x v="0"/>
    <n v="96.97"/>
    <n v="34.630000000000003"/>
    <n v="3"/>
    <n v="58562.910000000018"/>
    <x v="1"/>
    <n v="1.8001732601790352"/>
    <x v="396"/>
    <x v="0"/>
    <x v="1"/>
    <x v="1"/>
    <n v="32.323333333333331"/>
  </r>
  <r>
    <d v="2024-02-24T00:00:00"/>
    <x v="3"/>
    <x v="0"/>
    <x v="0"/>
    <n v="116.95"/>
    <n v="24.35"/>
    <n v="3"/>
    <n v="48675.899999999936"/>
    <x v="0"/>
    <n v="3.8028747433264884"/>
    <x v="1681"/>
    <x v="0"/>
    <x v="0"/>
    <x v="0"/>
    <n v="38.983333333333334"/>
  </r>
  <r>
    <d v="2024-03-25T00:00:00"/>
    <x v="1"/>
    <x v="1"/>
    <x v="0"/>
    <n v="78.069999999999993"/>
    <n v="18.43"/>
    <n v="0"/>
    <n v="54735.250000000029"/>
    <x v="0"/>
    <n v="3.2360282148670643"/>
    <x v="1682"/>
    <x v="0"/>
    <x v="3"/>
    <x v="1"/>
    <n v="0"/>
  </r>
  <r>
    <d v="2024-02-19T00:00:00"/>
    <x v="3"/>
    <x v="1"/>
    <x v="1"/>
    <n v="55.8"/>
    <n v="42.55"/>
    <n v="2"/>
    <n v="48675.899999999936"/>
    <x v="0"/>
    <n v="0.31139835487661577"/>
    <x v="1683"/>
    <x v="0"/>
    <x v="0"/>
    <x v="0"/>
    <n v="27.9"/>
  </r>
  <r>
    <d v="2024-01-15T00:00:00"/>
    <x v="1"/>
    <x v="0"/>
    <x v="0"/>
    <n v="87.47"/>
    <n v="7.79"/>
    <n v="2"/>
    <n v="61207.979999999989"/>
    <x v="1"/>
    <n v="10.228498074454428"/>
    <x v="1684"/>
    <x v="1"/>
    <x v="2"/>
    <x v="0"/>
    <n v="43.734999999999999"/>
  </r>
  <r>
    <d v="2024-04-14T00:00:00"/>
    <x v="3"/>
    <x v="1"/>
    <x v="1"/>
    <n v="175.24"/>
    <n v="12.01"/>
    <n v="2"/>
    <n v="58562.910000000018"/>
    <x v="1"/>
    <n v="13.591174021648628"/>
    <x v="1685"/>
    <x v="1"/>
    <x v="1"/>
    <x v="1"/>
    <n v="87.62"/>
  </r>
  <r>
    <d v="2024-04-18T00:00:00"/>
    <x v="1"/>
    <x v="2"/>
    <x v="1"/>
    <n v="128.94"/>
    <n v="14.97"/>
    <n v="0"/>
    <n v="58562.910000000018"/>
    <x v="1"/>
    <n v="7.6132264529058116"/>
    <x v="1686"/>
    <x v="1"/>
    <x v="1"/>
    <x v="1"/>
    <n v="0"/>
  </r>
  <r>
    <d v="2024-03-22T00:00:00"/>
    <x v="1"/>
    <x v="0"/>
    <x v="0"/>
    <n v="30.73"/>
    <n v="10.31"/>
    <n v="0"/>
    <n v="54735.250000000029"/>
    <x v="0"/>
    <n v="1.9806013579049466"/>
    <x v="1687"/>
    <x v="1"/>
    <x v="3"/>
    <x v="1"/>
    <n v="0"/>
  </r>
  <r>
    <d v="2024-01-18T00:00:00"/>
    <x v="3"/>
    <x v="2"/>
    <x v="1"/>
    <n v="97.56"/>
    <n v="37.15"/>
    <n v="3"/>
    <n v="61207.979999999989"/>
    <x v="1"/>
    <n v="1.6261103633916556"/>
    <x v="1688"/>
    <x v="1"/>
    <x v="2"/>
    <x v="0"/>
    <n v="32.520000000000003"/>
  </r>
  <r>
    <d v="2024-02-16T00:00:00"/>
    <x v="1"/>
    <x v="2"/>
    <x v="1"/>
    <n v="153.01"/>
    <n v="3.26"/>
    <n v="3"/>
    <n v="48675.899999999936"/>
    <x v="0"/>
    <n v="45.935582822085891"/>
    <x v="1689"/>
    <x v="1"/>
    <x v="0"/>
    <x v="0"/>
    <n v="51.00333333333333"/>
  </r>
  <r>
    <d v="2024-03-02T00:00:00"/>
    <x v="3"/>
    <x v="0"/>
    <x v="1"/>
    <n v="115.46"/>
    <n v="4.12"/>
    <n v="2"/>
    <n v="54735.250000000029"/>
    <x v="0"/>
    <n v="27.024271844660191"/>
    <x v="1690"/>
    <x v="1"/>
    <x v="3"/>
    <x v="1"/>
    <n v="57.73"/>
  </r>
  <r>
    <d v="2024-03-29T00:00:00"/>
    <x v="0"/>
    <x v="1"/>
    <x v="0"/>
    <n v="124.94"/>
    <n v="13.25"/>
    <n v="0"/>
    <n v="54735.250000000029"/>
    <x v="0"/>
    <n v="8.4294339622641505"/>
    <x v="1691"/>
    <x v="0"/>
    <x v="3"/>
    <x v="1"/>
    <n v="0"/>
  </r>
  <r>
    <d v="2024-01-19T00:00:00"/>
    <x v="3"/>
    <x v="0"/>
    <x v="0"/>
    <n v="114.37"/>
    <n v="46.56"/>
    <n v="0"/>
    <n v="61207.979999999989"/>
    <x v="1"/>
    <n v="1.4564003436426116"/>
    <x v="1692"/>
    <x v="0"/>
    <x v="2"/>
    <x v="0"/>
    <n v="0"/>
  </r>
  <r>
    <d v="2024-01-25T00:00:00"/>
    <x v="4"/>
    <x v="0"/>
    <x v="0"/>
    <n v="84.57"/>
    <n v="33.64"/>
    <n v="2"/>
    <n v="61207.979999999989"/>
    <x v="1"/>
    <n v="1.5139714625445895"/>
    <x v="1693"/>
    <x v="0"/>
    <x v="2"/>
    <x v="0"/>
    <n v="42.284999999999997"/>
  </r>
  <r>
    <d v="2024-03-25T00:00:00"/>
    <x v="3"/>
    <x v="1"/>
    <x v="0"/>
    <n v="158.32"/>
    <n v="42.51"/>
    <n v="3"/>
    <n v="54735.250000000029"/>
    <x v="0"/>
    <n v="2.7243001646671372"/>
    <x v="1694"/>
    <x v="1"/>
    <x v="3"/>
    <x v="1"/>
    <n v="52.773333333333333"/>
  </r>
  <r>
    <d v="2024-01-11T00:00:00"/>
    <x v="4"/>
    <x v="0"/>
    <x v="0"/>
    <n v="77.010000000000005"/>
    <n v="23.79"/>
    <n v="0"/>
    <n v="61207.979999999989"/>
    <x v="1"/>
    <n v="2.2370744010088277"/>
    <x v="1695"/>
    <x v="1"/>
    <x v="2"/>
    <x v="0"/>
    <n v="0"/>
  </r>
  <r>
    <d v="2024-01-31T00:00:00"/>
    <x v="3"/>
    <x v="1"/>
    <x v="0"/>
    <n v="193.62"/>
    <n v="32.75"/>
    <n v="3"/>
    <n v="61207.979999999989"/>
    <x v="1"/>
    <n v="4.9120610687022905"/>
    <x v="1696"/>
    <x v="1"/>
    <x v="2"/>
    <x v="0"/>
    <n v="64.540000000000006"/>
  </r>
  <r>
    <d v="2024-01-06T00:00:00"/>
    <x v="1"/>
    <x v="1"/>
    <x v="1"/>
    <n v="79.680000000000007"/>
    <n v="38.979999999999997"/>
    <n v="0"/>
    <n v="61207.979999999989"/>
    <x v="1"/>
    <n v="1.0441251924063626"/>
    <x v="1697"/>
    <x v="0"/>
    <x v="2"/>
    <x v="0"/>
    <n v="0"/>
  </r>
  <r>
    <d v="2024-03-03T00:00:00"/>
    <x v="1"/>
    <x v="2"/>
    <x v="0"/>
    <n v="138.07"/>
    <n v="15.02"/>
    <n v="1"/>
    <n v="54735.250000000029"/>
    <x v="0"/>
    <n v="8.1924101198402131"/>
    <x v="1698"/>
    <x v="1"/>
    <x v="3"/>
    <x v="1"/>
    <n v="138.07"/>
  </r>
  <r>
    <d v="2024-04-05T00:00:00"/>
    <x v="1"/>
    <x v="0"/>
    <x v="1"/>
    <n v="33"/>
    <n v="35.299999999999997"/>
    <n v="2"/>
    <n v="58562.910000000018"/>
    <x v="1"/>
    <n v="-6.5155807365439022E-2"/>
    <x v="1699"/>
    <x v="1"/>
    <x v="1"/>
    <x v="1"/>
    <n v="16.5"/>
  </r>
  <r>
    <d v="2024-03-21T00:00:00"/>
    <x v="2"/>
    <x v="1"/>
    <x v="1"/>
    <n v="123.49"/>
    <n v="25.73"/>
    <n v="0"/>
    <n v="54735.250000000029"/>
    <x v="0"/>
    <n v="3.7994558880684024"/>
    <x v="1700"/>
    <x v="0"/>
    <x v="3"/>
    <x v="1"/>
    <n v="0"/>
  </r>
  <r>
    <d v="2024-04-11T00:00:00"/>
    <x v="3"/>
    <x v="2"/>
    <x v="1"/>
    <n v="100.64"/>
    <n v="46.32"/>
    <n v="3"/>
    <n v="58562.910000000018"/>
    <x v="1"/>
    <n v="1.1727115716753023"/>
    <x v="1701"/>
    <x v="0"/>
    <x v="1"/>
    <x v="1"/>
    <n v="33.546666666666667"/>
  </r>
  <r>
    <d v="2024-01-10T00:00:00"/>
    <x v="0"/>
    <x v="1"/>
    <x v="1"/>
    <n v="62.24"/>
    <n v="30.88"/>
    <n v="0"/>
    <n v="61207.979999999989"/>
    <x v="1"/>
    <n v="1.0155440414507773"/>
    <x v="1702"/>
    <x v="1"/>
    <x v="2"/>
    <x v="0"/>
    <n v="0"/>
  </r>
  <r>
    <d v="2024-01-09T00:00:00"/>
    <x v="1"/>
    <x v="2"/>
    <x v="0"/>
    <n v="135.61000000000001"/>
    <n v="11.1"/>
    <n v="2"/>
    <n v="61207.979999999989"/>
    <x v="1"/>
    <n v="11.21711711711712"/>
    <x v="1703"/>
    <x v="0"/>
    <x v="2"/>
    <x v="0"/>
    <n v="67.805000000000007"/>
  </r>
  <r>
    <d v="2024-04-06T00:00:00"/>
    <x v="0"/>
    <x v="0"/>
    <x v="0"/>
    <n v="197.85"/>
    <n v="10.67"/>
    <n v="3"/>
    <n v="58562.910000000018"/>
    <x v="1"/>
    <n v="17.542642924086223"/>
    <x v="1704"/>
    <x v="0"/>
    <x v="1"/>
    <x v="1"/>
    <n v="65.95"/>
  </r>
  <r>
    <d v="2024-04-28T00:00:00"/>
    <x v="0"/>
    <x v="1"/>
    <x v="0"/>
    <n v="65.19"/>
    <n v="33.520000000000003"/>
    <n v="0"/>
    <n v="58562.910000000018"/>
    <x v="1"/>
    <n v="0.94480906921241026"/>
    <x v="1705"/>
    <x v="0"/>
    <x v="1"/>
    <x v="1"/>
    <n v="0"/>
  </r>
  <r>
    <d v="2024-03-06T00:00:00"/>
    <x v="3"/>
    <x v="1"/>
    <x v="0"/>
    <n v="166.29"/>
    <n v="43.7"/>
    <n v="1"/>
    <n v="54735.250000000029"/>
    <x v="0"/>
    <n v="2.8052631578947365"/>
    <x v="1706"/>
    <x v="0"/>
    <x v="3"/>
    <x v="1"/>
    <n v="166.29"/>
  </r>
  <r>
    <d v="2024-04-12T00:00:00"/>
    <x v="3"/>
    <x v="1"/>
    <x v="1"/>
    <n v="126.13"/>
    <n v="2.23"/>
    <n v="2"/>
    <n v="58562.910000000018"/>
    <x v="1"/>
    <n v="55.560538116591928"/>
    <x v="1707"/>
    <x v="0"/>
    <x v="1"/>
    <x v="1"/>
    <n v="63.064999999999998"/>
  </r>
  <r>
    <d v="2024-02-17T00:00:00"/>
    <x v="1"/>
    <x v="1"/>
    <x v="0"/>
    <n v="27.61"/>
    <n v="34.369999999999997"/>
    <n v="3"/>
    <n v="48675.899999999936"/>
    <x v="0"/>
    <n v="-0.19668315391329644"/>
    <x v="1708"/>
    <x v="0"/>
    <x v="0"/>
    <x v="0"/>
    <n v="9.2033333333333331"/>
  </r>
  <r>
    <d v="2024-03-29T00:00:00"/>
    <x v="1"/>
    <x v="2"/>
    <x v="1"/>
    <n v="185.84"/>
    <n v="40.92"/>
    <n v="2"/>
    <n v="54735.250000000029"/>
    <x v="0"/>
    <n v="3.5415444770283484"/>
    <x v="1709"/>
    <x v="1"/>
    <x v="3"/>
    <x v="1"/>
    <n v="92.92"/>
  </r>
  <r>
    <d v="2024-02-11T00:00:00"/>
    <x v="1"/>
    <x v="0"/>
    <x v="1"/>
    <n v="161.78"/>
    <n v="47.9"/>
    <n v="1"/>
    <n v="48675.899999999936"/>
    <x v="0"/>
    <n v="2.3774530271398748"/>
    <x v="1710"/>
    <x v="1"/>
    <x v="0"/>
    <x v="0"/>
    <n v="161.78"/>
  </r>
  <r>
    <d v="2024-03-16T00:00:00"/>
    <x v="1"/>
    <x v="1"/>
    <x v="0"/>
    <n v="29.95"/>
    <n v="46.56"/>
    <n v="3"/>
    <n v="54735.250000000029"/>
    <x v="0"/>
    <n v="-0.3567439862542956"/>
    <x v="1711"/>
    <x v="1"/>
    <x v="3"/>
    <x v="1"/>
    <n v="9.9833333333333325"/>
  </r>
  <r>
    <d v="2024-03-27T00:00:00"/>
    <x v="1"/>
    <x v="0"/>
    <x v="1"/>
    <n v="181.55"/>
    <n v="37.44"/>
    <n v="2"/>
    <n v="54735.250000000029"/>
    <x v="0"/>
    <n v="3.8490918803418808"/>
    <x v="1712"/>
    <x v="0"/>
    <x v="3"/>
    <x v="1"/>
    <n v="90.775000000000006"/>
  </r>
  <r>
    <d v="2024-02-27T00:00:00"/>
    <x v="3"/>
    <x v="0"/>
    <x v="1"/>
    <n v="171.38"/>
    <n v="43.82"/>
    <n v="1"/>
    <n v="48675.899999999936"/>
    <x v="0"/>
    <n v="2.910999543587403"/>
    <x v="1713"/>
    <x v="1"/>
    <x v="0"/>
    <x v="0"/>
    <n v="171.38"/>
  </r>
  <r>
    <d v="2024-04-28T00:00:00"/>
    <x v="2"/>
    <x v="0"/>
    <x v="1"/>
    <n v="83.79"/>
    <n v="32.69"/>
    <n v="0"/>
    <n v="58562.910000000018"/>
    <x v="1"/>
    <n v="1.5631691648822275"/>
    <x v="1714"/>
    <x v="1"/>
    <x v="1"/>
    <x v="1"/>
    <n v="0"/>
  </r>
  <r>
    <d v="2024-03-18T00:00:00"/>
    <x v="0"/>
    <x v="1"/>
    <x v="1"/>
    <n v="100.05"/>
    <n v="37.93"/>
    <n v="0"/>
    <n v="54735.250000000029"/>
    <x v="0"/>
    <n v="1.6377537569206433"/>
    <x v="1715"/>
    <x v="0"/>
    <x v="3"/>
    <x v="1"/>
    <n v="0"/>
  </r>
  <r>
    <d v="2024-03-28T00:00:00"/>
    <x v="0"/>
    <x v="2"/>
    <x v="0"/>
    <n v="20.100000000000001"/>
    <n v="31.66"/>
    <n v="0"/>
    <n v="54735.250000000029"/>
    <x v="0"/>
    <n v="-0.36512950094756785"/>
    <x v="1716"/>
    <x v="1"/>
    <x v="3"/>
    <x v="1"/>
    <n v="0"/>
  </r>
  <r>
    <d v="2024-02-29T00:00:00"/>
    <x v="3"/>
    <x v="0"/>
    <x v="0"/>
    <n v="164.79"/>
    <n v="49.8"/>
    <n v="0"/>
    <n v="48675.899999999936"/>
    <x v="0"/>
    <n v="2.3090361445783132"/>
    <x v="1717"/>
    <x v="0"/>
    <x v="0"/>
    <x v="0"/>
    <n v="0"/>
  </r>
  <r>
    <d v="2024-01-15T00:00:00"/>
    <x v="3"/>
    <x v="2"/>
    <x v="1"/>
    <n v="188.73"/>
    <n v="36.17"/>
    <n v="0"/>
    <n v="61207.979999999989"/>
    <x v="1"/>
    <n v="4.2178601050594411"/>
    <x v="1718"/>
    <x v="1"/>
    <x v="2"/>
    <x v="0"/>
    <n v="0"/>
  </r>
  <r>
    <d v="2024-03-16T00:00:00"/>
    <x v="3"/>
    <x v="0"/>
    <x v="1"/>
    <n v="176.65"/>
    <n v="8.92"/>
    <n v="3"/>
    <n v="54735.250000000029"/>
    <x v="0"/>
    <n v="18.803811659192828"/>
    <x v="1719"/>
    <x v="0"/>
    <x v="3"/>
    <x v="1"/>
    <n v="58.883333333333333"/>
  </r>
  <r>
    <d v="2024-04-12T00:00:00"/>
    <x v="0"/>
    <x v="1"/>
    <x v="0"/>
    <n v="63.27"/>
    <n v="22.82"/>
    <n v="1"/>
    <n v="58562.910000000018"/>
    <x v="1"/>
    <n v="1.7725679228746714"/>
    <x v="1720"/>
    <x v="1"/>
    <x v="1"/>
    <x v="1"/>
    <n v="63.27"/>
  </r>
  <r>
    <d v="2024-01-25T00:00:00"/>
    <x v="1"/>
    <x v="1"/>
    <x v="0"/>
    <n v="80.97"/>
    <n v="27.02"/>
    <n v="0"/>
    <n v="61207.979999999989"/>
    <x v="1"/>
    <n v="1.9966691339748337"/>
    <x v="1721"/>
    <x v="0"/>
    <x v="2"/>
    <x v="0"/>
    <n v="0"/>
  </r>
  <r>
    <d v="2024-03-28T00:00:00"/>
    <x v="2"/>
    <x v="0"/>
    <x v="0"/>
    <n v="150.97"/>
    <n v="31.31"/>
    <n v="2"/>
    <n v="54735.250000000029"/>
    <x v="0"/>
    <n v="3.8217821782178216"/>
    <x v="1722"/>
    <x v="0"/>
    <x v="3"/>
    <x v="1"/>
    <n v="75.484999999999999"/>
  </r>
  <r>
    <d v="2024-01-11T00:00:00"/>
    <x v="3"/>
    <x v="0"/>
    <x v="0"/>
    <n v="111.98"/>
    <n v="36.19"/>
    <n v="2"/>
    <n v="61207.979999999989"/>
    <x v="1"/>
    <n v="2.0942249240121584"/>
    <x v="1723"/>
    <x v="1"/>
    <x v="2"/>
    <x v="0"/>
    <n v="55.99"/>
  </r>
  <r>
    <d v="2024-03-09T00:00:00"/>
    <x v="2"/>
    <x v="2"/>
    <x v="0"/>
    <n v="176.58"/>
    <n v="41.4"/>
    <n v="0"/>
    <n v="54735.250000000029"/>
    <x v="0"/>
    <n v="3.2652173913043483"/>
    <x v="1724"/>
    <x v="0"/>
    <x v="3"/>
    <x v="1"/>
    <n v="0"/>
  </r>
  <r>
    <d v="2024-04-08T00:00:00"/>
    <x v="4"/>
    <x v="2"/>
    <x v="0"/>
    <n v="48.87"/>
    <n v="13.27"/>
    <n v="0"/>
    <n v="58562.910000000018"/>
    <x v="1"/>
    <n v="2.6827430293896004"/>
    <x v="1725"/>
    <x v="0"/>
    <x v="1"/>
    <x v="1"/>
    <n v="0"/>
  </r>
  <r>
    <d v="2024-01-30T00:00:00"/>
    <x v="3"/>
    <x v="1"/>
    <x v="0"/>
    <n v="86.37"/>
    <n v="17.739999999999998"/>
    <n v="0"/>
    <n v="61207.979999999989"/>
    <x v="1"/>
    <n v="3.8686583990980843"/>
    <x v="1726"/>
    <x v="1"/>
    <x v="2"/>
    <x v="0"/>
    <n v="0"/>
  </r>
  <r>
    <d v="2024-04-22T00:00:00"/>
    <x v="1"/>
    <x v="1"/>
    <x v="1"/>
    <n v="111.04"/>
    <n v="13.47"/>
    <n v="2"/>
    <n v="58562.910000000018"/>
    <x v="1"/>
    <n v="7.2435040831477355"/>
    <x v="1727"/>
    <x v="1"/>
    <x v="1"/>
    <x v="1"/>
    <n v="55.52"/>
  </r>
  <r>
    <d v="2024-02-01T00:00:00"/>
    <x v="4"/>
    <x v="2"/>
    <x v="1"/>
    <n v="180.45"/>
    <n v="17.87"/>
    <n v="1"/>
    <n v="48675.899999999936"/>
    <x v="0"/>
    <n v="9.0979294907666475"/>
    <x v="1728"/>
    <x v="0"/>
    <x v="0"/>
    <x v="0"/>
    <n v="180.45"/>
  </r>
  <r>
    <d v="2024-03-14T00:00:00"/>
    <x v="0"/>
    <x v="1"/>
    <x v="0"/>
    <n v="84.34"/>
    <n v="21.56"/>
    <n v="1"/>
    <n v="54735.250000000029"/>
    <x v="0"/>
    <n v="2.9118738404452693"/>
    <x v="1219"/>
    <x v="1"/>
    <x v="3"/>
    <x v="1"/>
    <n v="84.34"/>
  </r>
  <r>
    <d v="2024-03-07T00:00:00"/>
    <x v="0"/>
    <x v="2"/>
    <x v="1"/>
    <n v="26.02"/>
    <n v="21.06"/>
    <n v="2"/>
    <n v="54735.250000000029"/>
    <x v="0"/>
    <n v="0.23551756885090225"/>
    <x v="1729"/>
    <x v="0"/>
    <x v="3"/>
    <x v="1"/>
    <n v="13.01"/>
  </r>
  <r>
    <d v="2024-02-18T00:00:00"/>
    <x v="4"/>
    <x v="0"/>
    <x v="1"/>
    <n v="124.04"/>
    <n v="8.24"/>
    <n v="1"/>
    <n v="48675.899999999936"/>
    <x v="0"/>
    <n v="14.053398058252428"/>
    <x v="590"/>
    <x v="0"/>
    <x v="0"/>
    <x v="0"/>
    <n v="124.04"/>
  </r>
  <r>
    <d v="2024-03-02T00:00:00"/>
    <x v="4"/>
    <x v="0"/>
    <x v="1"/>
    <n v="114.5"/>
    <n v="19.43"/>
    <n v="0"/>
    <n v="54735.250000000029"/>
    <x v="0"/>
    <n v="4.8929490478641275"/>
    <x v="1730"/>
    <x v="0"/>
    <x v="3"/>
    <x v="1"/>
    <n v="0"/>
  </r>
  <r>
    <d v="2024-03-30T00:00:00"/>
    <x v="2"/>
    <x v="0"/>
    <x v="1"/>
    <n v="106.33"/>
    <n v="45.65"/>
    <n v="2"/>
    <n v="54735.250000000029"/>
    <x v="0"/>
    <n v="1.3292442497261774"/>
    <x v="1731"/>
    <x v="1"/>
    <x v="3"/>
    <x v="1"/>
    <n v="53.164999999999999"/>
  </r>
  <r>
    <d v="2024-02-16T00:00:00"/>
    <x v="2"/>
    <x v="1"/>
    <x v="1"/>
    <n v="188.54"/>
    <n v="26.27"/>
    <n v="1"/>
    <n v="48675.899999999936"/>
    <x v="0"/>
    <n v="6.1770079939094016"/>
    <x v="1732"/>
    <x v="1"/>
    <x v="0"/>
    <x v="0"/>
    <n v="188.54"/>
  </r>
  <r>
    <d v="2024-03-03T00:00:00"/>
    <x v="2"/>
    <x v="0"/>
    <x v="0"/>
    <n v="70.430000000000007"/>
    <n v="48.2"/>
    <n v="0"/>
    <n v="54735.250000000029"/>
    <x v="0"/>
    <n v="0.46120331950207477"/>
    <x v="1733"/>
    <x v="1"/>
    <x v="3"/>
    <x v="1"/>
    <n v="0"/>
  </r>
  <r>
    <d v="2024-01-12T00:00:00"/>
    <x v="2"/>
    <x v="0"/>
    <x v="1"/>
    <n v="47.86"/>
    <n v="46.48"/>
    <n v="3"/>
    <n v="61207.979999999989"/>
    <x v="1"/>
    <n v="2.9690189328743604E-2"/>
    <x v="1734"/>
    <x v="0"/>
    <x v="2"/>
    <x v="0"/>
    <n v="15.953333333333333"/>
  </r>
  <r>
    <d v="2024-01-09T00:00:00"/>
    <x v="2"/>
    <x v="2"/>
    <x v="1"/>
    <n v="91.68"/>
    <n v="18.73"/>
    <n v="1"/>
    <n v="61207.979999999989"/>
    <x v="1"/>
    <n v="3.8948211425520558"/>
    <x v="1735"/>
    <x v="1"/>
    <x v="2"/>
    <x v="0"/>
    <n v="91.68"/>
  </r>
  <r>
    <d v="2024-01-25T00:00:00"/>
    <x v="4"/>
    <x v="1"/>
    <x v="0"/>
    <n v="120.69"/>
    <n v="22.87"/>
    <n v="0"/>
    <n v="61207.979999999989"/>
    <x v="1"/>
    <n v="4.2772190642763439"/>
    <x v="1736"/>
    <x v="1"/>
    <x v="2"/>
    <x v="0"/>
    <n v="0"/>
  </r>
  <r>
    <d v="2024-04-08T00:00:00"/>
    <x v="1"/>
    <x v="0"/>
    <x v="0"/>
    <n v="92.77"/>
    <n v="9.89"/>
    <n v="3"/>
    <n v="58562.910000000018"/>
    <x v="1"/>
    <n v="8.3801820020222433"/>
    <x v="1737"/>
    <x v="1"/>
    <x v="1"/>
    <x v="1"/>
    <n v="30.923333333333332"/>
  </r>
  <r>
    <d v="2024-01-18T00:00:00"/>
    <x v="1"/>
    <x v="2"/>
    <x v="0"/>
    <n v="101.83"/>
    <n v="30.11"/>
    <n v="2"/>
    <n v="61207.979999999989"/>
    <x v="1"/>
    <n v="2.3819329126536033"/>
    <x v="1738"/>
    <x v="0"/>
    <x v="2"/>
    <x v="0"/>
    <n v="50.914999999999999"/>
  </r>
  <r>
    <d v="2024-04-02T00:00:00"/>
    <x v="2"/>
    <x v="0"/>
    <x v="1"/>
    <n v="47.5"/>
    <n v="24.76"/>
    <n v="2"/>
    <n v="58562.910000000018"/>
    <x v="1"/>
    <n v="0.91841680129240699"/>
    <x v="1739"/>
    <x v="0"/>
    <x v="1"/>
    <x v="1"/>
    <n v="23.75"/>
  </r>
  <r>
    <d v="2024-01-27T00:00:00"/>
    <x v="2"/>
    <x v="2"/>
    <x v="1"/>
    <n v="48.5"/>
    <n v="6.69"/>
    <n v="2"/>
    <n v="61207.979999999989"/>
    <x v="1"/>
    <n v="6.2496263079222718"/>
    <x v="1740"/>
    <x v="0"/>
    <x v="2"/>
    <x v="0"/>
    <n v="24.25"/>
  </r>
  <r>
    <d v="2024-01-29T00:00:00"/>
    <x v="0"/>
    <x v="2"/>
    <x v="1"/>
    <n v="192.02"/>
    <n v="31.13"/>
    <n v="2"/>
    <n v="61207.979999999989"/>
    <x v="1"/>
    <n v="5.16832637327337"/>
    <x v="1741"/>
    <x v="1"/>
    <x v="2"/>
    <x v="0"/>
    <n v="96.01"/>
  </r>
  <r>
    <d v="2024-04-18T00:00:00"/>
    <x v="2"/>
    <x v="2"/>
    <x v="1"/>
    <n v="23.26"/>
    <n v="48.12"/>
    <n v="1"/>
    <n v="58562.910000000018"/>
    <x v="1"/>
    <n v="-0.51662510390689931"/>
    <x v="1742"/>
    <x v="0"/>
    <x v="1"/>
    <x v="1"/>
    <n v="23.26"/>
  </r>
  <r>
    <d v="2024-01-09T00:00:00"/>
    <x v="3"/>
    <x v="1"/>
    <x v="1"/>
    <n v="112.97"/>
    <n v="16.39"/>
    <n v="1"/>
    <n v="61207.979999999989"/>
    <x v="1"/>
    <n v="5.8926174496644288"/>
    <x v="1743"/>
    <x v="1"/>
    <x v="2"/>
    <x v="0"/>
    <n v="112.97"/>
  </r>
  <r>
    <d v="2024-04-28T00:00:00"/>
    <x v="1"/>
    <x v="1"/>
    <x v="1"/>
    <n v="87.56"/>
    <n v="44.51"/>
    <n v="0"/>
    <n v="58562.910000000018"/>
    <x v="1"/>
    <n v="0.96719838238598077"/>
    <x v="1744"/>
    <x v="1"/>
    <x v="1"/>
    <x v="1"/>
    <n v="0"/>
  </r>
  <r>
    <d v="2024-04-11T00:00:00"/>
    <x v="0"/>
    <x v="0"/>
    <x v="1"/>
    <n v="110.83"/>
    <n v="24.63"/>
    <n v="1"/>
    <n v="58562.910000000018"/>
    <x v="1"/>
    <n v="3.4997969955339019"/>
    <x v="1745"/>
    <x v="0"/>
    <x v="1"/>
    <x v="1"/>
    <n v="110.83"/>
  </r>
  <r>
    <d v="2024-03-08T00:00:00"/>
    <x v="2"/>
    <x v="0"/>
    <x v="0"/>
    <n v="140.37"/>
    <n v="28.28"/>
    <n v="0"/>
    <n v="54735.250000000029"/>
    <x v="0"/>
    <n v="3.9635785007072135"/>
    <x v="1254"/>
    <x v="0"/>
    <x v="3"/>
    <x v="1"/>
    <n v="0"/>
  </r>
  <r>
    <d v="2024-02-17T00:00:00"/>
    <x v="0"/>
    <x v="2"/>
    <x v="0"/>
    <n v="145.44999999999999"/>
    <n v="16.989999999999998"/>
    <n v="2"/>
    <n v="48675.899999999936"/>
    <x v="0"/>
    <n v="7.5609181871689222"/>
    <x v="1746"/>
    <x v="1"/>
    <x v="0"/>
    <x v="0"/>
    <n v="72.724999999999994"/>
  </r>
  <r>
    <d v="2024-02-11T00:00:00"/>
    <x v="2"/>
    <x v="1"/>
    <x v="0"/>
    <n v="158.51"/>
    <n v="16.75"/>
    <n v="3"/>
    <n v="48675.899999999936"/>
    <x v="0"/>
    <n v="8.4632835820895522"/>
    <x v="1747"/>
    <x v="1"/>
    <x v="0"/>
    <x v="0"/>
    <n v="52.836666666666666"/>
  </r>
  <r>
    <d v="2024-02-23T00:00:00"/>
    <x v="4"/>
    <x v="0"/>
    <x v="0"/>
    <n v="142.54"/>
    <n v="0.54"/>
    <n v="0"/>
    <n v="48675.899999999936"/>
    <x v="0"/>
    <n v="262.96296296296293"/>
    <x v="1748"/>
    <x v="0"/>
    <x v="0"/>
    <x v="0"/>
    <n v="0"/>
  </r>
  <r>
    <d v="2024-04-22T00:00:00"/>
    <x v="1"/>
    <x v="0"/>
    <x v="1"/>
    <n v="24.39"/>
    <n v="14.52"/>
    <n v="0"/>
    <n v="58562.910000000018"/>
    <x v="1"/>
    <n v="0.6797520661157026"/>
    <x v="1749"/>
    <x v="1"/>
    <x v="1"/>
    <x v="1"/>
    <n v="0"/>
  </r>
  <r>
    <d v="2024-02-08T00:00:00"/>
    <x v="1"/>
    <x v="1"/>
    <x v="0"/>
    <n v="114.14"/>
    <n v="6.1"/>
    <n v="1"/>
    <n v="48675.899999999936"/>
    <x v="0"/>
    <n v="17.711475409836069"/>
    <x v="1750"/>
    <x v="1"/>
    <x v="0"/>
    <x v="0"/>
    <n v="114.14"/>
  </r>
  <r>
    <d v="2024-04-12T00:00:00"/>
    <x v="4"/>
    <x v="0"/>
    <x v="0"/>
    <n v="26.18"/>
    <n v="32.4"/>
    <n v="2"/>
    <n v="58562.910000000018"/>
    <x v="1"/>
    <n v="-0.19197530864197529"/>
    <x v="1751"/>
    <x v="1"/>
    <x v="1"/>
    <x v="1"/>
    <n v="13.09"/>
  </r>
  <r>
    <d v="2024-04-21T00:00:00"/>
    <x v="3"/>
    <x v="0"/>
    <x v="1"/>
    <n v="181.91"/>
    <n v="13.25"/>
    <n v="3"/>
    <n v="58562.910000000018"/>
    <x v="1"/>
    <n v="12.729056603773584"/>
    <x v="1752"/>
    <x v="1"/>
    <x v="1"/>
    <x v="1"/>
    <n v="60.636666666666663"/>
  </r>
  <r>
    <d v="2024-04-07T00:00:00"/>
    <x v="2"/>
    <x v="2"/>
    <x v="0"/>
    <n v="62.46"/>
    <n v="0.18"/>
    <n v="2"/>
    <n v="58562.910000000018"/>
    <x v="1"/>
    <n v="346"/>
    <x v="1753"/>
    <x v="1"/>
    <x v="1"/>
    <x v="1"/>
    <n v="31.23"/>
  </r>
  <r>
    <d v="2024-02-29T00:00:00"/>
    <x v="4"/>
    <x v="2"/>
    <x v="1"/>
    <n v="42.57"/>
    <n v="5.81"/>
    <n v="3"/>
    <n v="48675.899999999936"/>
    <x v="0"/>
    <n v="6.3270223752151464"/>
    <x v="1754"/>
    <x v="1"/>
    <x v="0"/>
    <x v="0"/>
    <n v="14.19"/>
  </r>
  <r>
    <d v="2024-01-08T00:00:00"/>
    <x v="1"/>
    <x v="2"/>
    <x v="0"/>
    <n v="152.91999999999999"/>
    <n v="26.23"/>
    <n v="3"/>
    <n v="61207.979999999989"/>
    <x v="1"/>
    <n v="4.8299656881433464"/>
    <x v="1755"/>
    <x v="1"/>
    <x v="2"/>
    <x v="0"/>
    <n v="50.973333333333329"/>
  </r>
  <r>
    <d v="2024-03-01T00:00:00"/>
    <x v="0"/>
    <x v="0"/>
    <x v="0"/>
    <n v="187.51"/>
    <n v="15.73"/>
    <n v="1"/>
    <n v="54735.250000000029"/>
    <x v="0"/>
    <n v="10.920534011443102"/>
    <x v="1756"/>
    <x v="0"/>
    <x v="3"/>
    <x v="1"/>
    <n v="187.51"/>
  </r>
  <r>
    <d v="2024-03-19T00:00:00"/>
    <x v="1"/>
    <x v="1"/>
    <x v="1"/>
    <n v="121.43"/>
    <n v="30.14"/>
    <n v="0"/>
    <n v="54735.250000000029"/>
    <x v="0"/>
    <n v="3.0288652952886532"/>
    <x v="1757"/>
    <x v="1"/>
    <x v="3"/>
    <x v="1"/>
    <n v="0"/>
  </r>
  <r>
    <d v="2024-03-27T00:00:00"/>
    <x v="1"/>
    <x v="2"/>
    <x v="0"/>
    <n v="102.25"/>
    <n v="38.32"/>
    <n v="2"/>
    <n v="54735.250000000029"/>
    <x v="0"/>
    <n v="1.6683194154488517"/>
    <x v="1758"/>
    <x v="0"/>
    <x v="3"/>
    <x v="1"/>
    <n v="51.125"/>
  </r>
  <r>
    <d v="2024-03-22T00:00:00"/>
    <x v="0"/>
    <x v="2"/>
    <x v="0"/>
    <n v="104.55"/>
    <n v="38.770000000000003"/>
    <n v="3"/>
    <n v="54735.250000000029"/>
    <x v="0"/>
    <n v="1.6966726850657723"/>
    <x v="1759"/>
    <x v="0"/>
    <x v="3"/>
    <x v="1"/>
    <n v="34.85"/>
  </r>
  <r>
    <d v="2024-01-05T00:00:00"/>
    <x v="4"/>
    <x v="0"/>
    <x v="0"/>
    <n v="117.94"/>
    <n v="38.43"/>
    <n v="0"/>
    <n v="61207.979999999989"/>
    <x v="1"/>
    <n v="2.06895654436638"/>
    <x v="1760"/>
    <x v="0"/>
    <x v="2"/>
    <x v="0"/>
    <n v="0"/>
  </r>
  <r>
    <d v="2024-04-25T00:00:00"/>
    <x v="4"/>
    <x v="0"/>
    <x v="1"/>
    <n v="105.23"/>
    <n v="27.9"/>
    <n v="0"/>
    <n v="58562.910000000018"/>
    <x v="1"/>
    <n v="2.7716845878136205"/>
    <x v="1761"/>
    <x v="0"/>
    <x v="1"/>
    <x v="1"/>
    <n v="0"/>
  </r>
  <r>
    <d v="2024-04-11T00:00:00"/>
    <x v="2"/>
    <x v="1"/>
    <x v="1"/>
    <n v="41.3"/>
    <n v="18.95"/>
    <n v="2"/>
    <n v="58562.910000000018"/>
    <x v="1"/>
    <n v="1.1794195250659629"/>
    <x v="1762"/>
    <x v="0"/>
    <x v="1"/>
    <x v="1"/>
    <n v="20.65"/>
  </r>
  <r>
    <d v="2024-01-18T00:00:00"/>
    <x v="2"/>
    <x v="1"/>
    <x v="1"/>
    <n v="198.68"/>
    <n v="12.39"/>
    <n v="0"/>
    <n v="61207.979999999989"/>
    <x v="1"/>
    <n v="15.035512510088783"/>
    <x v="1763"/>
    <x v="0"/>
    <x v="2"/>
    <x v="0"/>
    <n v="0"/>
  </r>
  <r>
    <d v="2024-04-23T00:00:00"/>
    <x v="1"/>
    <x v="1"/>
    <x v="1"/>
    <n v="180.88"/>
    <n v="33.18"/>
    <n v="2"/>
    <n v="58562.910000000018"/>
    <x v="1"/>
    <n v="4.4514767932489452"/>
    <x v="1764"/>
    <x v="1"/>
    <x v="1"/>
    <x v="1"/>
    <n v="90.44"/>
  </r>
  <r>
    <d v="2024-02-13T00:00:00"/>
    <x v="1"/>
    <x v="1"/>
    <x v="1"/>
    <n v="20"/>
    <n v="13.65"/>
    <n v="3"/>
    <n v="48675.899999999936"/>
    <x v="0"/>
    <n v="0.46520146520146516"/>
    <x v="1765"/>
    <x v="0"/>
    <x v="0"/>
    <x v="0"/>
    <n v="6.666666666666667"/>
  </r>
  <r>
    <d v="2024-03-12T00:00:00"/>
    <x v="4"/>
    <x v="2"/>
    <x v="0"/>
    <n v="171.99"/>
    <n v="35.89"/>
    <n v="0"/>
    <n v="54735.250000000029"/>
    <x v="0"/>
    <n v="3.7921426581220401"/>
    <x v="1766"/>
    <x v="0"/>
    <x v="3"/>
    <x v="1"/>
    <n v="0"/>
  </r>
  <r>
    <d v="2024-02-21T00:00:00"/>
    <x v="3"/>
    <x v="0"/>
    <x v="0"/>
    <n v="44.84"/>
    <n v="6.65"/>
    <n v="3"/>
    <n v="48675.899999999936"/>
    <x v="0"/>
    <n v="5.7428571428571429"/>
    <x v="1767"/>
    <x v="1"/>
    <x v="0"/>
    <x v="0"/>
    <n v="14.946666666666667"/>
  </r>
  <r>
    <d v="2024-02-20T00:00:00"/>
    <x v="4"/>
    <x v="2"/>
    <x v="1"/>
    <n v="26.11"/>
    <n v="30.31"/>
    <n v="2"/>
    <n v="48675.899999999936"/>
    <x v="0"/>
    <n v="-0.13856812933025403"/>
    <x v="1768"/>
    <x v="1"/>
    <x v="0"/>
    <x v="0"/>
    <n v="13.055"/>
  </r>
  <r>
    <d v="2024-03-19T00:00:00"/>
    <x v="2"/>
    <x v="0"/>
    <x v="0"/>
    <n v="123.43"/>
    <n v="9.0500000000000007"/>
    <n v="1"/>
    <n v="54735.250000000029"/>
    <x v="0"/>
    <n v="12.63867403314917"/>
    <x v="1769"/>
    <x v="0"/>
    <x v="3"/>
    <x v="1"/>
    <n v="123.43"/>
  </r>
  <r>
    <d v="2024-04-06T00:00:00"/>
    <x v="0"/>
    <x v="1"/>
    <x v="1"/>
    <n v="115.42"/>
    <n v="37.729999999999997"/>
    <n v="3"/>
    <n v="58562.910000000018"/>
    <x v="1"/>
    <n v="2.0591041611449774"/>
    <x v="1770"/>
    <x v="1"/>
    <x v="1"/>
    <x v="1"/>
    <n v="38.473333333333336"/>
  </r>
  <r>
    <d v="2024-01-24T00:00:00"/>
    <x v="1"/>
    <x v="0"/>
    <x v="0"/>
    <n v="168.74"/>
    <n v="26.76"/>
    <n v="0"/>
    <n v="61207.979999999989"/>
    <x v="1"/>
    <n v="5.3056801195814653"/>
    <x v="1771"/>
    <x v="1"/>
    <x v="2"/>
    <x v="0"/>
    <n v="0"/>
  </r>
  <r>
    <d v="2024-04-13T00:00:00"/>
    <x v="1"/>
    <x v="0"/>
    <x v="1"/>
    <n v="194.04"/>
    <n v="18.48"/>
    <n v="2"/>
    <n v="58562.910000000018"/>
    <x v="1"/>
    <n v="9.5"/>
    <x v="1772"/>
    <x v="0"/>
    <x v="1"/>
    <x v="1"/>
    <n v="97.02"/>
  </r>
  <r>
    <d v="2024-02-22T00:00:00"/>
    <x v="0"/>
    <x v="2"/>
    <x v="1"/>
    <n v="95"/>
    <n v="41.4"/>
    <n v="2"/>
    <n v="48675.899999999936"/>
    <x v="0"/>
    <n v="1.2946859903381642"/>
    <x v="1773"/>
    <x v="1"/>
    <x v="0"/>
    <x v="0"/>
    <n v="47.5"/>
  </r>
  <r>
    <d v="2024-02-23T00:00:00"/>
    <x v="3"/>
    <x v="2"/>
    <x v="0"/>
    <n v="75.23"/>
    <n v="45.13"/>
    <n v="3"/>
    <n v="48675.899999999936"/>
    <x v="0"/>
    <n v="0.66696210946155554"/>
    <x v="203"/>
    <x v="1"/>
    <x v="0"/>
    <x v="0"/>
    <n v="25.076666666666668"/>
  </r>
  <r>
    <d v="2024-04-06T00:00:00"/>
    <x v="2"/>
    <x v="2"/>
    <x v="0"/>
    <n v="166.74"/>
    <n v="18.16"/>
    <n v="2"/>
    <n v="58562.910000000018"/>
    <x v="1"/>
    <n v="8.1817180616740099"/>
    <x v="1774"/>
    <x v="0"/>
    <x v="1"/>
    <x v="1"/>
    <n v="83.37"/>
  </r>
  <r>
    <d v="2024-03-15T00:00:00"/>
    <x v="4"/>
    <x v="0"/>
    <x v="1"/>
    <n v="48.07"/>
    <n v="22.23"/>
    <n v="1"/>
    <n v="54735.250000000029"/>
    <x v="0"/>
    <n v="1.1623931623931623"/>
    <x v="1775"/>
    <x v="0"/>
    <x v="3"/>
    <x v="1"/>
    <n v="48.07"/>
  </r>
  <r>
    <d v="2024-04-18T00:00:00"/>
    <x v="0"/>
    <x v="1"/>
    <x v="0"/>
    <n v="84.24"/>
    <n v="10.23"/>
    <n v="0"/>
    <n v="58562.910000000018"/>
    <x v="1"/>
    <n v="7.2346041055718464"/>
    <x v="1776"/>
    <x v="1"/>
    <x v="1"/>
    <x v="1"/>
    <n v="0"/>
  </r>
  <r>
    <d v="2024-02-23T00:00:00"/>
    <x v="1"/>
    <x v="1"/>
    <x v="0"/>
    <n v="168.65"/>
    <n v="42.22"/>
    <n v="3"/>
    <n v="48675.899999999936"/>
    <x v="0"/>
    <n v="2.994552344860256"/>
    <x v="1777"/>
    <x v="0"/>
    <x v="0"/>
    <x v="0"/>
    <n v="56.216666666666669"/>
  </r>
  <r>
    <d v="2024-01-26T00:00:00"/>
    <x v="4"/>
    <x v="1"/>
    <x v="1"/>
    <n v="21.37"/>
    <n v="9.5500000000000007"/>
    <n v="2"/>
    <n v="61207.979999999989"/>
    <x v="1"/>
    <n v="1.2376963350785339"/>
    <x v="1778"/>
    <x v="1"/>
    <x v="2"/>
    <x v="0"/>
    <n v="10.685"/>
  </r>
  <r>
    <d v="2024-02-01T00:00:00"/>
    <x v="1"/>
    <x v="1"/>
    <x v="0"/>
    <n v="88.78"/>
    <n v="27.48"/>
    <n v="2"/>
    <n v="48675.899999999936"/>
    <x v="0"/>
    <n v="2.2307132459970886"/>
    <x v="1779"/>
    <x v="1"/>
    <x v="0"/>
    <x v="0"/>
    <n v="44.39"/>
  </r>
  <r>
    <d v="2024-01-03T00:00:00"/>
    <x v="3"/>
    <x v="1"/>
    <x v="1"/>
    <n v="191.35"/>
    <n v="36.22"/>
    <n v="1"/>
    <n v="61207.979999999989"/>
    <x v="1"/>
    <n v="4.2829928216454993"/>
    <x v="1780"/>
    <x v="0"/>
    <x v="2"/>
    <x v="0"/>
    <n v="191.35"/>
  </r>
  <r>
    <d v="2024-04-24T00:00:00"/>
    <x v="3"/>
    <x v="0"/>
    <x v="0"/>
    <n v="104.17"/>
    <n v="14.26"/>
    <n v="1"/>
    <n v="58562.910000000018"/>
    <x v="1"/>
    <n v="6.3050490883590458"/>
    <x v="1781"/>
    <x v="0"/>
    <x v="1"/>
    <x v="1"/>
    <n v="104.17"/>
  </r>
  <r>
    <d v="2024-03-28T00:00:00"/>
    <x v="3"/>
    <x v="1"/>
    <x v="0"/>
    <n v="66.42"/>
    <n v="5.84"/>
    <n v="3"/>
    <n v="54735.250000000029"/>
    <x v="0"/>
    <n v="10.373287671232877"/>
    <x v="1782"/>
    <x v="1"/>
    <x v="3"/>
    <x v="1"/>
    <n v="22.14"/>
  </r>
  <r>
    <d v="2024-04-12T00:00:00"/>
    <x v="1"/>
    <x v="1"/>
    <x v="1"/>
    <n v="88.65"/>
    <n v="17.149999999999999"/>
    <n v="0"/>
    <n v="58562.910000000018"/>
    <x v="1"/>
    <n v="4.1690962099125368"/>
    <x v="1783"/>
    <x v="0"/>
    <x v="1"/>
    <x v="1"/>
    <n v="0"/>
  </r>
  <r>
    <d v="2024-03-05T00:00:00"/>
    <x v="2"/>
    <x v="0"/>
    <x v="1"/>
    <n v="161.09"/>
    <n v="17.29"/>
    <n v="2"/>
    <n v="54735.250000000029"/>
    <x v="0"/>
    <n v="8.3169462116830548"/>
    <x v="1784"/>
    <x v="1"/>
    <x v="3"/>
    <x v="1"/>
    <n v="80.545000000000002"/>
  </r>
  <r>
    <d v="2024-04-02T00:00:00"/>
    <x v="0"/>
    <x v="2"/>
    <x v="0"/>
    <n v="79.83"/>
    <n v="48.25"/>
    <n v="0"/>
    <n v="58562.910000000018"/>
    <x v="1"/>
    <n v="0.6545077720207253"/>
    <x v="1785"/>
    <x v="1"/>
    <x v="1"/>
    <x v="1"/>
    <n v="0"/>
  </r>
  <r>
    <d v="2024-02-16T00:00:00"/>
    <x v="3"/>
    <x v="0"/>
    <x v="0"/>
    <n v="190.69"/>
    <n v="15.24"/>
    <n v="0"/>
    <n v="48675.899999999936"/>
    <x v="0"/>
    <n v="11.512467191601049"/>
    <x v="1786"/>
    <x v="0"/>
    <x v="0"/>
    <x v="0"/>
    <n v="0"/>
  </r>
  <r>
    <d v="2024-03-11T00:00:00"/>
    <x v="0"/>
    <x v="2"/>
    <x v="0"/>
    <n v="199.35"/>
    <n v="34.130000000000003"/>
    <n v="3"/>
    <n v="54735.250000000029"/>
    <x v="0"/>
    <n v="4.8409024318781126"/>
    <x v="1787"/>
    <x v="1"/>
    <x v="3"/>
    <x v="1"/>
    <n v="66.45"/>
  </r>
  <r>
    <d v="2024-01-01T00:00:00"/>
    <x v="0"/>
    <x v="0"/>
    <x v="1"/>
    <n v="153.24"/>
    <n v="32.729999999999997"/>
    <n v="2"/>
    <n v="61207.979999999989"/>
    <x v="1"/>
    <n v="3.6819431714023843"/>
    <x v="1788"/>
    <x v="1"/>
    <x v="2"/>
    <x v="0"/>
    <n v="76.62"/>
  </r>
  <r>
    <d v="2024-01-17T00:00:00"/>
    <x v="2"/>
    <x v="2"/>
    <x v="1"/>
    <n v="114.64"/>
    <n v="40.520000000000003"/>
    <n v="0"/>
    <n v="61207.979999999989"/>
    <x v="1"/>
    <n v="1.8292201382033564"/>
    <x v="1789"/>
    <x v="1"/>
    <x v="2"/>
    <x v="0"/>
    <n v="0"/>
  </r>
  <r>
    <d v="2024-01-20T00:00:00"/>
    <x v="2"/>
    <x v="1"/>
    <x v="0"/>
    <n v="134.22999999999999"/>
    <n v="42.09"/>
    <n v="1"/>
    <n v="61207.979999999989"/>
    <x v="1"/>
    <n v="2.1891185554763597"/>
    <x v="1790"/>
    <x v="0"/>
    <x v="2"/>
    <x v="0"/>
    <n v="134.22999999999999"/>
  </r>
  <r>
    <d v="2024-03-14T00:00:00"/>
    <x v="4"/>
    <x v="0"/>
    <x v="1"/>
    <n v="22.59"/>
    <n v="8.8800000000000008"/>
    <n v="3"/>
    <n v="54735.250000000029"/>
    <x v="0"/>
    <n v="1.5439189189189186"/>
    <x v="1791"/>
    <x v="1"/>
    <x v="3"/>
    <x v="1"/>
    <n v="7.53"/>
  </r>
  <r>
    <d v="2024-02-01T00:00:00"/>
    <x v="2"/>
    <x v="0"/>
    <x v="1"/>
    <n v="68.64"/>
    <n v="33.4"/>
    <n v="3"/>
    <n v="48675.899999999936"/>
    <x v="0"/>
    <n v="1.0550898203592816"/>
    <x v="1792"/>
    <x v="0"/>
    <x v="0"/>
    <x v="0"/>
    <n v="22.88"/>
  </r>
  <r>
    <d v="2024-03-26T00:00:00"/>
    <x v="3"/>
    <x v="1"/>
    <x v="1"/>
    <n v="49.12"/>
    <n v="46.39"/>
    <n v="3"/>
    <n v="54735.250000000029"/>
    <x v="0"/>
    <n v="5.8848889846949706E-2"/>
    <x v="1793"/>
    <x v="0"/>
    <x v="3"/>
    <x v="1"/>
    <n v="16.373333333333331"/>
  </r>
  <r>
    <d v="2024-01-06T00:00:00"/>
    <x v="1"/>
    <x v="0"/>
    <x v="1"/>
    <n v="103.77"/>
    <n v="1.89"/>
    <n v="3"/>
    <n v="61207.979999999989"/>
    <x v="1"/>
    <n v="53.904761904761905"/>
    <x v="1794"/>
    <x v="0"/>
    <x v="2"/>
    <x v="0"/>
    <n v="34.589999999999996"/>
  </r>
  <r>
    <d v="2024-02-18T00:00:00"/>
    <x v="0"/>
    <x v="2"/>
    <x v="0"/>
    <n v="146.30000000000001"/>
    <n v="40.85"/>
    <n v="0"/>
    <n v="48675.899999999936"/>
    <x v="0"/>
    <n v="2.5813953488372094"/>
    <x v="1795"/>
    <x v="0"/>
    <x v="0"/>
    <x v="0"/>
    <n v="0"/>
  </r>
  <r>
    <d v="2024-01-24T00:00:00"/>
    <x v="3"/>
    <x v="0"/>
    <x v="1"/>
    <n v="48.42"/>
    <n v="16.73"/>
    <n v="2"/>
    <n v="61207.979999999989"/>
    <x v="1"/>
    <n v="1.8942020322773461"/>
    <x v="1796"/>
    <x v="0"/>
    <x v="2"/>
    <x v="0"/>
    <n v="24.21"/>
  </r>
  <r>
    <d v="2024-03-25T00:00:00"/>
    <x v="0"/>
    <x v="2"/>
    <x v="1"/>
    <n v="123.79"/>
    <n v="37.53"/>
    <n v="2"/>
    <n v="54735.250000000029"/>
    <x v="0"/>
    <n v="2.2984279243272048"/>
    <x v="1797"/>
    <x v="0"/>
    <x v="3"/>
    <x v="1"/>
    <n v="61.895000000000003"/>
  </r>
  <r>
    <d v="2024-03-03T00:00:00"/>
    <x v="3"/>
    <x v="2"/>
    <x v="0"/>
    <n v="163.85"/>
    <n v="23.84"/>
    <n v="2"/>
    <n v="54735.250000000029"/>
    <x v="0"/>
    <n v="5.8729026845637584"/>
    <x v="1798"/>
    <x v="0"/>
    <x v="3"/>
    <x v="1"/>
    <n v="81.924999999999997"/>
  </r>
  <r>
    <d v="2024-03-04T00:00:00"/>
    <x v="0"/>
    <x v="0"/>
    <x v="1"/>
    <n v="23.14"/>
    <n v="33.24"/>
    <n v="3"/>
    <n v="54735.250000000029"/>
    <x v="0"/>
    <n v="-0.3038507821901324"/>
    <x v="1799"/>
    <x v="1"/>
    <x v="3"/>
    <x v="1"/>
    <n v="7.7133333333333338"/>
  </r>
  <r>
    <d v="2024-03-25T00:00:00"/>
    <x v="3"/>
    <x v="1"/>
    <x v="0"/>
    <n v="123.23"/>
    <n v="24.9"/>
    <n v="3"/>
    <n v="54735.250000000029"/>
    <x v="0"/>
    <n v="3.9489959839357436"/>
    <x v="1800"/>
    <x v="1"/>
    <x v="3"/>
    <x v="1"/>
    <n v="41.076666666666668"/>
  </r>
  <r>
    <d v="2024-04-06T00:00:00"/>
    <x v="4"/>
    <x v="2"/>
    <x v="1"/>
    <n v="159.88"/>
    <n v="45.35"/>
    <n v="0"/>
    <n v="58562.910000000018"/>
    <x v="1"/>
    <n v="2.525468577728776"/>
    <x v="1801"/>
    <x v="0"/>
    <x v="1"/>
    <x v="1"/>
    <n v="0"/>
  </r>
  <r>
    <d v="2024-03-09T00:00:00"/>
    <x v="0"/>
    <x v="0"/>
    <x v="1"/>
    <n v="126.04"/>
    <n v="12.97"/>
    <n v="3"/>
    <n v="54735.250000000029"/>
    <x v="0"/>
    <n v="8.7178103315343094"/>
    <x v="1802"/>
    <x v="0"/>
    <x v="3"/>
    <x v="1"/>
    <n v="42.013333333333335"/>
  </r>
  <r>
    <d v="2024-04-12T00:00:00"/>
    <x v="4"/>
    <x v="2"/>
    <x v="0"/>
    <n v="187.2"/>
    <n v="15.46"/>
    <n v="1"/>
    <n v="58562.910000000018"/>
    <x v="1"/>
    <n v="11.108667529107372"/>
    <x v="1803"/>
    <x v="1"/>
    <x v="1"/>
    <x v="1"/>
    <n v="187.2"/>
  </r>
  <r>
    <d v="2024-02-17T00:00:00"/>
    <x v="1"/>
    <x v="0"/>
    <x v="1"/>
    <n v="65.91"/>
    <n v="41.59"/>
    <n v="2"/>
    <n v="48675.899999999936"/>
    <x v="0"/>
    <n v="0.58475595094974731"/>
    <x v="1804"/>
    <x v="1"/>
    <x v="0"/>
    <x v="0"/>
    <n v="32.954999999999998"/>
  </r>
  <r>
    <d v="2024-04-29T00:00:00"/>
    <x v="4"/>
    <x v="1"/>
    <x v="1"/>
    <n v="69.61"/>
    <n v="12.71"/>
    <n v="1"/>
    <n v="58562.910000000018"/>
    <x v="1"/>
    <n v="4.4767899291896143"/>
    <x v="1805"/>
    <x v="0"/>
    <x v="1"/>
    <x v="1"/>
    <n v="69.61"/>
  </r>
  <r>
    <d v="2024-01-26T00:00:00"/>
    <x v="0"/>
    <x v="0"/>
    <x v="1"/>
    <n v="195.84"/>
    <n v="43.16"/>
    <n v="2"/>
    <n v="61207.979999999989"/>
    <x v="1"/>
    <n v="3.5375347544022246"/>
    <x v="1806"/>
    <x v="1"/>
    <x v="2"/>
    <x v="0"/>
    <n v="97.92"/>
  </r>
  <r>
    <d v="2024-01-06T00:00:00"/>
    <x v="4"/>
    <x v="2"/>
    <x v="1"/>
    <n v="64.66"/>
    <n v="41.83"/>
    <n v="3"/>
    <n v="61207.979999999989"/>
    <x v="1"/>
    <n v="0.54578054028209422"/>
    <x v="1807"/>
    <x v="0"/>
    <x v="2"/>
    <x v="0"/>
    <n v="21.553333333333331"/>
  </r>
  <r>
    <d v="2024-01-08T00:00:00"/>
    <x v="1"/>
    <x v="1"/>
    <x v="1"/>
    <n v="32.31"/>
    <n v="36.15"/>
    <n v="2"/>
    <n v="61207.979999999989"/>
    <x v="1"/>
    <n v="-0.10622406639004139"/>
    <x v="1808"/>
    <x v="0"/>
    <x v="2"/>
    <x v="0"/>
    <n v="16.155000000000001"/>
  </r>
  <r>
    <d v="2024-04-20T00:00:00"/>
    <x v="3"/>
    <x v="0"/>
    <x v="1"/>
    <n v="41.05"/>
    <n v="41.41"/>
    <n v="1"/>
    <n v="58562.910000000018"/>
    <x v="1"/>
    <n v="-8.6935522820574609E-3"/>
    <x v="1809"/>
    <x v="1"/>
    <x v="1"/>
    <x v="1"/>
    <n v="41.05"/>
  </r>
  <r>
    <d v="2024-02-06T00:00:00"/>
    <x v="2"/>
    <x v="2"/>
    <x v="1"/>
    <n v="180.63"/>
    <n v="0.42"/>
    <n v="0"/>
    <n v="48675.899999999936"/>
    <x v="0"/>
    <n v="429.07142857142861"/>
    <x v="1810"/>
    <x v="0"/>
    <x v="0"/>
    <x v="0"/>
    <n v="0"/>
  </r>
  <r>
    <d v="2024-04-02T00:00:00"/>
    <x v="1"/>
    <x v="2"/>
    <x v="0"/>
    <n v="148.53"/>
    <n v="11.31"/>
    <n v="2"/>
    <n v="58562.910000000018"/>
    <x v="1"/>
    <n v="12.13262599469496"/>
    <x v="1811"/>
    <x v="0"/>
    <x v="1"/>
    <x v="1"/>
    <n v="74.265000000000001"/>
  </r>
  <r>
    <d v="2024-02-19T00:00:00"/>
    <x v="1"/>
    <x v="0"/>
    <x v="0"/>
    <n v="30.33"/>
    <n v="36.270000000000003"/>
    <n v="3"/>
    <n v="48675.899999999936"/>
    <x v="0"/>
    <n v="-0.16377171215880906"/>
    <x v="1812"/>
    <x v="0"/>
    <x v="0"/>
    <x v="0"/>
    <n v="10.11"/>
  </r>
  <r>
    <d v="2024-02-15T00:00:00"/>
    <x v="3"/>
    <x v="0"/>
    <x v="1"/>
    <n v="49.4"/>
    <n v="41.3"/>
    <n v="0"/>
    <n v="48675.899999999936"/>
    <x v="0"/>
    <n v="0.19612590799031482"/>
    <x v="1813"/>
    <x v="1"/>
    <x v="0"/>
    <x v="0"/>
    <n v="0"/>
  </r>
  <r>
    <d v="2024-03-01T00:00:00"/>
    <x v="2"/>
    <x v="1"/>
    <x v="1"/>
    <n v="128.25"/>
    <n v="5.0599999999999996"/>
    <n v="0"/>
    <n v="54735.250000000029"/>
    <x v="0"/>
    <n v="24.345849802371543"/>
    <x v="1814"/>
    <x v="0"/>
    <x v="3"/>
    <x v="1"/>
    <n v="0"/>
  </r>
  <r>
    <d v="2024-01-24T00:00:00"/>
    <x v="4"/>
    <x v="1"/>
    <x v="1"/>
    <n v="115.09"/>
    <n v="46.51"/>
    <n v="1"/>
    <n v="61207.979999999989"/>
    <x v="1"/>
    <n v="1.4745216082562893"/>
    <x v="1815"/>
    <x v="1"/>
    <x v="2"/>
    <x v="0"/>
    <n v="115.09"/>
  </r>
  <r>
    <d v="2024-03-14T00:00:00"/>
    <x v="3"/>
    <x v="2"/>
    <x v="1"/>
    <n v="70.75"/>
    <n v="44.08"/>
    <n v="0"/>
    <n v="54735.250000000029"/>
    <x v="0"/>
    <n v="0.60503629764065336"/>
    <x v="1816"/>
    <x v="0"/>
    <x v="3"/>
    <x v="1"/>
    <n v="0"/>
  </r>
  <r>
    <d v="2024-02-27T00:00:00"/>
    <x v="3"/>
    <x v="2"/>
    <x v="1"/>
    <n v="113.99"/>
    <n v="44.36"/>
    <n v="2"/>
    <n v="48675.899999999936"/>
    <x v="0"/>
    <n v="1.5696573489630297"/>
    <x v="1817"/>
    <x v="0"/>
    <x v="0"/>
    <x v="0"/>
    <n v="56.994999999999997"/>
  </r>
  <r>
    <d v="2024-03-15T00:00:00"/>
    <x v="4"/>
    <x v="1"/>
    <x v="0"/>
    <n v="36.479999999999997"/>
    <n v="47.03"/>
    <n v="3"/>
    <n v="54735.250000000029"/>
    <x v="0"/>
    <n v="-0.22432489900063798"/>
    <x v="1818"/>
    <x v="0"/>
    <x v="3"/>
    <x v="1"/>
    <n v="12.159999999999998"/>
  </r>
  <r>
    <d v="2024-03-23T00:00:00"/>
    <x v="4"/>
    <x v="1"/>
    <x v="0"/>
    <n v="34.47"/>
    <n v="31.85"/>
    <n v="3"/>
    <n v="54735.250000000029"/>
    <x v="0"/>
    <n v="8.2260596546310752E-2"/>
    <x v="1819"/>
    <x v="1"/>
    <x v="3"/>
    <x v="1"/>
    <n v="11.49"/>
  </r>
  <r>
    <d v="2024-04-17T00:00:00"/>
    <x v="3"/>
    <x v="2"/>
    <x v="1"/>
    <n v="94.75"/>
    <n v="39.909999999999997"/>
    <n v="0"/>
    <n v="58562.910000000018"/>
    <x v="1"/>
    <n v="1.3740917063392635"/>
    <x v="1820"/>
    <x v="0"/>
    <x v="1"/>
    <x v="1"/>
    <n v="0"/>
  </r>
  <r>
    <d v="2024-01-01T00:00:00"/>
    <x v="4"/>
    <x v="1"/>
    <x v="1"/>
    <n v="107.01"/>
    <n v="6.48"/>
    <n v="0"/>
    <n v="61207.979999999989"/>
    <x v="1"/>
    <n v="15.513888888888888"/>
    <x v="1821"/>
    <x v="0"/>
    <x v="2"/>
    <x v="0"/>
    <n v="0"/>
  </r>
  <r>
    <d v="2024-02-13T00:00:00"/>
    <x v="2"/>
    <x v="0"/>
    <x v="1"/>
    <n v="90.38"/>
    <n v="2.88"/>
    <n v="3"/>
    <n v="48675.899999999936"/>
    <x v="0"/>
    <n v="30.381944444444446"/>
    <x v="1822"/>
    <x v="1"/>
    <x v="0"/>
    <x v="0"/>
    <n v="30.126666666666665"/>
  </r>
  <r>
    <d v="2024-01-29T00:00:00"/>
    <x v="0"/>
    <x v="0"/>
    <x v="1"/>
    <n v="171.71"/>
    <n v="4.8"/>
    <n v="3"/>
    <n v="61207.979999999989"/>
    <x v="1"/>
    <n v="34.772916666666667"/>
    <x v="1823"/>
    <x v="1"/>
    <x v="2"/>
    <x v="0"/>
    <n v="57.236666666666672"/>
  </r>
  <r>
    <d v="2024-03-08T00:00:00"/>
    <x v="4"/>
    <x v="2"/>
    <x v="1"/>
    <n v="72.930000000000007"/>
    <n v="27.13"/>
    <n v="2"/>
    <n v="54735.250000000029"/>
    <x v="0"/>
    <n v="1.6881680796166609"/>
    <x v="1824"/>
    <x v="0"/>
    <x v="3"/>
    <x v="1"/>
    <n v="36.465000000000003"/>
  </r>
  <r>
    <d v="2024-02-09T00:00:00"/>
    <x v="1"/>
    <x v="0"/>
    <x v="0"/>
    <n v="118.9"/>
    <n v="35.79"/>
    <n v="0"/>
    <n v="48675.899999999936"/>
    <x v="0"/>
    <n v="2.3221570271025431"/>
    <x v="1825"/>
    <x v="1"/>
    <x v="0"/>
    <x v="0"/>
    <n v="0"/>
  </r>
  <r>
    <d v="2024-02-23T00:00:00"/>
    <x v="2"/>
    <x v="2"/>
    <x v="0"/>
    <n v="62.19"/>
    <n v="12.81"/>
    <n v="2"/>
    <n v="48675.899999999936"/>
    <x v="0"/>
    <n v="3.8548009367681493"/>
    <x v="1826"/>
    <x v="1"/>
    <x v="0"/>
    <x v="0"/>
    <n v="31.094999999999999"/>
  </r>
  <r>
    <d v="2024-01-10T00:00:00"/>
    <x v="1"/>
    <x v="2"/>
    <x v="1"/>
    <n v="83.16"/>
    <n v="16.2"/>
    <n v="1"/>
    <n v="61207.979999999989"/>
    <x v="1"/>
    <n v="4.1333333333333329"/>
    <x v="1827"/>
    <x v="0"/>
    <x v="2"/>
    <x v="0"/>
    <n v="83.16"/>
  </r>
  <r>
    <d v="2024-01-01T00:00:00"/>
    <x v="2"/>
    <x v="0"/>
    <x v="1"/>
    <n v="96"/>
    <n v="24.37"/>
    <n v="3"/>
    <n v="61207.979999999989"/>
    <x v="1"/>
    <n v="2.9392695937628228"/>
    <x v="1828"/>
    <x v="1"/>
    <x v="2"/>
    <x v="0"/>
    <n v="32"/>
  </r>
  <r>
    <d v="2024-02-18T00:00:00"/>
    <x v="1"/>
    <x v="2"/>
    <x v="1"/>
    <n v="192.43"/>
    <n v="40.270000000000003"/>
    <n v="3"/>
    <n v="48675.899999999936"/>
    <x v="0"/>
    <n v="3.7784951576856218"/>
    <x v="1829"/>
    <x v="0"/>
    <x v="0"/>
    <x v="0"/>
    <n v="64.143333333333331"/>
  </r>
  <r>
    <d v="2024-03-28T00:00:00"/>
    <x v="2"/>
    <x v="1"/>
    <x v="1"/>
    <n v="75.2"/>
    <n v="10.58"/>
    <n v="1"/>
    <n v="54735.250000000029"/>
    <x v="0"/>
    <n v="6.1077504725897924"/>
    <x v="1830"/>
    <x v="1"/>
    <x v="3"/>
    <x v="1"/>
    <n v="75.2"/>
  </r>
  <r>
    <d v="2024-03-28T00:00:00"/>
    <x v="4"/>
    <x v="2"/>
    <x v="0"/>
    <n v="54.13"/>
    <n v="29.01"/>
    <n v="3"/>
    <n v="54735.250000000029"/>
    <x v="0"/>
    <n v="0.86590830748017922"/>
    <x v="1831"/>
    <x v="0"/>
    <x v="3"/>
    <x v="1"/>
    <n v="18.043333333333333"/>
  </r>
  <r>
    <d v="2024-01-31T00:00:00"/>
    <x v="2"/>
    <x v="2"/>
    <x v="0"/>
    <n v="178.08"/>
    <n v="27.92"/>
    <n v="1"/>
    <n v="61207.979999999989"/>
    <x v="1"/>
    <n v="5.3782234957020059"/>
    <x v="1832"/>
    <x v="0"/>
    <x v="2"/>
    <x v="0"/>
    <n v="178.08"/>
  </r>
  <r>
    <d v="2024-01-06T00:00:00"/>
    <x v="2"/>
    <x v="0"/>
    <x v="1"/>
    <n v="176.24"/>
    <n v="46.89"/>
    <n v="3"/>
    <n v="61207.979999999989"/>
    <x v="1"/>
    <n v="2.758583919812327"/>
    <x v="1833"/>
    <x v="0"/>
    <x v="2"/>
    <x v="0"/>
    <n v="58.74666666666667"/>
  </r>
  <r>
    <d v="2024-04-28T00:00:00"/>
    <x v="1"/>
    <x v="0"/>
    <x v="1"/>
    <n v="128.75"/>
    <n v="47.39"/>
    <n v="2"/>
    <n v="58562.910000000018"/>
    <x v="1"/>
    <n v="1.716817894070479"/>
    <x v="1834"/>
    <x v="1"/>
    <x v="1"/>
    <x v="1"/>
    <n v="64.375"/>
  </r>
  <r>
    <d v="2024-01-02T00:00:00"/>
    <x v="4"/>
    <x v="2"/>
    <x v="1"/>
    <n v="111.4"/>
    <n v="23.86"/>
    <n v="2"/>
    <n v="61207.979999999989"/>
    <x v="1"/>
    <n v="3.6689019279128252"/>
    <x v="1835"/>
    <x v="0"/>
    <x v="2"/>
    <x v="0"/>
    <n v="55.7"/>
  </r>
  <r>
    <d v="2024-03-30T00:00:00"/>
    <x v="0"/>
    <x v="2"/>
    <x v="1"/>
    <n v="67.819999999999993"/>
    <n v="41.51"/>
    <n v="0"/>
    <n v="54735.250000000029"/>
    <x v="0"/>
    <n v="0.63382317513852071"/>
    <x v="1836"/>
    <x v="1"/>
    <x v="3"/>
    <x v="1"/>
    <n v="0"/>
  </r>
  <r>
    <d v="2024-03-29T00:00:00"/>
    <x v="2"/>
    <x v="1"/>
    <x v="1"/>
    <n v="120.44"/>
    <n v="14.54"/>
    <n v="0"/>
    <n v="54735.250000000029"/>
    <x v="0"/>
    <n v="7.2833562585969744"/>
    <x v="1837"/>
    <x v="1"/>
    <x v="3"/>
    <x v="1"/>
    <n v="0"/>
  </r>
  <r>
    <d v="2024-02-19T00:00:00"/>
    <x v="3"/>
    <x v="2"/>
    <x v="0"/>
    <n v="36.19"/>
    <n v="7.56"/>
    <n v="1"/>
    <n v="48675.899999999936"/>
    <x v="0"/>
    <n v="3.7870370370370372"/>
    <x v="1838"/>
    <x v="0"/>
    <x v="0"/>
    <x v="0"/>
    <n v="36.19"/>
  </r>
  <r>
    <d v="2024-03-10T00:00:00"/>
    <x v="2"/>
    <x v="2"/>
    <x v="0"/>
    <n v="192.73"/>
    <n v="46.21"/>
    <n v="3"/>
    <n v="54735.250000000029"/>
    <x v="0"/>
    <n v="3.1707422635793114"/>
    <x v="1839"/>
    <x v="1"/>
    <x v="3"/>
    <x v="1"/>
    <n v="64.243333333333325"/>
  </r>
  <r>
    <d v="2024-01-08T00:00:00"/>
    <x v="1"/>
    <x v="1"/>
    <x v="1"/>
    <n v="191.92"/>
    <n v="29.34"/>
    <n v="0"/>
    <n v="61207.979999999989"/>
    <x v="1"/>
    <n v="5.5412406271301968"/>
    <x v="1728"/>
    <x v="0"/>
    <x v="2"/>
    <x v="0"/>
    <n v="0"/>
  </r>
  <r>
    <d v="2024-04-28T00:00:00"/>
    <x v="2"/>
    <x v="0"/>
    <x v="1"/>
    <n v="41.25"/>
    <n v="32.31"/>
    <n v="0"/>
    <n v="58562.910000000018"/>
    <x v="1"/>
    <n v="0.27669452181986992"/>
    <x v="1840"/>
    <x v="1"/>
    <x v="1"/>
    <x v="1"/>
    <n v="0"/>
  </r>
  <r>
    <d v="2024-03-11T00:00:00"/>
    <x v="2"/>
    <x v="1"/>
    <x v="1"/>
    <n v="30.85"/>
    <n v="11.07"/>
    <n v="3"/>
    <n v="54735.250000000029"/>
    <x v="0"/>
    <n v="1.7868112014453479"/>
    <x v="1841"/>
    <x v="0"/>
    <x v="3"/>
    <x v="1"/>
    <n v="10.283333333333333"/>
  </r>
  <r>
    <d v="2024-02-16T00:00:00"/>
    <x v="2"/>
    <x v="2"/>
    <x v="1"/>
    <n v="46.64"/>
    <n v="3.54"/>
    <n v="2"/>
    <n v="48675.899999999936"/>
    <x v="0"/>
    <n v="12.175141242937853"/>
    <x v="1842"/>
    <x v="1"/>
    <x v="0"/>
    <x v="0"/>
    <n v="23.32"/>
  </r>
  <r>
    <d v="2024-01-15T00:00:00"/>
    <x v="3"/>
    <x v="2"/>
    <x v="1"/>
    <n v="190.36"/>
    <n v="7.64"/>
    <n v="0"/>
    <n v="61207.979999999989"/>
    <x v="1"/>
    <n v="23.916230366492151"/>
    <x v="1843"/>
    <x v="1"/>
    <x v="2"/>
    <x v="0"/>
    <n v="0"/>
  </r>
  <r>
    <d v="2024-03-20T00:00:00"/>
    <x v="1"/>
    <x v="2"/>
    <x v="0"/>
    <n v="145.68"/>
    <n v="6.27"/>
    <n v="3"/>
    <n v="54735.250000000029"/>
    <x v="0"/>
    <n v="22.23444976076555"/>
    <x v="1504"/>
    <x v="1"/>
    <x v="3"/>
    <x v="1"/>
    <n v="48.56"/>
  </r>
  <r>
    <d v="2024-01-16T00:00:00"/>
    <x v="1"/>
    <x v="1"/>
    <x v="1"/>
    <n v="175.84"/>
    <n v="17.25"/>
    <n v="1"/>
    <n v="61207.979999999989"/>
    <x v="1"/>
    <n v="9.1936231884057982"/>
    <x v="1844"/>
    <x v="1"/>
    <x v="2"/>
    <x v="0"/>
    <n v="175.84"/>
  </r>
  <r>
    <d v="2024-01-29T00:00:00"/>
    <x v="0"/>
    <x v="2"/>
    <x v="0"/>
    <n v="145.24"/>
    <n v="28.21"/>
    <n v="2"/>
    <n v="61207.979999999989"/>
    <x v="1"/>
    <n v="4.148528890464374"/>
    <x v="1845"/>
    <x v="0"/>
    <x v="2"/>
    <x v="0"/>
    <n v="72.62"/>
  </r>
  <r>
    <d v="2024-01-11T00:00:00"/>
    <x v="1"/>
    <x v="1"/>
    <x v="0"/>
    <n v="144.4"/>
    <n v="33.6"/>
    <n v="2"/>
    <n v="61207.979999999989"/>
    <x v="1"/>
    <n v="3.2976190476190479"/>
    <x v="1846"/>
    <x v="1"/>
    <x v="2"/>
    <x v="0"/>
    <n v="72.2"/>
  </r>
  <r>
    <d v="2024-04-25T00:00:00"/>
    <x v="0"/>
    <x v="0"/>
    <x v="0"/>
    <n v="138.72999999999999"/>
    <n v="19.420000000000002"/>
    <n v="3"/>
    <n v="58562.910000000018"/>
    <x v="1"/>
    <n v="6.1436663233779596"/>
    <x v="1847"/>
    <x v="0"/>
    <x v="1"/>
    <x v="1"/>
    <n v="46.243333333333332"/>
  </r>
  <r>
    <d v="2024-02-09T00:00:00"/>
    <x v="1"/>
    <x v="0"/>
    <x v="1"/>
    <n v="22.26"/>
    <n v="25.94"/>
    <n v="2"/>
    <n v="48675.899999999936"/>
    <x v="0"/>
    <n v="-0.14186584425597532"/>
    <x v="1848"/>
    <x v="0"/>
    <x v="0"/>
    <x v="0"/>
    <n v="11.13"/>
  </r>
  <r>
    <d v="2024-04-30T00:00:00"/>
    <x v="2"/>
    <x v="2"/>
    <x v="1"/>
    <n v="32.49"/>
    <n v="12.46"/>
    <n v="0"/>
    <n v="58562.910000000018"/>
    <x v="1"/>
    <n v="1.6075441412520064"/>
    <x v="1849"/>
    <x v="1"/>
    <x v="1"/>
    <x v="1"/>
    <n v="0"/>
  </r>
  <r>
    <d v="2024-03-20T00:00:00"/>
    <x v="0"/>
    <x v="1"/>
    <x v="1"/>
    <n v="89.52"/>
    <n v="21.6"/>
    <n v="0"/>
    <n v="54735.250000000029"/>
    <x v="0"/>
    <n v="3.1444444444444435"/>
    <x v="1850"/>
    <x v="0"/>
    <x v="3"/>
    <x v="1"/>
    <n v="0"/>
  </r>
  <r>
    <d v="2024-03-24T00:00:00"/>
    <x v="2"/>
    <x v="2"/>
    <x v="1"/>
    <n v="143.15"/>
    <n v="11.14"/>
    <n v="3"/>
    <n v="54735.250000000029"/>
    <x v="0"/>
    <n v="11.850089766606821"/>
    <x v="1851"/>
    <x v="0"/>
    <x v="3"/>
    <x v="1"/>
    <n v="47.716666666666669"/>
  </r>
  <r>
    <d v="2024-03-07T00:00:00"/>
    <x v="2"/>
    <x v="2"/>
    <x v="0"/>
    <n v="116.09"/>
    <n v="7.08"/>
    <n v="0"/>
    <n v="54735.250000000029"/>
    <x v="0"/>
    <n v="15.396892655367232"/>
    <x v="1852"/>
    <x v="0"/>
    <x v="3"/>
    <x v="1"/>
    <n v="0"/>
  </r>
  <r>
    <d v="2024-01-31T00:00:00"/>
    <x v="2"/>
    <x v="2"/>
    <x v="0"/>
    <n v="95.89"/>
    <n v="27.34"/>
    <n v="0"/>
    <n v="61207.979999999989"/>
    <x v="1"/>
    <n v="2.5073152889539134"/>
    <x v="1853"/>
    <x v="0"/>
    <x v="2"/>
    <x v="0"/>
    <n v="0"/>
  </r>
  <r>
    <d v="2024-01-05T00:00:00"/>
    <x v="2"/>
    <x v="1"/>
    <x v="0"/>
    <n v="22.64"/>
    <n v="16.07"/>
    <n v="3"/>
    <n v="61207.979999999989"/>
    <x v="1"/>
    <n v="0.40883634100808963"/>
    <x v="1037"/>
    <x v="1"/>
    <x v="2"/>
    <x v="0"/>
    <n v="7.5466666666666669"/>
  </r>
  <r>
    <d v="2024-04-11T00:00:00"/>
    <x v="4"/>
    <x v="0"/>
    <x v="0"/>
    <n v="28.17"/>
    <n v="19.21"/>
    <n v="1"/>
    <n v="58562.910000000018"/>
    <x v="1"/>
    <n v="0.46642373763664763"/>
    <x v="1854"/>
    <x v="0"/>
    <x v="1"/>
    <x v="1"/>
    <n v="28.17"/>
  </r>
  <r>
    <d v="2024-01-04T00:00:00"/>
    <x v="1"/>
    <x v="0"/>
    <x v="1"/>
    <n v="24.27"/>
    <n v="7.94"/>
    <n v="1"/>
    <n v="61207.979999999989"/>
    <x v="1"/>
    <n v="2.0566750629722921"/>
    <x v="1855"/>
    <x v="1"/>
    <x v="2"/>
    <x v="0"/>
    <n v="24.27"/>
  </r>
  <r>
    <d v="2024-04-15T00:00:00"/>
    <x v="0"/>
    <x v="0"/>
    <x v="0"/>
    <n v="133.6"/>
    <n v="26.15"/>
    <n v="1"/>
    <n v="58562.910000000018"/>
    <x v="1"/>
    <n v="4.1089866156787762"/>
    <x v="1856"/>
    <x v="0"/>
    <x v="1"/>
    <x v="1"/>
    <n v="133.6"/>
  </r>
  <r>
    <d v="2024-02-11T00:00:00"/>
    <x v="3"/>
    <x v="0"/>
    <x v="0"/>
    <n v="23.09"/>
    <n v="24.29"/>
    <n v="0"/>
    <n v="48675.899999999936"/>
    <x v="0"/>
    <n v="-4.9403046521202115E-2"/>
    <x v="1857"/>
    <x v="0"/>
    <x v="0"/>
    <x v="0"/>
    <n v="0"/>
  </r>
  <r>
    <d v="2024-03-03T00:00:00"/>
    <x v="2"/>
    <x v="1"/>
    <x v="1"/>
    <n v="68.45"/>
    <n v="13.31"/>
    <n v="1"/>
    <n v="54735.250000000029"/>
    <x v="0"/>
    <n v="4.1427498121712993"/>
    <x v="1858"/>
    <x v="0"/>
    <x v="3"/>
    <x v="1"/>
    <n v="68.45"/>
  </r>
  <r>
    <d v="2024-01-01T00:00:00"/>
    <x v="4"/>
    <x v="2"/>
    <x v="1"/>
    <n v="166.1"/>
    <n v="8.41"/>
    <n v="2"/>
    <n v="61207.979999999989"/>
    <x v="1"/>
    <n v="18.750297265160523"/>
    <x v="1859"/>
    <x v="1"/>
    <x v="2"/>
    <x v="0"/>
    <n v="83.05"/>
  </r>
  <r>
    <d v="2024-03-10T00:00:00"/>
    <x v="1"/>
    <x v="2"/>
    <x v="1"/>
    <n v="172.98"/>
    <n v="49.51"/>
    <n v="2"/>
    <n v="54735.250000000029"/>
    <x v="0"/>
    <n v="2.4938396283579074"/>
    <x v="1860"/>
    <x v="0"/>
    <x v="3"/>
    <x v="1"/>
    <n v="86.49"/>
  </r>
  <r>
    <d v="2024-04-08T00:00:00"/>
    <x v="3"/>
    <x v="0"/>
    <x v="1"/>
    <n v="138.38"/>
    <n v="14.01"/>
    <n v="0"/>
    <n v="58562.910000000018"/>
    <x v="1"/>
    <n v="8.8772305496074235"/>
    <x v="1861"/>
    <x v="1"/>
    <x v="1"/>
    <x v="1"/>
    <n v="0"/>
  </r>
  <r>
    <d v="2024-02-18T00:00:00"/>
    <x v="0"/>
    <x v="1"/>
    <x v="0"/>
    <n v="139.36000000000001"/>
    <n v="19.440000000000001"/>
    <n v="1"/>
    <n v="48675.899999999936"/>
    <x v="0"/>
    <n v="6.1687242798353914"/>
    <x v="1862"/>
    <x v="1"/>
    <x v="0"/>
    <x v="0"/>
    <n v="139.36000000000001"/>
  </r>
  <r>
    <d v="2024-04-29T00:00:00"/>
    <x v="4"/>
    <x v="0"/>
    <x v="0"/>
    <n v="60.35"/>
    <n v="14.92"/>
    <n v="3"/>
    <n v="58562.910000000018"/>
    <x v="1"/>
    <n v="3.0449061662198393"/>
    <x v="1863"/>
    <x v="0"/>
    <x v="1"/>
    <x v="1"/>
    <n v="20.116666666666667"/>
  </r>
  <r>
    <d v="2024-04-22T00:00:00"/>
    <x v="4"/>
    <x v="2"/>
    <x v="1"/>
    <n v="120.97"/>
    <n v="28.01"/>
    <n v="3"/>
    <n v="58562.910000000018"/>
    <x v="1"/>
    <n v="3.318814709032488"/>
    <x v="1864"/>
    <x v="1"/>
    <x v="1"/>
    <x v="1"/>
    <n v="40.323333333333331"/>
  </r>
  <r>
    <d v="2024-03-10T00:00:00"/>
    <x v="3"/>
    <x v="0"/>
    <x v="0"/>
    <n v="152.80000000000001"/>
    <n v="34.51"/>
    <n v="2"/>
    <n v="54735.250000000029"/>
    <x v="0"/>
    <n v="3.4277021153288909"/>
    <x v="1865"/>
    <x v="1"/>
    <x v="3"/>
    <x v="1"/>
    <n v="76.400000000000006"/>
  </r>
  <r>
    <d v="2024-03-31T00:00:00"/>
    <x v="3"/>
    <x v="0"/>
    <x v="1"/>
    <n v="112.32"/>
    <n v="33.26"/>
    <n v="1"/>
    <n v="54735.250000000029"/>
    <x v="0"/>
    <n v="2.37702946482261"/>
    <x v="1866"/>
    <x v="1"/>
    <x v="3"/>
    <x v="1"/>
    <n v="112.32"/>
  </r>
  <r>
    <d v="2024-03-12T00:00:00"/>
    <x v="1"/>
    <x v="0"/>
    <x v="1"/>
    <n v="104.84"/>
    <n v="28.12"/>
    <n v="1"/>
    <n v="54735.250000000029"/>
    <x v="0"/>
    <n v="2.728307254623044"/>
    <x v="1867"/>
    <x v="1"/>
    <x v="3"/>
    <x v="1"/>
    <n v="104.84"/>
  </r>
  <r>
    <d v="2024-02-09T00:00:00"/>
    <x v="4"/>
    <x v="1"/>
    <x v="0"/>
    <n v="189.18"/>
    <n v="1.47"/>
    <n v="1"/>
    <n v="48675.899999999936"/>
    <x v="0"/>
    <n v="127.69387755102042"/>
    <x v="1868"/>
    <x v="1"/>
    <x v="0"/>
    <x v="0"/>
    <n v="189.18"/>
  </r>
  <r>
    <d v="2024-04-30T00:00:00"/>
    <x v="3"/>
    <x v="1"/>
    <x v="0"/>
    <n v="29.94"/>
    <n v="22.04"/>
    <n v="2"/>
    <n v="58562.910000000018"/>
    <x v="1"/>
    <n v="0.35843920145190572"/>
    <x v="1869"/>
    <x v="0"/>
    <x v="1"/>
    <x v="1"/>
    <n v="14.97"/>
  </r>
  <r>
    <d v="2024-04-08T00:00:00"/>
    <x v="4"/>
    <x v="0"/>
    <x v="0"/>
    <n v="162.37"/>
    <n v="47.41"/>
    <n v="0"/>
    <n v="58562.910000000018"/>
    <x v="1"/>
    <n v="2.424804893482388"/>
    <x v="1870"/>
    <x v="0"/>
    <x v="1"/>
    <x v="1"/>
    <n v="0"/>
  </r>
  <r>
    <d v="2024-03-17T00:00:00"/>
    <x v="2"/>
    <x v="2"/>
    <x v="0"/>
    <n v="94.47"/>
    <n v="16.899999999999999"/>
    <n v="0"/>
    <n v="54735.250000000029"/>
    <x v="0"/>
    <n v="4.5899408284023666"/>
    <x v="1871"/>
    <x v="0"/>
    <x v="3"/>
    <x v="1"/>
    <n v="0"/>
  </r>
  <r>
    <d v="2024-04-09T00:00:00"/>
    <x v="4"/>
    <x v="2"/>
    <x v="1"/>
    <n v="162.71"/>
    <n v="32.21"/>
    <n v="1"/>
    <n v="58562.910000000018"/>
    <x v="1"/>
    <n v="4.0515367898168266"/>
    <x v="1872"/>
    <x v="1"/>
    <x v="1"/>
    <x v="1"/>
    <n v="162.71"/>
  </r>
  <r>
    <d v="2024-02-12T00:00:00"/>
    <x v="4"/>
    <x v="2"/>
    <x v="0"/>
    <n v="124.51"/>
    <n v="6.74"/>
    <n v="2"/>
    <n v="48675.899999999936"/>
    <x v="0"/>
    <n v="17.473293768545997"/>
    <x v="1873"/>
    <x v="1"/>
    <x v="0"/>
    <x v="0"/>
    <n v="62.255000000000003"/>
  </r>
  <r>
    <d v="2024-03-13T00:00:00"/>
    <x v="0"/>
    <x v="2"/>
    <x v="1"/>
    <n v="119.55"/>
    <n v="29.19"/>
    <n v="2"/>
    <n v="54735.250000000029"/>
    <x v="0"/>
    <n v="3.0955806783144912"/>
    <x v="1874"/>
    <x v="0"/>
    <x v="3"/>
    <x v="1"/>
    <n v="59.774999999999999"/>
  </r>
  <r>
    <d v="2024-04-30T00:00:00"/>
    <x v="1"/>
    <x v="1"/>
    <x v="0"/>
    <n v="113.79"/>
    <n v="21.28"/>
    <n v="3"/>
    <n v="58562.910000000018"/>
    <x v="1"/>
    <n v="4.3472744360902258"/>
    <x v="1875"/>
    <x v="0"/>
    <x v="1"/>
    <x v="1"/>
    <n v="37.93"/>
  </r>
  <r>
    <d v="2024-04-03T00:00:00"/>
    <x v="3"/>
    <x v="0"/>
    <x v="0"/>
    <n v="21.76"/>
    <n v="13.25"/>
    <n v="3"/>
    <n v="58562.910000000018"/>
    <x v="1"/>
    <n v="0.64226415094339639"/>
    <x v="1876"/>
    <x v="0"/>
    <x v="1"/>
    <x v="1"/>
    <n v="7.2533333333333339"/>
  </r>
  <r>
    <d v="2024-04-14T00:00:00"/>
    <x v="1"/>
    <x v="1"/>
    <x v="1"/>
    <n v="151.47"/>
    <n v="36.840000000000003"/>
    <n v="2"/>
    <n v="58562.910000000018"/>
    <x v="1"/>
    <n v="3.1115635179153092"/>
    <x v="1877"/>
    <x v="0"/>
    <x v="1"/>
    <x v="1"/>
    <n v="75.734999999999999"/>
  </r>
  <r>
    <d v="2024-01-30T00:00:00"/>
    <x v="3"/>
    <x v="0"/>
    <x v="1"/>
    <n v="43.66"/>
    <n v="42.49"/>
    <n v="3"/>
    <n v="61207.979999999989"/>
    <x v="1"/>
    <n v="2.7535890797834656E-2"/>
    <x v="1878"/>
    <x v="0"/>
    <x v="2"/>
    <x v="0"/>
    <n v="14.553333333333333"/>
  </r>
  <r>
    <d v="2024-02-13T00:00:00"/>
    <x v="1"/>
    <x v="0"/>
    <x v="0"/>
    <n v="93.36"/>
    <n v="25.25"/>
    <n v="3"/>
    <n v="48675.899999999936"/>
    <x v="0"/>
    <n v="2.6974257425742576"/>
    <x v="1879"/>
    <x v="0"/>
    <x v="0"/>
    <x v="0"/>
    <n v="31.12"/>
  </r>
  <r>
    <d v="2024-01-29T00:00:00"/>
    <x v="1"/>
    <x v="1"/>
    <x v="1"/>
    <n v="82.27"/>
    <n v="18.239999999999998"/>
    <n v="2"/>
    <n v="61207.979999999989"/>
    <x v="1"/>
    <n v="3.510416666666667"/>
    <x v="1513"/>
    <x v="0"/>
    <x v="2"/>
    <x v="0"/>
    <n v="41.134999999999998"/>
  </r>
  <r>
    <d v="2024-01-17T00:00:00"/>
    <x v="3"/>
    <x v="1"/>
    <x v="1"/>
    <n v="54.54"/>
    <n v="5.86"/>
    <n v="2"/>
    <n v="61207.979999999989"/>
    <x v="1"/>
    <n v="8.3071672354948802"/>
    <x v="1880"/>
    <x v="0"/>
    <x v="2"/>
    <x v="0"/>
    <n v="27.27"/>
  </r>
  <r>
    <d v="2024-02-07T00:00:00"/>
    <x v="0"/>
    <x v="0"/>
    <x v="1"/>
    <n v="115.51"/>
    <n v="4.42"/>
    <n v="3"/>
    <n v="48675.899999999936"/>
    <x v="0"/>
    <n v="25.133484162895929"/>
    <x v="1881"/>
    <x v="1"/>
    <x v="0"/>
    <x v="0"/>
    <n v="38.503333333333337"/>
  </r>
  <r>
    <d v="2024-02-29T00:00:00"/>
    <x v="2"/>
    <x v="0"/>
    <x v="1"/>
    <n v="155.11000000000001"/>
    <n v="20.6"/>
    <n v="2"/>
    <n v="48675.899999999936"/>
    <x v="0"/>
    <n v="6.5296116504854371"/>
    <x v="1882"/>
    <x v="1"/>
    <x v="0"/>
    <x v="0"/>
    <n v="77.555000000000007"/>
  </r>
  <r>
    <d v="2024-02-23T00:00:00"/>
    <x v="4"/>
    <x v="0"/>
    <x v="0"/>
    <n v="81.95"/>
    <n v="27.47"/>
    <n v="0"/>
    <n v="48675.899999999936"/>
    <x v="0"/>
    <n v="1.9832544594102659"/>
    <x v="1883"/>
    <x v="1"/>
    <x v="0"/>
    <x v="0"/>
    <n v="0"/>
  </r>
  <r>
    <d v="2024-02-16T00:00:00"/>
    <x v="4"/>
    <x v="0"/>
    <x v="1"/>
    <n v="154.4"/>
    <n v="19.53"/>
    <n v="2"/>
    <n v="48675.899999999936"/>
    <x v="0"/>
    <n v="6.905785970302099"/>
    <x v="1884"/>
    <x v="0"/>
    <x v="0"/>
    <x v="0"/>
    <n v="77.2"/>
  </r>
  <r>
    <d v="2024-04-28T00:00:00"/>
    <x v="3"/>
    <x v="1"/>
    <x v="0"/>
    <n v="72.44"/>
    <n v="37.78"/>
    <n v="0"/>
    <n v="58562.910000000018"/>
    <x v="1"/>
    <n v="0.91741662255161449"/>
    <x v="1885"/>
    <x v="0"/>
    <x v="1"/>
    <x v="1"/>
    <n v="0"/>
  </r>
  <r>
    <d v="2024-04-18T00:00:00"/>
    <x v="1"/>
    <x v="2"/>
    <x v="0"/>
    <n v="101.46"/>
    <n v="33.82"/>
    <n v="3"/>
    <n v="58562.910000000018"/>
    <x v="1"/>
    <n v="1.9999999999999996"/>
    <x v="1886"/>
    <x v="1"/>
    <x v="1"/>
    <x v="1"/>
    <n v="33.82"/>
  </r>
  <r>
    <d v="2024-04-24T00:00:00"/>
    <x v="2"/>
    <x v="1"/>
    <x v="1"/>
    <n v="100.86"/>
    <n v="4.0199999999999996"/>
    <n v="0"/>
    <n v="58562.910000000018"/>
    <x v="1"/>
    <n v="24.089552238805975"/>
    <x v="1887"/>
    <x v="0"/>
    <x v="1"/>
    <x v="1"/>
    <n v="0"/>
  </r>
  <r>
    <d v="2024-04-17T00:00:00"/>
    <x v="1"/>
    <x v="2"/>
    <x v="0"/>
    <n v="137.61000000000001"/>
    <n v="40.94"/>
    <n v="1"/>
    <n v="58562.910000000018"/>
    <x v="1"/>
    <n v="2.3612603810454327"/>
    <x v="1888"/>
    <x v="0"/>
    <x v="1"/>
    <x v="1"/>
    <n v="137.61000000000001"/>
  </r>
  <r>
    <d v="2024-02-23T00:00:00"/>
    <x v="0"/>
    <x v="1"/>
    <x v="0"/>
    <n v="198.64"/>
    <n v="41.92"/>
    <n v="2"/>
    <n v="48675.899999999936"/>
    <x v="0"/>
    <n v="3.7385496183206097"/>
    <x v="1889"/>
    <x v="1"/>
    <x v="0"/>
    <x v="0"/>
    <n v="99.32"/>
  </r>
  <r>
    <d v="2024-02-22T00:00:00"/>
    <x v="2"/>
    <x v="1"/>
    <x v="0"/>
    <n v="187.8"/>
    <n v="49.27"/>
    <n v="2"/>
    <n v="48675.899999999936"/>
    <x v="0"/>
    <n v="2.8116500913334685"/>
    <x v="1890"/>
    <x v="0"/>
    <x v="0"/>
    <x v="0"/>
    <n v="93.9"/>
  </r>
  <r>
    <d v="2024-04-01T00:00:00"/>
    <x v="4"/>
    <x v="2"/>
    <x v="1"/>
    <n v="94.02"/>
    <n v="30.6"/>
    <n v="0"/>
    <n v="58562.910000000018"/>
    <x v="1"/>
    <n v="2.0725490196078429"/>
    <x v="1891"/>
    <x v="0"/>
    <x v="1"/>
    <x v="1"/>
    <n v="0"/>
  </r>
  <r>
    <d v="2024-04-24T00:00:00"/>
    <x v="0"/>
    <x v="2"/>
    <x v="1"/>
    <n v="104.78"/>
    <n v="37.67"/>
    <n v="3"/>
    <n v="58562.910000000018"/>
    <x v="1"/>
    <n v="1.781523758959384"/>
    <x v="1892"/>
    <x v="0"/>
    <x v="1"/>
    <x v="1"/>
    <n v="34.926666666666669"/>
  </r>
  <r>
    <d v="2024-03-25T00:00:00"/>
    <x v="3"/>
    <x v="1"/>
    <x v="1"/>
    <n v="164.98"/>
    <n v="14.96"/>
    <n v="0"/>
    <n v="54735.250000000029"/>
    <x v="0"/>
    <n v="10.028074866310158"/>
    <x v="1893"/>
    <x v="1"/>
    <x v="3"/>
    <x v="1"/>
    <n v="0"/>
  </r>
  <r>
    <d v="2024-01-09T00:00:00"/>
    <x v="2"/>
    <x v="0"/>
    <x v="1"/>
    <n v="96.12"/>
    <n v="28.55"/>
    <n v="0"/>
    <n v="61207.979999999989"/>
    <x v="1"/>
    <n v="2.3667250437828375"/>
    <x v="1894"/>
    <x v="1"/>
    <x v="2"/>
    <x v="0"/>
    <n v="0"/>
  </r>
  <r>
    <d v="2024-02-25T00:00:00"/>
    <x v="0"/>
    <x v="1"/>
    <x v="1"/>
    <n v="110.28"/>
    <n v="22.62"/>
    <n v="3"/>
    <n v="48675.899999999936"/>
    <x v="0"/>
    <n v="3.875331564986737"/>
    <x v="1895"/>
    <x v="1"/>
    <x v="0"/>
    <x v="0"/>
    <n v="36.76"/>
  </r>
  <r>
    <d v="2024-03-15T00:00:00"/>
    <x v="3"/>
    <x v="2"/>
    <x v="1"/>
    <n v="82.31"/>
    <n v="9.3800000000000008"/>
    <n v="3"/>
    <n v="54735.250000000029"/>
    <x v="0"/>
    <n v="7.7750533049040511"/>
    <x v="1896"/>
    <x v="1"/>
    <x v="3"/>
    <x v="1"/>
    <n v="27.436666666666667"/>
  </r>
  <r>
    <d v="2024-02-08T00:00:00"/>
    <x v="3"/>
    <x v="1"/>
    <x v="1"/>
    <n v="156.85"/>
    <n v="11.9"/>
    <n v="1"/>
    <n v="48675.899999999936"/>
    <x v="0"/>
    <n v="12.180672268907562"/>
    <x v="1897"/>
    <x v="0"/>
    <x v="0"/>
    <x v="0"/>
    <n v="156.85"/>
  </r>
  <r>
    <d v="2024-04-22T00:00:00"/>
    <x v="4"/>
    <x v="1"/>
    <x v="1"/>
    <n v="146.25"/>
    <n v="45.58"/>
    <n v="0"/>
    <n v="58562.910000000018"/>
    <x v="1"/>
    <n v="2.2086441421676173"/>
    <x v="1898"/>
    <x v="0"/>
    <x v="1"/>
    <x v="1"/>
    <n v="0"/>
  </r>
  <r>
    <d v="2024-01-04T00:00:00"/>
    <x v="3"/>
    <x v="1"/>
    <x v="1"/>
    <n v="193.47"/>
    <n v="34.43"/>
    <n v="3"/>
    <n v="61207.979999999989"/>
    <x v="1"/>
    <n v="4.6192274179494621"/>
    <x v="1899"/>
    <x v="0"/>
    <x v="2"/>
    <x v="0"/>
    <n v="64.489999999999995"/>
  </r>
  <r>
    <d v="2024-03-05T00:00:00"/>
    <x v="3"/>
    <x v="2"/>
    <x v="1"/>
    <n v="82.99"/>
    <n v="40.74"/>
    <n v="0"/>
    <n v="54735.250000000029"/>
    <x v="0"/>
    <n v="1.0370643102601864"/>
    <x v="1900"/>
    <x v="0"/>
    <x v="3"/>
    <x v="1"/>
    <n v="0"/>
  </r>
  <r>
    <d v="2024-04-06T00:00:00"/>
    <x v="2"/>
    <x v="2"/>
    <x v="1"/>
    <n v="34.4"/>
    <n v="13.01"/>
    <n v="3"/>
    <n v="58562.910000000018"/>
    <x v="1"/>
    <n v="1.6441199077632591"/>
    <x v="1901"/>
    <x v="0"/>
    <x v="1"/>
    <x v="1"/>
    <n v="11.466666666666667"/>
  </r>
  <r>
    <d v="2024-04-16T00:00:00"/>
    <x v="0"/>
    <x v="1"/>
    <x v="1"/>
    <n v="100.38"/>
    <n v="19.13"/>
    <n v="2"/>
    <n v="58562.910000000018"/>
    <x v="1"/>
    <n v="4.2472556194458964"/>
    <x v="1902"/>
    <x v="1"/>
    <x v="1"/>
    <x v="1"/>
    <n v="50.19"/>
  </r>
  <r>
    <d v="2024-03-18T00:00:00"/>
    <x v="4"/>
    <x v="2"/>
    <x v="1"/>
    <n v="177.75"/>
    <n v="3.7"/>
    <n v="2"/>
    <n v="54735.250000000029"/>
    <x v="0"/>
    <n v="47.04054054054054"/>
    <x v="1903"/>
    <x v="1"/>
    <x v="3"/>
    <x v="1"/>
    <n v="88.875"/>
  </r>
  <r>
    <d v="2024-04-17T00:00:00"/>
    <x v="4"/>
    <x v="1"/>
    <x v="0"/>
    <n v="162.62"/>
    <n v="11.62"/>
    <n v="2"/>
    <n v="58562.910000000018"/>
    <x v="1"/>
    <n v="12.994836488812393"/>
    <x v="1904"/>
    <x v="1"/>
    <x v="1"/>
    <x v="1"/>
    <n v="81.31"/>
  </r>
  <r>
    <d v="2024-03-07T00:00:00"/>
    <x v="2"/>
    <x v="0"/>
    <x v="0"/>
    <n v="22.83"/>
    <n v="30.37"/>
    <n v="1"/>
    <n v="54735.250000000029"/>
    <x v="0"/>
    <n v="-0.24827132038195596"/>
    <x v="1905"/>
    <x v="1"/>
    <x v="3"/>
    <x v="1"/>
    <n v="22.83"/>
  </r>
  <r>
    <d v="2024-03-19T00:00:00"/>
    <x v="1"/>
    <x v="1"/>
    <x v="0"/>
    <n v="117.54"/>
    <n v="46.26"/>
    <n v="0"/>
    <n v="54735.250000000029"/>
    <x v="0"/>
    <n v="1.5408560311284047"/>
    <x v="1906"/>
    <x v="0"/>
    <x v="3"/>
    <x v="1"/>
    <n v="0"/>
  </r>
  <r>
    <d v="2024-04-24T00:00:00"/>
    <x v="0"/>
    <x v="1"/>
    <x v="0"/>
    <n v="118.5"/>
    <n v="44.32"/>
    <n v="3"/>
    <n v="58562.910000000018"/>
    <x v="1"/>
    <n v="1.6737364620938631"/>
    <x v="1907"/>
    <x v="0"/>
    <x v="1"/>
    <x v="1"/>
    <n v="39.5"/>
  </r>
  <r>
    <d v="2024-03-04T00:00:00"/>
    <x v="0"/>
    <x v="1"/>
    <x v="1"/>
    <n v="123.68"/>
    <n v="15.57"/>
    <n v="0"/>
    <n v="54735.250000000029"/>
    <x v="0"/>
    <n v="6.9434810533076439"/>
    <x v="1908"/>
    <x v="1"/>
    <x v="3"/>
    <x v="1"/>
    <n v="0"/>
  </r>
  <r>
    <d v="2024-03-03T00:00:00"/>
    <x v="1"/>
    <x v="1"/>
    <x v="0"/>
    <n v="105.2"/>
    <n v="5.74"/>
    <n v="1"/>
    <n v="54735.250000000029"/>
    <x v="0"/>
    <n v="17.327526132404181"/>
    <x v="1909"/>
    <x v="0"/>
    <x v="3"/>
    <x v="1"/>
    <n v="105.2"/>
  </r>
  <r>
    <d v="2024-03-26T00:00:00"/>
    <x v="4"/>
    <x v="2"/>
    <x v="1"/>
    <n v="118.76"/>
    <n v="44.97"/>
    <n v="2"/>
    <n v="54735.250000000029"/>
    <x v="0"/>
    <n v="1.6408716922392708"/>
    <x v="1910"/>
    <x v="1"/>
    <x v="3"/>
    <x v="1"/>
    <n v="59.38"/>
  </r>
  <r>
    <d v="2024-03-03T00:00:00"/>
    <x v="0"/>
    <x v="1"/>
    <x v="1"/>
    <n v="58.53"/>
    <n v="1.0900000000000001"/>
    <n v="2"/>
    <n v="54735.250000000029"/>
    <x v="0"/>
    <n v="52.697247706422012"/>
    <x v="1911"/>
    <x v="1"/>
    <x v="3"/>
    <x v="1"/>
    <n v="29.265000000000001"/>
  </r>
  <r>
    <d v="2024-04-14T00:00:00"/>
    <x v="0"/>
    <x v="1"/>
    <x v="1"/>
    <n v="171.14"/>
    <n v="48.17"/>
    <n v="3"/>
    <n v="58562.910000000018"/>
    <x v="1"/>
    <n v="2.5528337139298314"/>
    <x v="1912"/>
    <x v="1"/>
    <x v="1"/>
    <x v="1"/>
    <n v="57.04666666666666"/>
  </r>
  <r>
    <d v="2024-03-02T00:00:00"/>
    <x v="1"/>
    <x v="2"/>
    <x v="0"/>
    <n v="111.12"/>
    <n v="6.8"/>
    <n v="3"/>
    <n v="54735.250000000029"/>
    <x v="0"/>
    <n v="15.341176470588238"/>
    <x v="1913"/>
    <x v="0"/>
    <x v="3"/>
    <x v="1"/>
    <n v="37.04"/>
  </r>
  <r>
    <d v="2024-03-28T00:00:00"/>
    <x v="1"/>
    <x v="0"/>
    <x v="1"/>
    <n v="101.75"/>
    <n v="35.08"/>
    <n v="3"/>
    <n v="54735.250000000029"/>
    <x v="0"/>
    <n v="1.9005131128848347"/>
    <x v="1914"/>
    <x v="0"/>
    <x v="3"/>
    <x v="1"/>
    <n v="33.916666666666664"/>
  </r>
  <r>
    <d v="2024-04-04T00:00:00"/>
    <x v="0"/>
    <x v="1"/>
    <x v="0"/>
    <n v="139.25"/>
    <n v="5.64"/>
    <n v="2"/>
    <n v="58562.910000000018"/>
    <x v="1"/>
    <n v="23.689716312056742"/>
    <x v="1915"/>
    <x v="1"/>
    <x v="1"/>
    <x v="1"/>
    <n v="69.625"/>
  </r>
  <r>
    <d v="2024-04-13T00:00:00"/>
    <x v="3"/>
    <x v="0"/>
    <x v="1"/>
    <n v="42.39"/>
    <n v="18.079999999999998"/>
    <n v="3"/>
    <n v="58562.910000000018"/>
    <x v="1"/>
    <n v="1.3445796460176993"/>
    <x v="1916"/>
    <x v="1"/>
    <x v="1"/>
    <x v="1"/>
    <n v="14.13"/>
  </r>
  <r>
    <d v="2024-02-15T00:00:00"/>
    <x v="3"/>
    <x v="1"/>
    <x v="0"/>
    <n v="187.93"/>
    <n v="7.05"/>
    <n v="2"/>
    <n v="48675.899999999936"/>
    <x v="0"/>
    <n v="25.656737588652483"/>
    <x v="1917"/>
    <x v="0"/>
    <x v="0"/>
    <x v="0"/>
    <n v="93.965000000000003"/>
  </r>
  <r>
    <d v="2024-02-22T00:00:00"/>
    <x v="1"/>
    <x v="1"/>
    <x v="1"/>
    <n v="172.5"/>
    <n v="8.17"/>
    <n v="0"/>
    <n v="48675.899999999936"/>
    <x v="0"/>
    <n v="20.113831089351287"/>
    <x v="1918"/>
    <x v="1"/>
    <x v="0"/>
    <x v="0"/>
    <n v="0"/>
  </r>
  <r>
    <d v="2024-04-14T00:00:00"/>
    <x v="3"/>
    <x v="0"/>
    <x v="0"/>
    <n v="151.26"/>
    <n v="49.56"/>
    <n v="0"/>
    <n v="58562.910000000018"/>
    <x v="1"/>
    <n v="2.0520581113801448"/>
    <x v="1919"/>
    <x v="1"/>
    <x v="1"/>
    <x v="1"/>
    <n v="0"/>
  </r>
  <r>
    <d v="2024-03-12T00:00:00"/>
    <x v="2"/>
    <x v="0"/>
    <x v="0"/>
    <n v="170.72"/>
    <n v="21.57"/>
    <n v="1"/>
    <n v="54735.250000000029"/>
    <x v="0"/>
    <n v="6.914696337505795"/>
    <x v="1920"/>
    <x v="0"/>
    <x v="3"/>
    <x v="1"/>
    <n v="170.72"/>
  </r>
  <r>
    <d v="2024-01-04T00:00:00"/>
    <x v="2"/>
    <x v="2"/>
    <x v="1"/>
    <n v="190.15"/>
    <n v="46.07"/>
    <n v="0"/>
    <n v="61207.979999999989"/>
    <x v="1"/>
    <n v="3.1274148035598004"/>
    <x v="1921"/>
    <x v="1"/>
    <x v="2"/>
    <x v="0"/>
    <n v="0"/>
  </r>
  <r>
    <d v="2024-04-11T00:00:00"/>
    <x v="0"/>
    <x v="1"/>
    <x v="0"/>
    <n v="158.84"/>
    <n v="32.17"/>
    <n v="3"/>
    <n v="58562.910000000018"/>
    <x v="1"/>
    <n v="3.937519428038545"/>
    <x v="1922"/>
    <x v="0"/>
    <x v="1"/>
    <x v="1"/>
    <n v="52.946666666666665"/>
  </r>
  <r>
    <d v="2024-03-17T00:00:00"/>
    <x v="0"/>
    <x v="2"/>
    <x v="0"/>
    <n v="81.489999999999995"/>
    <n v="32.619999999999997"/>
    <n v="2"/>
    <n v="54735.250000000029"/>
    <x v="0"/>
    <n v="1.4981606376456162"/>
    <x v="1923"/>
    <x v="0"/>
    <x v="3"/>
    <x v="1"/>
    <n v="40.744999999999997"/>
  </r>
  <r>
    <d v="2024-04-12T00:00:00"/>
    <x v="4"/>
    <x v="2"/>
    <x v="1"/>
    <n v="28.92"/>
    <n v="36.99"/>
    <n v="0"/>
    <n v="58562.910000000018"/>
    <x v="1"/>
    <n v="-0.21816707218167072"/>
    <x v="1924"/>
    <x v="1"/>
    <x v="1"/>
    <x v="1"/>
    <n v="0"/>
  </r>
  <r>
    <d v="2024-04-28T00:00:00"/>
    <x v="3"/>
    <x v="1"/>
    <x v="0"/>
    <n v="75.05"/>
    <n v="43.29"/>
    <n v="3"/>
    <n v="58562.910000000018"/>
    <x v="1"/>
    <n v="0.73365673365673367"/>
    <x v="1925"/>
    <x v="1"/>
    <x v="1"/>
    <x v="1"/>
    <n v="25.016666666666666"/>
  </r>
  <r>
    <d v="2024-03-22T00:00:00"/>
    <x v="1"/>
    <x v="1"/>
    <x v="0"/>
    <n v="158.76"/>
    <n v="43.85"/>
    <n v="3"/>
    <n v="54735.250000000029"/>
    <x v="0"/>
    <n v="2.6205245153933863"/>
    <x v="1926"/>
    <x v="1"/>
    <x v="3"/>
    <x v="1"/>
    <n v="52.919999999999995"/>
  </r>
  <r>
    <d v="2024-03-06T00:00:00"/>
    <x v="0"/>
    <x v="0"/>
    <x v="1"/>
    <n v="28.39"/>
    <n v="44.1"/>
    <n v="3"/>
    <n v="54735.250000000029"/>
    <x v="0"/>
    <n v="-0.3562358276643991"/>
    <x v="1927"/>
    <x v="0"/>
    <x v="3"/>
    <x v="1"/>
    <n v="9.4633333333333329"/>
  </r>
  <r>
    <d v="2024-01-15T00:00:00"/>
    <x v="1"/>
    <x v="0"/>
    <x v="1"/>
    <n v="151.68"/>
    <n v="16.600000000000001"/>
    <n v="1"/>
    <n v="61207.979999999989"/>
    <x v="1"/>
    <n v="8.137349397590361"/>
    <x v="1928"/>
    <x v="1"/>
    <x v="2"/>
    <x v="0"/>
    <n v="151.68"/>
  </r>
  <r>
    <d v="2024-02-20T00:00:00"/>
    <x v="3"/>
    <x v="1"/>
    <x v="0"/>
    <n v="70.72"/>
    <n v="22.23"/>
    <n v="3"/>
    <n v="48675.899999999936"/>
    <x v="0"/>
    <n v="2.1812865497076022"/>
    <x v="1929"/>
    <x v="1"/>
    <x v="0"/>
    <x v="0"/>
    <n v="23.573333333333334"/>
  </r>
  <r>
    <d v="2024-04-07T00:00:00"/>
    <x v="2"/>
    <x v="0"/>
    <x v="1"/>
    <n v="163.26"/>
    <n v="5.16"/>
    <n v="2"/>
    <n v="58562.910000000018"/>
    <x v="1"/>
    <n v="30.639534883720927"/>
    <x v="1930"/>
    <x v="1"/>
    <x v="1"/>
    <x v="1"/>
    <n v="81.63"/>
  </r>
  <r>
    <d v="2024-01-25T00:00:00"/>
    <x v="4"/>
    <x v="0"/>
    <x v="0"/>
    <n v="45.44"/>
    <n v="17.97"/>
    <n v="1"/>
    <n v="61207.979999999989"/>
    <x v="1"/>
    <n v="1.528658875904285"/>
    <x v="1931"/>
    <x v="0"/>
    <x v="2"/>
    <x v="0"/>
    <n v="45.44"/>
  </r>
  <r>
    <d v="2024-03-14T00:00:00"/>
    <x v="3"/>
    <x v="1"/>
    <x v="1"/>
    <n v="100.3"/>
    <n v="10.9"/>
    <n v="0"/>
    <n v="54735.250000000029"/>
    <x v="0"/>
    <n v="8.2018348623853203"/>
    <x v="1932"/>
    <x v="0"/>
    <x v="3"/>
    <x v="1"/>
    <n v="0"/>
  </r>
  <r>
    <d v="2024-01-10T00:00:00"/>
    <x v="4"/>
    <x v="2"/>
    <x v="0"/>
    <n v="102.01"/>
    <n v="12.16"/>
    <n v="2"/>
    <n v="61207.979999999989"/>
    <x v="1"/>
    <n v="7.3889802631578956"/>
    <x v="1933"/>
    <x v="1"/>
    <x v="2"/>
    <x v="0"/>
    <n v="51.005000000000003"/>
  </r>
  <r>
    <d v="2024-01-19T00:00:00"/>
    <x v="4"/>
    <x v="2"/>
    <x v="1"/>
    <n v="111.51"/>
    <n v="17.39"/>
    <n v="1"/>
    <n v="61207.979999999989"/>
    <x v="1"/>
    <n v="5.4123059229442205"/>
    <x v="1934"/>
    <x v="0"/>
    <x v="2"/>
    <x v="0"/>
    <n v="111.51"/>
  </r>
  <r>
    <d v="2024-03-15T00:00:00"/>
    <x v="0"/>
    <x v="2"/>
    <x v="0"/>
    <n v="30.93"/>
    <n v="9.9600000000000009"/>
    <n v="2"/>
    <n v="54735.250000000029"/>
    <x v="0"/>
    <n v="2.1054216867469875"/>
    <x v="1935"/>
    <x v="1"/>
    <x v="3"/>
    <x v="1"/>
    <n v="15.465"/>
  </r>
  <r>
    <d v="2024-02-25T00:00:00"/>
    <x v="1"/>
    <x v="1"/>
    <x v="0"/>
    <n v="73.209999999999994"/>
    <n v="17.68"/>
    <n v="1"/>
    <n v="48675.899999999936"/>
    <x v="0"/>
    <n v="3.1408371040723977"/>
    <x v="1936"/>
    <x v="0"/>
    <x v="0"/>
    <x v="0"/>
    <n v="73.209999999999994"/>
  </r>
  <r>
    <d v="2024-03-01T00:00:00"/>
    <x v="2"/>
    <x v="2"/>
    <x v="1"/>
    <n v="87.25"/>
    <n v="43.81"/>
    <n v="1"/>
    <n v="54735.250000000029"/>
    <x v="0"/>
    <n v="0.99155443962565615"/>
    <x v="1937"/>
    <x v="0"/>
    <x v="3"/>
    <x v="1"/>
    <n v="87.25"/>
  </r>
  <r>
    <d v="2024-04-30T00:00:00"/>
    <x v="0"/>
    <x v="0"/>
    <x v="1"/>
    <n v="177.51"/>
    <n v="48.56"/>
    <n v="2"/>
    <n v="58562.910000000018"/>
    <x v="1"/>
    <n v="2.6554777594728169"/>
    <x v="1938"/>
    <x v="1"/>
    <x v="1"/>
    <x v="1"/>
    <n v="88.754999999999995"/>
  </r>
  <r>
    <d v="2024-04-22T00:00:00"/>
    <x v="4"/>
    <x v="1"/>
    <x v="1"/>
    <n v="83.74"/>
    <n v="39.380000000000003"/>
    <n v="1"/>
    <n v="58562.910000000018"/>
    <x v="1"/>
    <n v="1.126460132046724"/>
    <x v="1939"/>
    <x v="1"/>
    <x v="1"/>
    <x v="1"/>
    <n v="83.74"/>
  </r>
  <r>
    <d v="2024-01-15T00:00:00"/>
    <x v="1"/>
    <x v="1"/>
    <x v="0"/>
    <n v="28.91"/>
    <n v="45.54"/>
    <n v="3"/>
    <n v="61207.979999999989"/>
    <x v="1"/>
    <n v="-0.36517347386912602"/>
    <x v="1940"/>
    <x v="0"/>
    <x v="2"/>
    <x v="0"/>
    <n v="9.6366666666666667"/>
  </r>
  <r>
    <d v="2024-01-30T00:00:00"/>
    <x v="4"/>
    <x v="0"/>
    <x v="0"/>
    <n v="115.17"/>
    <n v="16.989999999999998"/>
    <n v="2"/>
    <n v="61207.979999999989"/>
    <x v="1"/>
    <n v="5.778693349028841"/>
    <x v="1941"/>
    <x v="1"/>
    <x v="2"/>
    <x v="0"/>
    <n v="57.585000000000001"/>
  </r>
  <r>
    <d v="2024-01-30T00:00:00"/>
    <x v="4"/>
    <x v="2"/>
    <x v="0"/>
    <n v="124.39"/>
    <n v="30.57"/>
    <n v="3"/>
    <n v="61207.979999999989"/>
    <x v="1"/>
    <n v="3.0690219169120048"/>
    <x v="1942"/>
    <x v="1"/>
    <x v="2"/>
    <x v="0"/>
    <n v="41.463333333333331"/>
  </r>
  <r>
    <d v="2024-01-15T00:00:00"/>
    <x v="1"/>
    <x v="0"/>
    <x v="0"/>
    <n v="129.47999999999999"/>
    <n v="30.56"/>
    <n v="0"/>
    <n v="61207.979999999989"/>
    <x v="1"/>
    <n v="3.2369109947643975"/>
    <x v="1943"/>
    <x v="1"/>
    <x v="2"/>
    <x v="0"/>
    <n v="0"/>
  </r>
  <r>
    <d v="2024-01-25T00:00:00"/>
    <x v="0"/>
    <x v="0"/>
    <x v="0"/>
    <n v="56.78"/>
    <n v="21.53"/>
    <n v="1"/>
    <n v="61207.979999999989"/>
    <x v="1"/>
    <n v="1.6372503483511378"/>
    <x v="1944"/>
    <x v="1"/>
    <x v="2"/>
    <x v="0"/>
    <n v="56.78"/>
  </r>
  <r>
    <d v="2024-04-27T00:00:00"/>
    <x v="3"/>
    <x v="0"/>
    <x v="1"/>
    <n v="111.34"/>
    <n v="27.11"/>
    <n v="3"/>
    <n v="58562.910000000018"/>
    <x v="1"/>
    <n v="3.1069715971966065"/>
    <x v="1945"/>
    <x v="0"/>
    <x v="1"/>
    <x v="1"/>
    <n v="37.113333333333337"/>
  </r>
  <r>
    <d v="2024-03-21T00:00:00"/>
    <x v="4"/>
    <x v="2"/>
    <x v="0"/>
    <n v="165.9"/>
    <n v="5.35"/>
    <n v="1"/>
    <n v="54735.250000000029"/>
    <x v="0"/>
    <n v="30.009345794392527"/>
    <x v="1946"/>
    <x v="0"/>
    <x v="3"/>
    <x v="1"/>
    <n v="165.9"/>
  </r>
  <r>
    <d v="2024-04-19T00:00:00"/>
    <x v="3"/>
    <x v="2"/>
    <x v="0"/>
    <n v="122.08"/>
    <n v="18.97"/>
    <n v="2"/>
    <n v="58562.910000000018"/>
    <x v="1"/>
    <n v="5.4354243542435423"/>
    <x v="1947"/>
    <x v="1"/>
    <x v="1"/>
    <x v="1"/>
    <n v="61.04"/>
  </r>
  <r>
    <d v="2024-02-29T00:00:00"/>
    <x v="1"/>
    <x v="2"/>
    <x v="0"/>
    <n v="136.79"/>
    <n v="40.79"/>
    <n v="0"/>
    <n v="48675.899999999936"/>
    <x v="0"/>
    <n v="2.3535180191223342"/>
    <x v="1948"/>
    <x v="0"/>
    <x v="0"/>
    <x v="0"/>
    <n v="0"/>
  </r>
  <r>
    <d v="2024-03-09T00:00:00"/>
    <x v="0"/>
    <x v="0"/>
    <x v="0"/>
    <n v="131.19999999999999"/>
    <n v="27.76"/>
    <n v="0"/>
    <n v="54735.250000000029"/>
    <x v="0"/>
    <n v="3.7262247838616709"/>
    <x v="1949"/>
    <x v="1"/>
    <x v="3"/>
    <x v="1"/>
    <n v="0"/>
  </r>
  <r>
    <d v="2024-04-23T00:00:00"/>
    <x v="4"/>
    <x v="2"/>
    <x v="1"/>
    <n v="33.9"/>
    <n v="19.13"/>
    <n v="2"/>
    <n v="58562.910000000018"/>
    <x v="1"/>
    <n v="0.77208572922111873"/>
    <x v="1950"/>
    <x v="1"/>
    <x v="1"/>
    <x v="1"/>
    <n v="16.95"/>
  </r>
  <r>
    <d v="2024-01-19T00:00:00"/>
    <x v="1"/>
    <x v="0"/>
    <x v="1"/>
    <n v="143.57"/>
    <n v="45.5"/>
    <n v="0"/>
    <n v="61207.979999999989"/>
    <x v="1"/>
    <n v="2.1553846153846155"/>
    <x v="1951"/>
    <x v="0"/>
    <x v="2"/>
    <x v="0"/>
    <n v="0"/>
  </r>
  <r>
    <d v="2024-03-12T00:00:00"/>
    <x v="4"/>
    <x v="1"/>
    <x v="0"/>
    <n v="176.91"/>
    <n v="6.89"/>
    <n v="1"/>
    <n v="54735.250000000029"/>
    <x v="0"/>
    <n v="24.676342525399132"/>
    <x v="1952"/>
    <x v="0"/>
    <x v="3"/>
    <x v="1"/>
    <n v="176.91"/>
  </r>
  <r>
    <d v="2024-03-13T00:00:00"/>
    <x v="1"/>
    <x v="2"/>
    <x v="1"/>
    <n v="109.94"/>
    <n v="32.659999999999997"/>
    <n v="0"/>
    <n v="54735.250000000029"/>
    <x v="0"/>
    <n v="2.3661971830985919"/>
    <x v="1953"/>
    <x v="0"/>
    <x v="3"/>
    <x v="1"/>
    <n v="0"/>
  </r>
  <r>
    <d v="2024-02-25T00:00:00"/>
    <x v="4"/>
    <x v="1"/>
    <x v="0"/>
    <n v="113.45"/>
    <n v="21.86"/>
    <n v="2"/>
    <n v="48675.899999999936"/>
    <x v="0"/>
    <n v="4.1898444647758462"/>
    <x v="1954"/>
    <x v="0"/>
    <x v="0"/>
    <x v="0"/>
    <n v="56.725000000000001"/>
  </r>
  <r>
    <d v="2024-03-28T00:00:00"/>
    <x v="2"/>
    <x v="0"/>
    <x v="1"/>
    <n v="49.82"/>
    <n v="42.69"/>
    <n v="0"/>
    <n v="54735.250000000029"/>
    <x v="0"/>
    <n v="0.16701803701100967"/>
    <x v="1955"/>
    <x v="0"/>
    <x v="3"/>
    <x v="1"/>
    <n v="0"/>
  </r>
  <r>
    <d v="2024-01-14T00:00:00"/>
    <x v="0"/>
    <x v="0"/>
    <x v="0"/>
    <n v="178.41"/>
    <n v="9.1"/>
    <n v="2"/>
    <n v="61207.979999999989"/>
    <x v="1"/>
    <n v="18.605494505494505"/>
    <x v="1956"/>
    <x v="1"/>
    <x v="2"/>
    <x v="0"/>
    <n v="89.204999999999998"/>
  </r>
  <r>
    <d v="2024-01-10T00:00:00"/>
    <x v="1"/>
    <x v="0"/>
    <x v="0"/>
    <n v="196.53"/>
    <n v="36.58"/>
    <n v="3"/>
    <n v="61207.979999999989"/>
    <x v="1"/>
    <n v="4.3726079825041007"/>
    <x v="1957"/>
    <x v="0"/>
    <x v="2"/>
    <x v="0"/>
    <n v="65.510000000000005"/>
  </r>
  <r>
    <d v="2024-03-05T00:00:00"/>
    <x v="2"/>
    <x v="2"/>
    <x v="1"/>
    <n v="73.8"/>
    <n v="7.21"/>
    <n v="3"/>
    <n v="54735.250000000029"/>
    <x v="0"/>
    <n v="9.2357836338418871"/>
    <x v="690"/>
    <x v="0"/>
    <x v="3"/>
    <x v="1"/>
    <n v="24.599999999999998"/>
  </r>
  <r>
    <d v="2024-02-22T00:00:00"/>
    <x v="3"/>
    <x v="0"/>
    <x v="1"/>
    <n v="150.27000000000001"/>
    <n v="6.56"/>
    <n v="0"/>
    <n v="48675.899999999936"/>
    <x v="0"/>
    <n v="21.907012195121954"/>
    <x v="1958"/>
    <x v="1"/>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021613-CD4F-4939-8B75-0F981661D424}"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9" firstHeaderRow="0" firstDataRow="1" firstDataCol="1"/>
  <pivotFields count="15">
    <pivotField numFmtId="14" showAll="0"/>
    <pivotField axis="axisRow" showAll="0">
      <items count="6">
        <item x="4"/>
        <item x="3"/>
        <item x="1"/>
        <item x="0"/>
        <item x="2"/>
        <item t="default"/>
      </items>
    </pivotField>
    <pivotField showAll="0"/>
    <pivotField showAll="0">
      <items count="3">
        <item x="1"/>
        <item x="0"/>
        <item t="default"/>
      </items>
    </pivotField>
    <pivotField dataField="1" showAll="0"/>
    <pivotField showAll="0"/>
    <pivotField showAll="0"/>
    <pivotField showAll="0"/>
    <pivotField showAll="0"/>
    <pivotField dataField="1" showAll="0"/>
    <pivotField dataField="1" showAll="0"/>
    <pivotField showAll="0">
      <items count="3">
        <item x="1"/>
        <item x="0"/>
        <item t="default"/>
      </items>
    </pivotField>
    <pivotField showAll="0">
      <items count="5">
        <item x="2"/>
        <item x="0"/>
        <item x="3"/>
        <item x="1"/>
        <item t="default"/>
      </items>
    </pivotField>
    <pivotField showAll="0"/>
    <pivotField showAll="0"/>
  </pivotFields>
  <rowFields count="1">
    <field x="1"/>
  </rowFields>
  <rowItems count="6">
    <i>
      <x/>
    </i>
    <i>
      <x v="1"/>
    </i>
    <i>
      <x v="2"/>
    </i>
    <i>
      <x v="3"/>
    </i>
    <i>
      <x v="4"/>
    </i>
    <i t="grand">
      <x/>
    </i>
  </rowItems>
  <colFields count="1">
    <field x="-2"/>
  </colFields>
  <colItems count="3">
    <i>
      <x/>
    </i>
    <i i="1">
      <x v="1"/>
    </i>
    <i i="2">
      <x v="2"/>
    </i>
  </colItems>
  <dataFields count="3">
    <dataField name="Sum of Revenue" fld="4" baseField="0" baseItem="0"/>
    <dataField name="Sum of Profit" fld="10" baseField="0" baseItem="0"/>
    <dataField name="Average of Return on Investment" fld="9" subtotal="average" baseField="1" baseItem="0"/>
  </dataFields>
  <chartFormats count="6">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F7D734-FA2D-4251-83C1-4732B392A301}"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6" firstHeaderRow="0" firstDataRow="1" firstDataCol="1" rowPageCount="1" colPageCount="1"/>
  <pivotFields count="15">
    <pivotField numFmtId="14" showAll="0"/>
    <pivotField showAll="0">
      <items count="6">
        <item x="4"/>
        <item x="3"/>
        <item x="1"/>
        <item x="0"/>
        <item x="2"/>
        <item t="default"/>
      </items>
    </pivotField>
    <pivotField showAll="0"/>
    <pivotField showAll="0">
      <items count="3">
        <item x="1"/>
        <item x="0"/>
        <item t="default"/>
      </items>
    </pivotField>
    <pivotField dataField="1" showAll="0"/>
    <pivotField showAll="0"/>
    <pivotField showAll="0"/>
    <pivotField showAll="0"/>
    <pivotField axis="axisPage" multipleItemSelectionAllowed="1" showAll="0">
      <items count="3">
        <item x="0"/>
        <item x="1"/>
        <item t="default"/>
      </items>
    </pivotField>
    <pivotField showAll="0"/>
    <pivotField dataField="1" showAll="0"/>
    <pivotField axis="axisRow" showAll="0">
      <items count="3">
        <item x="1"/>
        <item x="0"/>
        <item t="default"/>
      </items>
    </pivotField>
    <pivotField showAll="0">
      <items count="5">
        <item x="2"/>
        <item x="0"/>
        <item x="3"/>
        <item x="1"/>
        <item t="default"/>
      </items>
    </pivotField>
    <pivotField showAll="0"/>
    <pivotField showAll="0"/>
  </pivotFields>
  <rowFields count="1">
    <field x="11"/>
  </rowFields>
  <rowItems count="3">
    <i>
      <x/>
    </i>
    <i>
      <x v="1"/>
    </i>
    <i t="grand">
      <x/>
    </i>
  </rowItems>
  <colFields count="1">
    <field x="-2"/>
  </colFields>
  <colItems count="2">
    <i>
      <x/>
    </i>
    <i i="1">
      <x v="1"/>
    </i>
  </colItems>
  <pageFields count="1">
    <pageField fld="8" hier="-1"/>
  </pageFields>
  <dataFields count="2">
    <dataField name="Sum of Revenue" fld="4" baseField="0" baseItem="0"/>
    <dataField name="Sum of Profit" fld="10"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75AF30-8559-4451-99C4-C3B59755C5FF}"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7" firstHeaderRow="0" firstDataRow="1" firstDataCol="1"/>
  <pivotFields count="15">
    <pivotField numFmtId="14" showAll="0"/>
    <pivotField showAll="0">
      <items count="6">
        <item x="4"/>
        <item x="3"/>
        <item x="1"/>
        <item x="0"/>
        <item x="2"/>
        <item t="default"/>
      </items>
    </pivotField>
    <pivotField axis="axisRow" showAll="0">
      <items count="4">
        <item x="0"/>
        <item x="1"/>
        <item x="2"/>
        <item t="default"/>
      </items>
    </pivotField>
    <pivotField showAll="0">
      <items count="3">
        <item x="1"/>
        <item x="0"/>
        <item t="default"/>
      </items>
    </pivotField>
    <pivotField showAll="0"/>
    <pivotField dataField="1" showAll="0"/>
    <pivotField showAll="0"/>
    <pivotField showAll="0"/>
    <pivotField showAll="0"/>
    <pivotField showAll="0"/>
    <pivotField dataField="1" showAll="0"/>
    <pivotField showAll="0">
      <items count="3">
        <item x="1"/>
        <item x="0"/>
        <item t="default"/>
      </items>
    </pivotField>
    <pivotField showAll="0">
      <items count="5">
        <item x="2"/>
        <item x="0"/>
        <item x="3"/>
        <item x="1"/>
        <item t="default"/>
      </items>
    </pivotField>
    <pivotField showAll="0"/>
    <pivotField showAll="0"/>
  </pivotFields>
  <rowFields count="1">
    <field x="2"/>
  </rowFields>
  <rowItems count="4">
    <i>
      <x/>
    </i>
    <i>
      <x v="1"/>
    </i>
    <i>
      <x v="2"/>
    </i>
    <i t="grand">
      <x/>
    </i>
  </rowItems>
  <colFields count="1">
    <field x="-2"/>
  </colFields>
  <colItems count="2">
    <i>
      <x/>
    </i>
    <i i="1">
      <x v="1"/>
    </i>
  </colItems>
  <dataFields count="2">
    <dataField name="Sum of Ad Spend" fld="5" baseField="0" baseItem="0"/>
    <dataField name="Sum of Profit" fld="10" baseField="0" baseItem="0"/>
  </dataFields>
  <chartFormats count="4">
    <chartFormat chart="1"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A01669-63FF-4E58-A816-930C03BAEE93}"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6" firstHeaderRow="0" firstDataRow="1" firstDataCol="1"/>
  <pivotFields count="15">
    <pivotField numFmtId="14" showAll="0"/>
    <pivotField showAll="0">
      <items count="6">
        <item x="4"/>
        <item x="3"/>
        <item x="1"/>
        <item x="0"/>
        <item x="2"/>
        <item t="default"/>
      </items>
    </pivotField>
    <pivotField showAll="0">
      <items count="4">
        <item x="0"/>
        <item x="1"/>
        <item x="2"/>
        <item t="default"/>
      </items>
    </pivotField>
    <pivotField axis="axisRow" showAll="0">
      <items count="3">
        <item x="1"/>
        <item x="0"/>
        <item t="default"/>
      </items>
    </pivotField>
    <pivotField dataField="1" showAll="0"/>
    <pivotField showAll="0"/>
    <pivotField dataField="1" showAll="0"/>
    <pivotField showAll="0"/>
    <pivotField showAll="0"/>
    <pivotField showAll="0"/>
    <pivotField showAll="0"/>
    <pivotField showAll="0">
      <items count="3">
        <item x="1"/>
        <item x="0"/>
        <item t="default"/>
      </items>
    </pivotField>
    <pivotField showAll="0">
      <items count="5">
        <item x="2"/>
        <item x="0"/>
        <item x="3"/>
        <item x="1"/>
        <item t="default"/>
      </items>
    </pivotField>
    <pivotField showAll="0"/>
    <pivotField showAll="0"/>
  </pivotFields>
  <rowFields count="1">
    <field x="3"/>
  </rowFields>
  <rowItems count="3">
    <i>
      <x/>
    </i>
    <i>
      <x v="1"/>
    </i>
    <i t="grand">
      <x/>
    </i>
  </rowItems>
  <colFields count="1">
    <field x="-2"/>
  </colFields>
  <colItems count="2">
    <i>
      <x/>
    </i>
    <i i="1">
      <x v="1"/>
    </i>
  </colItems>
  <dataFields count="2">
    <dataField name="Sum of Revenue" fld="4" baseField="0" baseItem="0"/>
    <dataField name="Count of Conversions" fld="6" subtotal="count" baseField="3" baseItem="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488D2B-6BEE-46A9-BFAC-F68F728C51EC}"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5">
    <pivotField numFmtId="14" showAll="0"/>
    <pivotField axis="axisRow" showAll="0">
      <items count="6">
        <item x="4"/>
        <item x="3"/>
        <item x="1"/>
        <item x="0"/>
        <item x="2"/>
        <item t="default"/>
      </items>
    </pivotField>
    <pivotField showAll="0">
      <items count="4">
        <item x="0"/>
        <item x="1"/>
        <item x="2"/>
        <item t="default"/>
      </items>
    </pivotField>
    <pivotField showAll="0">
      <items count="3">
        <item x="1"/>
        <item x="0"/>
        <item t="default"/>
      </items>
    </pivotField>
    <pivotField showAll="0"/>
    <pivotField showAll="0"/>
    <pivotField showAll="0"/>
    <pivotField showAll="0"/>
    <pivotField showAll="0"/>
    <pivotField dataField="1" showAll="0"/>
    <pivotField showAll="0"/>
    <pivotField showAll="0">
      <items count="3">
        <item x="1"/>
        <item x="0"/>
        <item t="default"/>
      </items>
    </pivotField>
    <pivotField showAll="0">
      <items count="5">
        <item x="2"/>
        <item x="0"/>
        <item x="3"/>
        <item x="1"/>
        <item t="default"/>
      </items>
    </pivotField>
    <pivotField showAll="0">
      <items count="3">
        <item x="1"/>
        <item x="0"/>
        <item t="default"/>
      </items>
    </pivotField>
    <pivotField showAll="0"/>
  </pivotFields>
  <rowFields count="1">
    <field x="1"/>
  </rowFields>
  <rowItems count="6">
    <i>
      <x/>
    </i>
    <i>
      <x v="1"/>
    </i>
    <i>
      <x v="2"/>
    </i>
    <i>
      <x v="3"/>
    </i>
    <i>
      <x v="4"/>
    </i>
    <i t="grand">
      <x/>
    </i>
  </rowItems>
  <colItems count="1">
    <i/>
  </colItems>
  <dataFields count="1">
    <dataField name="Average of Return on Investment" fld="9" subtotal="average" baseField="1" baseItem="0"/>
  </dataFields>
  <chartFormats count="2">
    <chartFormat chart="0" format="1"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DE290A1-BFF7-4718-8DEA-9AA21C483A06}" autoFormatId="16" applyNumberFormats="0" applyBorderFormats="0" applyFontFormats="0" applyPatternFormats="0" applyAlignmentFormats="0" applyWidthHeightFormats="0">
  <queryTableRefresh nextId="16">
    <queryTableFields count="15">
      <queryTableField id="1" name="Date" tableColumnId="1"/>
      <queryTableField id="2" name="Marketing Channel" tableColumnId="2"/>
      <queryTableField id="3" name="Service Type" tableColumnId="3"/>
      <queryTableField id="4" name="Customer Type" tableColumnId="4"/>
      <queryTableField id="5" name="Revenue" tableColumnId="5"/>
      <queryTableField id="6" name="Ad Spend" tableColumnId="6"/>
      <queryTableField id="7" name="Conversions" tableColumnId="7"/>
      <queryTableField id="15" dataBound="0" tableColumnId="15"/>
      <queryTableField id="14" dataBound="0" tableColumnId="14"/>
      <queryTableField id="13" dataBound="0" tableColumnId="13"/>
      <queryTableField id="12" dataBound="0" tableColumnId="12"/>
      <queryTableField id="8" name="Category" tableColumnId="8"/>
      <queryTableField id="9" name="Month" tableColumnId="9"/>
      <queryTableField id="10" name="Season" tableColumnId="10"/>
      <queryTableField id="11" name="AOV"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5FF48F9-AEE3-43DF-B325-32189428D4CF}" sourceName="Month">
  <pivotTables>
    <pivotTable tabId="5" name="PivotTable3"/>
    <pivotTable tabId="3" name="PivotTable1"/>
    <pivotTable tabId="6" name="PivotTable4"/>
    <pivotTable tabId="4" name="PivotTable2"/>
    <pivotTable tabId="8" name="PivotTable5"/>
  </pivotTables>
  <data>
    <tabular pivotCacheId="1757215033">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A293EC7-D7A8-4D50-BC7E-C20A4C7E409E}" sourceName="Category">
  <pivotTables>
    <pivotTable tabId="5" name="PivotTable3"/>
    <pivotTable tabId="3" name="PivotTable1"/>
    <pivotTable tabId="6" name="PivotTable4"/>
    <pivotTable tabId="4" name="PivotTable2"/>
    <pivotTable tabId="8" name="PivotTable5"/>
  </pivotTables>
  <data>
    <tabular pivotCacheId="175721503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ing_Channel" xr10:uid="{F6612CB3-EFC2-4EC7-AF5D-9250D0EF2C3A}" sourceName="Marketing Channel">
  <pivotTables>
    <pivotTable tabId="6" name="PivotTable4"/>
    <pivotTable tabId="3" name="PivotTable1"/>
    <pivotTable tabId="4" name="PivotTable2"/>
    <pivotTable tabId="5" name="PivotTable3"/>
    <pivotTable tabId="8" name="PivotTable5"/>
  </pivotTables>
  <data>
    <tabular pivotCacheId="1757215033">
      <items count="5">
        <i x="4" s="1"/>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F76B1E8-E67D-40D1-B3DE-6245B210FD7C}" sourceName="Customer Type">
  <pivotTables>
    <pivotTable tabId="6" name="PivotTable4"/>
    <pivotTable tabId="3" name="PivotTable1"/>
    <pivotTable tabId="4" name="PivotTable2"/>
    <pivotTable tabId="5" name="PivotTable3"/>
    <pivotTable tabId="8" name="PivotTable5"/>
  </pivotTables>
  <data>
    <tabular pivotCacheId="175721503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Type" xr10:uid="{2A0A5F89-7EE4-4B9F-B6BA-A5C2DFAE3998}" sourceName="Service Type">
  <pivotTables>
    <pivotTable tabId="6" name="PivotTable4"/>
  </pivotTables>
  <data>
    <tabular pivotCacheId="175721503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DF85BA9-F34A-4DD7-8498-40EFDC7328F1}" cache="Slicer_Month" caption="Month" rowHeight="234950"/>
  <slicer name="Category" xr10:uid="{9753B2AB-3907-4280-9298-2E92F44FF2DC}" cache="Slicer_Category" caption="Category" rowHeight="234950"/>
  <slicer name="Marketing Channel" xr10:uid="{96BE543E-479A-4AC9-A54B-6928D1018072}" cache="Slicer_Marketing_Channel" caption="Marketing Channel" rowHeight="234950"/>
  <slicer name="Customer Type" xr10:uid="{FE4B6BA3-A2C4-4E71-809D-F76D2F37588C}" cache="Slicer_Customer_Type" caption="Customer Type" rowHeight="234950"/>
  <slicer name="Service Type" xr10:uid="{15F2FC1E-A11E-4BEF-A95A-1BC3A1882082}" cache="Slicer_Service_Type" caption="Service 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EF324D-F5D2-4D8B-B3F1-42838DA1DF75}" name="Sheet1" displayName="Sheet1" ref="A1:O2001" tableType="queryTable" totalsRowShown="0">
  <autoFilter ref="A1:O2001" xr:uid="{9AEF324D-F5D2-4D8B-B3F1-42838DA1DF75}"/>
  <tableColumns count="15">
    <tableColumn id="1" xr3:uid="{05643232-56A9-4DA9-ABBE-AA48DB642E2C}" uniqueName="1" name="Date" queryTableFieldId="1" dataDxfId="9"/>
    <tableColumn id="2" xr3:uid="{807D9CEB-D5A6-4EE9-BF27-C87DB86BC54E}" uniqueName="2" name="Marketing Channel" queryTableFieldId="2" dataDxfId="8"/>
    <tableColumn id="3" xr3:uid="{ACEB49C8-2205-4D3D-A3BF-9CAFD6016C2D}" uniqueName="3" name="Service Type" queryTableFieldId="3" dataDxfId="7"/>
    <tableColumn id="4" xr3:uid="{C1B8D8CC-0846-4B8A-A060-E8E97E3FDE0A}" uniqueName="4" name="Customer Type" queryTableFieldId="4" dataDxfId="6"/>
    <tableColumn id="5" xr3:uid="{B790B8C3-06C6-41CF-AB35-7D6C7BA2326D}" uniqueName="5" name="Revenue" queryTableFieldId="5"/>
    <tableColumn id="6" xr3:uid="{B4B89FE3-4A0A-40D5-925C-7A124B1DC613}" uniqueName="6" name="Ad Spend" queryTableFieldId="6"/>
    <tableColumn id="7" xr3:uid="{934EE851-A60D-42AF-B2F8-6F5C203AB42B}" uniqueName="7" name="Conversions" queryTableFieldId="7"/>
    <tableColumn id="15" xr3:uid="{1090C92A-72D8-48FA-92A8-77C9F96D9499}" uniqueName="15" name="Month_Revenue" queryTableFieldId="15" dataDxfId="1">
      <calculatedColumnFormula>SUMIFS($E$2:$E$2001, $M$2:$M$2001, M2)</calculatedColumnFormula>
    </tableColumn>
    <tableColumn id="14" xr3:uid="{38822454-38AE-4300-BE41-0FBC47A3D204}" uniqueName="14" name="Off-Peak" queryTableFieldId="14" dataDxfId="0">
      <calculatedColumnFormula>IF(Sheet1[[#This Row],[Month_Revenue]] &lt; AVERAGE(Sheet1[Month_Revenue]), "Off-Peak", "Peak")</calculatedColumnFormula>
    </tableColumn>
    <tableColumn id="13" xr3:uid="{9567B174-C888-4AEF-8D4F-138C2E48D350}" uniqueName="13" name="Return on Investment" queryTableFieldId="13" dataDxfId="2">
      <calculatedColumnFormula xml:space="preserve"> IF(Sheet1[[#This Row],[Ad Spend]] &gt; 0, (Sheet1[[#This Row],[Profit]] / Sheet1[[#This Row],[Ad Spend]]), 0)</calculatedColumnFormula>
    </tableColumn>
    <tableColumn id="12" xr3:uid="{97D765A9-DBAA-4A5E-8159-C871C17FFFC3}" uniqueName="12" name="Profit" queryTableFieldId="12" dataDxfId="3">
      <calculatedColumnFormula>Sheet1[[#This Row],[Revenue]]-Sheet1[[#This Row],[Ad Spend]]</calculatedColumnFormula>
    </tableColumn>
    <tableColumn id="8" xr3:uid="{DC93C243-71DC-4FCE-B713-4271C95ACD53}" uniqueName="8" name="Category" queryTableFieldId="8" dataDxfId="5"/>
    <tableColumn id="9" xr3:uid="{1A7D2B6A-02D7-4846-BA6A-D99FCDC74B2C}" uniqueName="9" name="Month" queryTableFieldId="9"/>
    <tableColumn id="10" xr3:uid="{8D70E65E-11FF-4147-8B45-9C174B86E6D5}" uniqueName="10" name="Season" queryTableFieldId="10" dataDxfId="4"/>
    <tableColumn id="11" xr3:uid="{09F328A9-FB9B-4CEF-84E1-C80F1F72BEA1}" uniqueName="11" name="AOV"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3FAF1-8B19-4FBB-B21C-6CB00D6BE564}">
  <dimension ref="A1:O2001"/>
  <sheetViews>
    <sheetView topLeftCell="A2" workbookViewId="0">
      <selection sqref="A1:O2001"/>
    </sheetView>
  </sheetViews>
  <sheetFormatPr defaultRowHeight="14.4" x14ac:dyDescent="0.3"/>
  <cols>
    <col min="1" max="1" width="9.5546875" bestFit="1" customWidth="1"/>
    <col min="2" max="2" width="19.44140625" bestFit="1" customWidth="1"/>
    <col min="3" max="3" width="13.77734375" bestFit="1" customWidth="1"/>
    <col min="4" max="4" width="16" bestFit="1" customWidth="1"/>
    <col min="5" max="5" width="10.5546875" bestFit="1" customWidth="1"/>
    <col min="6" max="6" width="11.33203125" bestFit="1" customWidth="1"/>
    <col min="7" max="7" width="13.44140625" bestFit="1" customWidth="1"/>
    <col min="8" max="8" width="10.77734375" bestFit="1" customWidth="1"/>
    <col min="9" max="9" width="9" bestFit="1" customWidth="1"/>
    <col min="10" max="10" width="9.21875" bestFit="1" customWidth="1"/>
    <col min="11" max="11" width="12" bestFit="1" customWidth="1"/>
  </cols>
  <sheetData>
    <row r="1" spans="1:15" x14ac:dyDescent="0.3">
      <c r="A1" t="s">
        <v>0</v>
      </c>
      <c r="B1" t="s">
        <v>1</v>
      </c>
      <c r="C1" t="s">
        <v>2</v>
      </c>
      <c r="D1" t="s">
        <v>3</v>
      </c>
      <c r="E1" t="s">
        <v>4</v>
      </c>
      <c r="F1" t="s">
        <v>5</v>
      </c>
      <c r="G1" t="s">
        <v>6</v>
      </c>
      <c r="H1" t="s">
        <v>28</v>
      </c>
      <c r="I1" t="s">
        <v>26</v>
      </c>
      <c r="J1" t="s">
        <v>27</v>
      </c>
      <c r="K1" t="s">
        <v>25</v>
      </c>
      <c r="L1" t="s">
        <v>7</v>
      </c>
      <c r="M1" t="s">
        <v>8</v>
      </c>
      <c r="N1" t="s">
        <v>9</v>
      </c>
      <c r="O1" t="s">
        <v>10</v>
      </c>
    </row>
    <row r="2" spans="1:15" x14ac:dyDescent="0.3">
      <c r="A2" s="1">
        <v>45330</v>
      </c>
      <c r="B2" s="2" t="s">
        <v>11</v>
      </c>
      <c r="C2" s="2" t="s">
        <v>12</v>
      </c>
      <c r="D2" s="2" t="s">
        <v>13</v>
      </c>
      <c r="E2">
        <v>164.7</v>
      </c>
      <c r="F2">
        <v>9.34</v>
      </c>
      <c r="G2">
        <v>2</v>
      </c>
      <c r="H2">
        <f t="shared" ref="H2:H65" si="0">SUMIFS($E$2:$E$2001, $M$2:$M$2001, M2)</f>
        <v>48675.899999999936</v>
      </c>
      <c r="I2" t="str">
        <f>IF(Sheet1[[#This Row],[Month_Revenue]] &lt; AVERAGE(Sheet1[Month_Revenue]), "Off-Peak", "Peak")</f>
        <v>Off-Peak</v>
      </c>
      <c r="J2">
        <f xml:space="preserve"> IF(Sheet1[[#This Row],[Ad Spend]] &gt; 0, (Sheet1[[#This Row],[Profit]] / Sheet1[[#This Row],[Ad Spend]]), 0)</f>
        <v>16.633832976445394</v>
      </c>
      <c r="K2">
        <f>Sheet1[[#This Row],[Revenue]]-Sheet1[[#This Row],[Ad Spend]]</f>
        <v>155.35999999999999</v>
      </c>
      <c r="L2" s="2" t="s">
        <v>14</v>
      </c>
      <c r="M2">
        <v>2</v>
      </c>
      <c r="N2" s="2" t="s">
        <v>15</v>
      </c>
      <c r="O2">
        <v>82.35</v>
      </c>
    </row>
    <row r="3" spans="1:15" x14ac:dyDescent="0.3">
      <c r="A3" s="1">
        <v>45387</v>
      </c>
      <c r="B3" s="2" t="s">
        <v>16</v>
      </c>
      <c r="C3" s="2" t="s">
        <v>17</v>
      </c>
      <c r="D3" s="2" t="s">
        <v>18</v>
      </c>
      <c r="E3">
        <v>90.56</v>
      </c>
      <c r="F3">
        <v>34.67</v>
      </c>
      <c r="G3">
        <v>1</v>
      </c>
      <c r="H3">
        <f t="shared" si="0"/>
        <v>58562.910000000018</v>
      </c>
      <c r="I3" t="str">
        <f>IF(Sheet1[[#This Row],[Month_Revenue]] &lt; AVERAGE(Sheet1[Month_Revenue]), "Off-Peak", "Peak")</f>
        <v>Peak</v>
      </c>
      <c r="J3">
        <f xml:space="preserve"> IF(Sheet1[[#This Row],[Ad Spend]] &gt; 0, (Sheet1[[#This Row],[Profit]] / Sheet1[[#This Row],[Ad Spend]]), 0)</f>
        <v>1.6120565330256706</v>
      </c>
      <c r="K3">
        <f>Sheet1[[#This Row],[Revenue]]-Sheet1[[#This Row],[Ad Spend]]</f>
        <v>55.89</v>
      </c>
      <c r="L3" s="2" t="s">
        <v>14</v>
      </c>
      <c r="M3">
        <v>4</v>
      </c>
      <c r="N3" s="2" t="s">
        <v>19</v>
      </c>
      <c r="O3">
        <v>90.56</v>
      </c>
    </row>
    <row r="4" spans="1:15" x14ac:dyDescent="0.3">
      <c r="A4" s="1">
        <v>45403</v>
      </c>
      <c r="B4" s="2" t="s">
        <v>20</v>
      </c>
      <c r="C4" s="2" t="s">
        <v>12</v>
      </c>
      <c r="D4" s="2" t="s">
        <v>13</v>
      </c>
      <c r="E4">
        <v>110.04</v>
      </c>
      <c r="F4">
        <v>36.26</v>
      </c>
      <c r="G4">
        <v>0</v>
      </c>
      <c r="H4">
        <f t="shared" si="0"/>
        <v>58562.910000000018</v>
      </c>
      <c r="I4" t="str">
        <f>IF(Sheet1[[#This Row],[Month_Revenue]] &lt; AVERAGE(Sheet1[Month_Revenue]), "Off-Peak", "Peak")</f>
        <v>Peak</v>
      </c>
      <c r="J4">
        <f xml:space="preserve"> IF(Sheet1[[#This Row],[Ad Spend]] &gt; 0, (Sheet1[[#This Row],[Profit]] / Sheet1[[#This Row],[Ad Spend]]), 0)</f>
        <v>2.0347490347490349</v>
      </c>
      <c r="K4">
        <f>Sheet1[[#This Row],[Revenue]]-Sheet1[[#This Row],[Ad Spend]]</f>
        <v>73.78</v>
      </c>
      <c r="L4" s="2" t="s">
        <v>14</v>
      </c>
      <c r="M4">
        <v>4</v>
      </c>
      <c r="N4" s="2" t="s">
        <v>19</v>
      </c>
      <c r="O4">
        <v>0</v>
      </c>
    </row>
    <row r="5" spans="1:15" x14ac:dyDescent="0.3">
      <c r="A5" s="1">
        <v>45296</v>
      </c>
      <c r="B5" s="2" t="s">
        <v>11</v>
      </c>
      <c r="C5" s="2" t="s">
        <v>21</v>
      </c>
      <c r="D5" s="2" t="s">
        <v>18</v>
      </c>
      <c r="E5">
        <v>167.05</v>
      </c>
      <c r="F5">
        <v>23.35</v>
      </c>
      <c r="G5">
        <v>0</v>
      </c>
      <c r="H5">
        <f t="shared" si="0"/>
        <v>61207.979999999989</v>
      </c>
      <c r="I5" t="str">
        <f>IF(Sheet1[[#This Row],[Month_Revenue]] &lt; AVERAGE(Sheet1[Month_Revenue]), "Off-Peak", "Peak")</f>
        <v>Peak</v>
      </c>
      <c r="J5">
        <f xml:space="preserve"> IF(Sheet1[[#This Row],[Ad Spend]] &gt; 0, (Sheet1[[#This Row],[Profit]] / Sheet1[[#This Row],[Ad Spend]]), 0)</f>
        <v>6.1541755888650966</v>
      </c>
      <c r="K5">
        <f>Sheet1[[#This Row],[Revenue]]-Sheet1[[#This Row],[Ad Spend]]</f>
        <v>143.70000000000002</v>
      </c>
      <c r="L5" s="2" t="s">
        <v>14</v>
      </c>
      <c r="M5">
        <v>1</v>
      </c>
      <c r="N5" s="2" t="s">
        <v>15</v>
      </c>
      <c r="O5">
        <v>0</v>
      </c>
    </row>
    <row r="6" spans="1:15" x14ac:dyDescent="0.3">
      <c r="A6" s="1">
        <v>45336</v>
      </c>
      <c r="B6" s="2" t="s">
        <v>20</v>
      </c>
      <c r="C6" s="2" t="s">
        <v>12</v>
      </c>
      <c r="D6" s="2" t="s">
        <v>18</v>
      </c>
      <c r="E6">
        <v>36.81</v>
      </c>
      <c r="F6">
        <v>32.43</v>
      </c>
      <c r="G6">
        <v>1</v>
      </c>
      <c r="H6">
        <f t="shared" si="0"/>
        <v>48675.899999999936</v>
      </c>
      <c r="I6" t="str">
        <f>IF(Sheet1[[#This Row],[Month_Revenue]] &lt; AVERAGE(Sheet1[Month_Revenue]), "Off-Peak", "Peak")</f>
        <v>Off-Peak</v>
      </c>
      <c r="J6">
        <f xml:space="preserve"> IF(Sheet1[[#This Row],[Ad Spend]] &gt; 0, (Sheet1[[#This Row],[Profit]] / Sheet1[[#This Row],[Ad Spend]]), 0)</f>
        <v>0.1350601295097133</v>
      </c>
      <c r="K6">
        <f>Sheet1[[#This Row],[Revenue]]-Sheet1[[#This Row],[Ad Spend]]</f>
        <v>4.3800000000000026</v>
      </c>
      <c r="L6" s="2" t="s">
        <v>14</v>
      </c>
      <c r="M6">
        <v>2</v>
      </c>
      <c r="N6" s="2" t="s">
        <v>15</v>
      </c>
      <c r="O6">
        <v>36.81</v>
      </c>
    </row>
    <row r="7" spans="1:15" x14ac:dyDescent="0.3">
      <c r="A7" s="1">
        <v>45376</v>
      </c>
      <c r="B7" s="2" t="s">
        <v>16</v>
      </c>
      <c r="C7" s="2" t="s">
        <v>21</v>
      </c>
      <c r="D7" s="2" t="s">
        <v>18</v>
      </c>
      <c r="E7">
        <v>114.61</v>
      </c>
      <c r="F7">
        <v>47.36</v>
      </c>
      <c r="G7">
        <v>0</v>
      </c>
      <c r="H7">
        <f t="shared" si="0"/>
        <v>54735.250000000029</v>
      </c>
      <c r="I7" t="str">
        <f>IF(Sheet1[[#This Row],[Month_Revenue]] &lt; AVERAGE(Sheet1[Month_Revenue]), "Off-Peak", "Peak")</f>
        <v>Off-Peak</v>
      </c>
      <c r="J7">
        <f xml:space="preserve"> IF(Sheet1[[#This Row],[Ad Spend]] &gt; 0, (Sheet1[[#This Row],[Profit]] / Sheet1[[#This Row],[Ad Spend]]), 0)</f>
        <v>1.4199746621621623</v>
      </c>
      <c r="K7">
        <f>Sheet1[[#This Row],[Revenue]]-Sheet1[[#This Row],[Ad Spend]]</f>
        <v>67.25</v>
      </c>
      <c r="L7" s="2" t="s">
        <v>22</v>
      </c>
      <c r="M7">
        <v>3</v>
      </c>
      <c r="N7" s="2" t="s">
        <v>19</v>
      </c>
      <c r="O7">
        <v>0</v>
      </c>
    </row>
    <row r="8" spans="1:15" x14ac:dyDescent="0.3">
      <c r="A8" s="1">
        <v>45398</v>
      </c>
      <c r="B8" s="2" t="s">
        <v>23</v>
      </c>
      <c r="C8" s="2" t="s">
        <v>17</v>
      </c>
      <c r="D8" s="2" t="s">
        <v>13</v>
      </c>
      <c r="E8">
        <v>160.51</v>
      </c>
      <c r="F8">
        <v>44.98</v>
      </c>
      <c r="G8">
        <v>0</v>
      </c>
      <c r="H8">
        <f t="shared" si="0"/>
        <v>58562.910000000018</v>
      </c>
      <c r="I8" t="str">
        <f>IF(Sheet1[[#This Row],[Month_Revenue]] &lt; AVERAGE(Sheet1[Month_Revenue]), "Off-Peak", "Peak")</f>
        <v>Peak</v>
      </c>
      <c r="J8">
        <f xml:space="preserve"> IF(Sheet1[[#This Row],[Ad Spend]] &gt; 0, (Sheet1[[#This Row],[Profit]] / Sheet1[[#This Row],[Ad Spend]]), 0)</f>
        <v>2.5684748777234327</v>
      </c>
      <c r="K8">
        <f>Sheet1[[#This Row],[Revenue]]-Sheet1[[#This Row],[Ad Spend]]</f>
        <v>115.53</v>
      </c>
      <c r="L8" s="2" t="s">
        <v>14</v>
      </c>
      <c r="M8">
        <v>4</v>
      </c>
      <c r="N8" s="2" t="s">
        <v>19</v>
      </c>
      <c r="O8">
        <v>0</v>
      </c>
    </row>
    <row r="9" spans="1:15" x14ac:dyDescent="0.3">
      <c r="A9" s="1">
        <v>45378</v>
      </c>
      <c r="B9" s="2" t="s">
        <v>16</v>
      </c>
      <c r="C9" s="2" t="s">
        <v>21</v>
      </c>
      <c r="D9" s="2" t="s">
        <v>13</v>
      </c>
      <c r="E9">
        <v>159.33000000000001</v>
      </c>
      <c r="F9">
        <v>20.71</v>
      </c>
      <c r="G9">
        <v>3</v>
      </c>
      <c r="H9">
        <f t="shared" si="0"/>
        <v>54735.250000000029</v>
      </c>
      <c r="I9" t="str">
        <f>IF(Sheet1[[#This Row],[Month_Revenue]] &lt; AVERAGE(Sheet1[Month_Revenue]), "Off-Peak", "Peak")</f>
        <v>Off-Peak</v>
      </c>
      <c r="J9">
        <f xml:space="preserve"> IF(Sheet1[[#This Row],[Ad Spend]] &gt; 0, (Sheet1[[#This Row],[Profit]] / Sheet1[[#This Row],[Ad Spend]]), 0)</f>
        <v>6.6933848382423946</v>
      </c>
      <c r="K9">
        <f>Sheet1[[#This Row],[Revenue]]-Sheet1[[#This Row],[Ad Spend]]</f>
        <v>138.62</v>
      </c>
      <c r="L9" s="2" t="s">
        <v>22</v>
      </c>
      <c r="M9">
        <v>3</v>
      </c>
      <c r="N9" s="2" t="s">
        <v>19</v>
      </c>
      <c r="O9">
        <v>53.110000000000007</v>
      </c>
    </row>
    <row r="10" spans="1:15" x14ac:dyDescent="0.3">
      <c r="A10" s="1">
        <v>45348</v>
      </c>
      <c r="B10" s="2" t="s">
        <v>23</v>
      </c>
      <c r="C10" s="2" t="s">
        <v>21</v>
      </c>
      <c r="D10" s="2" t="s">
        <v>18</v>
      </c>
      <c r="E10">
        <v>106.57</v>
      </c>
      <c r="F10">
        <v>22.83</v>
      </c>
      <c r="G10">
        <v>2</v>
      </c>
      <c r="H10">
        <f t="shared" si="0"/>
        <v>48675.899999999936</v>
      </c>
      <c r="I10" t="str">
        <f>IF(Sheet1[[#This Row],[Month_Revenue]] &lt; AVERAGE(Sheet1[Month_Revenue]), "Off-Peak", "Peak")</f>
        <v>Off-Peak</v>
      </c>
      <c r="J10">
        <f xml:space="preserve"> IF(Sheet1[[#This Row],[Ad Spend]] &gt; 0, (Sheet1[[#This Row],[Profit]] / Sheet1[[#This Row],[Ad Spend]]), 0)</f>
        <v>3.6679807271134472</v>
      </c>
      <c r="K10">
        <f>Sheet1[[#This Row],[Revenue]]-Sheet1[[#This Row],[Ad Spend]]</f>
        <v>83.74</v>
      </c>
      <c r="L10" s="2" t="s">
        <v>22</v>
      </c>
      <c r="M10">
        <v>2</v>
      </c>
      <c r="N10" s="2" t="s">
        <v>15</v>
      </c>
      <c r="O10">
        <v>53.284999999999997</v>
      </c>
    </row>
    <row r="11" spans="1:15" x14ac:dyDescent="0.3">
      <c r="A11" s="1">
        <v>45385</v>
      </c>
      <c r="B11" s="2" t="s">
        <v>11</v>
      </c>
      <c r="C11" s="2" t="s">
        <v>17</v>
      </c>
      <c r="D11" s="2" t="s">
        <v>18</v>
      </c>
      <c r="E11">
        <v>62.08</v>
      </c>
      <c r="F11">
        <v>22.2</v>
      </c>
      <c r="G11">
        <v>2</v>
      </c>
      <c r="H11">
        <f t="shared" si="0"/>
        <v>58562.910000000018</v>
      </c>
      <c r="I11" t="str">
        <f>IF(Sheet1[[#This Row],[Month_Revenue]] &lt; AVERAGE(Sheet1[Month_Revenue]), "Off-Peak", "Peak")</f>
        <v>Peak</v>
      </c>
      <c r="J11">
        <f xml:space="preserve"> IF(Sheet1[[#This Row],[Ad Spend]] &gt; 0, (Sheet1[[#This Row],[Profit]] / Sheet1[[#This Row],[Ad Spend]]), 0)</f>
        <v>1.7963963963963963</v>
      </c>
      <c r="K11">
        <f>Sheet1[[#This Row],[Revenue]]-Sheet1[[#This Row],[Ad Spend]]</f>
        <v>39.879999999999995</v>
      </c>
      <c r="L11" s="2" t="s">
        <v>14</v>
      </c>
      <c r="M11">
        <v>4</v>
      </c>
      <c r="N11" s="2" t="s">
        <v>19</v>
      </c>
      <c r="O11">
        <v>31.04</v>
      </c>
    </row>
    <row r="12" spans="1:15" x14ac:dyDescent="0.3">
      <c r="A12" s="1">
        <v>45333</v>
      </c>
      <c r="B12" s="2" t="s">
        <v>11</v>
      </c>
      <c r="C12" s="2" t="s">
        <v>21</v>
      </c>
      <c r="D12" s="2" t="s">
        <v>18</v>
      </c>
      <c r="E12">
        <v>92.95</v>
      </c>
      <c r="F12">
        <v>39.07</v>
      </c>
      <c r="G12">
        <v>3</v>
      </c>
      <c r="H12">
        <f t="shared" si="0"/>
        <v>48675.899999999936</v>
      </c>
      <c r="I12" t="str">
        <f>IF(Sheet1[[#This Row],[Month_Revenue]] &lt; AVERAGE(Sheet1[Month_Revenue]), "Off-Peak", "Peak")</f>
        <v>Off-Peak</v>
      </c>
      <c r="J12">
        <f xml:space="preserve"> IF(Sheet1[[#This Row],[Ad Spend]] &gt; 0, (Sheet1[[#This Row],[Profit]] / Sheet1[[#This Row],[Ad Spend]]), 0)</f>
        <v>1.3790632198617865</v>
      </c>
      <c r="K12">
        <f>Sheet1[[#This Row],[Revenue]]-Sheet1[[#This Row],[Ad Spend]]</f>
        <v>53.88</v>
      </c>
      <c r="L12" s="2" t="s">
        <v>14</v>
      </c>
      <c r="M12">
        <v>2</v>
      </c>
      <c r="N12" s="2" t="s">
        <v>15</v>
      </c>
      <c r="O12">
        <v>30.983333333333334</v>
      </c>
    </row>
    <row r="13" spans="1:15" x14ac:dyDescent="0.3">
      <c r="A13" s="1">
        <v>45406</v>
      </c>
      <c r="B13" s="2" t="s">
        <v>16</v>
      </c>
      <c r="C13" s="2" t="s">
        <v>17</v>
      </c>
      <c r="D13" s="2" t="s">
        <v>13</v>
      </c>
      <c r="E13">
        <v>103.65</v>
      </c>
      <c r="F13">
        <v>19.72</v>
      </c>
      <c r="G13">
        <v>2</v>
      </c>
      <c r="H13">
        <f t="shared" si="0"/>
        <v>58562.910000000018</v>
      </c>
      <c r="I13" t="str">
        <f>IF(Sheet1[[#This Row],[Month_Revenue]] &lt; AVERAGE(Sheet1[Month_Revenue]), "Off-Peak", "Peak")</f>
        <v>Peak</v>
      </c>
      <c r="J13">
        <f xml:space="preserve"> IF(Sheet1[[#This Row],[Ad Spend]] &gt; 0, (Sheet1[[#This Row],[Profit]] / Sheet1[[#This Row],[Ad Spend]]), 0)</f>
        <v>4.2560851926977694</v>
      </c>
      <c r="K13">
        <f>Sheet1[[#This Row],[Revenue]]-Sheet1[[#This Row],[Ad Spend]]</f>
        <v>83.93</v>
      </c>
      <c r="L13" s="2" t="s">
        <v>14</v>
      </c>
      <c r="M13">
        <v>4</v>
      </c>
      <c r="N13" s="2" t="s">
        <v>19</v>
      </c>
      <c r="O13">
        <v>51.825000000000003</v>
      </c>
    </row>
    <row r="14" spans="1:15" x14ac:dyDescent="0.3">
      <c r="A14" s="1">
        <v>45325</v>
      </c>
      <c r="B14" s="2" t="s">
        <v>11</v>
      </c>
      <c r="C14" s="2" t="s">
        <v>17</v>
      </c>
      <c r="D14" s="2" t="s">
        <v>13</v>
      </c>
      <c r="E14">
        <v>161.08000000000001</v>
      </c>
      <c r="F14">
        <v>43.51</v>
      </c>
      <c r="G14">
        <v>2</v>
      </c>
      <c r="H14">
        <f t="shared" si="0"/>
        <v>48675.899999999936</v>
      </c>
      <c r="I14" t="str">
        <f>IF(Sheet1[[#This Row],[Month_Revenue]] &lt; AVERAGE(Sheet1[Month_Revenue]), "Off-Peak", "Peak")</f>
        <v>Off-Peak</v>
      </c>
      <c r="J14">
        <f xml:space="preserve"> IF(Sheet1[[#This Row],[Ad Spend]] &gt; 0, (Sheet1[[#This Row],[Profit]] / Sheet1[[#This Row],[Ad Spend]]), 0)</f>
        <v>2.7021374396690421</v>
      </c>
      <c r="K14">
        <f>Sheet1[[#This Row],[Revenue]]-Sheet1[[#This Row],[Ad Spend]]</f>
        <v>117.57000000000002</v>
      </c>
      <c r="L14" s="2" t="s">
        <v>22</v>
      </c>
      <c r="M14">
        <v>2</v>
      </c>
      <c r="N14" s="2" t="s">
        <v>15</v>
      </c>
      <c r="O14">
        <v>80.540000000000006</v>
      </c>
    </row>
    <row r="15" spans="1:15" x14ac:dyDescent="0.3">
      <c r="A15" s="1">
        <v>45354</v>
      </c>
      <c r="B15" s="2" t="s">
        <v>24</v>
      </c>
      <c r="C15" s="2" t="s">
        <v>17</v>
      </c>
      <c r="D15" s="2" t="s">
        <v>18</v>
      </c>
      <c r="E15">
        <v>111.35</v>
      </c>
      <c r="F15">
        <v>3.19</v>
      </c>
      <c r="G15">
        <v>1</v>
      </c>
      <c r="H15">
        <f t="shared" si="0"/>
        <v>54735.250000000029</v>
      </c>
      <c r="I15" t="str">
        <f>IF(Sheet1[[#This Row],[Month_Revenue]] &lt; AVERAGE(Sheet1[Month_Revenue]), "Off-Peak", "Peak")</f>
        <v>Off-Peak</v>
      </c>
      <c r="J15">
        <f xml:space="preserve"> IF(Sheet1[[#This Row],[Ad Spend]] &gt; 0, (Sheet1[[#This Row],[Profit]] / Sheet1[[#This Row],[Ad Spend]]), 0)</f>
        <v>33.905956112852664</v>
      </c>
      <c r="K15">
        <f>Sheet1[[#This Row],[Revenue]]-Sheet1[[#This Row],[Ad Spend]]</f>
        <v>108.16</v>
      </c>
      <c r="L15" s="2" t="s">
        <v>14</v>
      </c>
      <c r="M15">
        <v>3</v>
      </c>
      <c r="N15" s="2" t="s">
        <v>19</v>
      </c>
      <c r="O15">
        <v>111.35</v>
      </c>
    </row>
    <row r="16" spans="1:15" x14ac:dyDescent="0.3">
      <c r="A16" s="1">
        <v>45308</v>
      </c>
      <c r="B16" s="2" t="s">
        <v>23</v>
      </c>
      <c r="C16" s="2" t="s">
        <v>12</v>
      </c>
      <c r="D16" s="2" t="s">
        <v>13</v>
      </c>
      <c r="E16">
        <v>89.81</v>
      </c>
      <c r="F16">
        <v>29.68</v>
      </c>
      <c r="G16">
        <v>2</v>
      </c>
      <c r="H16">
        <f t="shared" si="0"/>
        <v>61207.979999999989</v>
      </c>
      <c r="I16" t="str">
        <f>IF(Sheet1[[#This Row],[Month_Revenue]] &lt; AVERAGE(Sheet1[Month_Revenue]), "Off-Peak", "Peak")</f>
        <v>Peak</v>
      </c>
      <c r="J16">
        <f xml:space="preserve"> IF(Sheet1[[#This Row],[Ad Spend]] &gt; 0, (Sheet1[[#This Row],[Profit]] / Sheet1[[#This Row],[Ad Spend]]), 0)</f>
        <v>2.0259433962264151</v>
      </c>
      <c r="K16">
        <f>Sheet1[[#This Row],[Revenue]]-Sheet1[[#This Row],[Ad Spend]]</f>
        <v>60.13</v>
      </c>
      <c r="L16" s="2" t="s">
        <v>22</v>
      </c>
      <c r="M16">
        <v>1</v>
      </c>
      <c r="N16" s="2" t="s">
        <v>15</v>
      </c>
      <c r="O16">
        <v>44.905000000000001</v>
      </c>
    </row>
    <row r="17" spans="1:15" x14ac:dyDescent="0.3">
      <c r="A17" s="1">
        <v>45294</v>
      </c>
      <c r="B17" s="2" t="s">
        <v>16</v>
      </c>
      <c r="C17" s="2" t="s">
        <v>17</v>
      </c>
      <c r="D17" s="2" t="s">
        <v>18</v>
      </c>
      <c r="E17">
        <v>113.33</v>
      </c>
      <c r="F17">
        <v>23.98</v>
      </c>
      <c r="G17">
        <v>2</v>
      </c>
      <c r="H17">
        <f t="shared" si="0"/>
        <v>61207.979999999989</v>
      </c>
      <c r="I17" t="str">
        <f>IF(Sheet1[[#This Row],[Month_Revenue]] &lt; AVERAGE(Sheet1[Month_Revenue]), "Off-Peak", "Peak")</f>
        <v>Peak</v>
      </c>
      <c r="J17">
        <f xml:space="preserve"> IF(Sheet1[[#This Row],[Ad Spend]] &gt; 0, (Sheet1[[#This Row],[Profit]] / Sheet1[[#This Row],[Ad Spend]]), 0)</f>
        <v>3.7260216847372809</v>
      </c>
      <c r="K17">
        <f>Sheet1[[#This Row],[Revenue]]-Sheet1[[#This Row],[Ad Spend]]</f>
        <v>89.35</v>
      </c>
      <c r="L17" s="2" t="s">
        <v>22</v>
      </c>
      <c r="M17">
        <v>1</v>
      </c>
      <c r="N17" s="2" t="s">
        <v>15</v>
      </c>
      <c r="O17">
        <v>56.664999999999999</v>
      </c>
    </row>
    <row r="18" spans="1:15" x14ac:dyDescent="0.3">
      <c r="A18" s="1">
        <v>45350</v>
      </c>
      <c r="B18" s="2" t="s">
        <v>20</v>
      </c>
      <c r="C18" s="2" t="s">
        <v>17</v>
      </c>
      <c r="D18" s="2" t="s">
        <v>18</v>
      </c>
      <c r="E18">
        <v>46.47</v>
      </c>
      <c r="F18">
        <v>37.28</v>
      </c>
      <c r="G18">
        <v>0</v>
      </c>
      <c r="H18">
        <f t="shared" si="0"/>
        <v>48675.899999999936</v>
      </c>
      <c r="I18" t="str">
        <f>IF(Sheet1[[#This Row],[Month_Revenue]] &lt; AVERAGE(Sheet1[Month_Revenue]), "Off-Peak", "Peak")</f>
        <v>Off-Peak</v>
      </c>
      <c r="J18">
        <f xml:space="preserve"> IF(Sheet1[[#This Row],[Ad Spend]] &gt; 0, (Sheet1[[#This Row],[Profit]] / Sheet1[[#This Row],[Ad Spend]]), 0)</f>
        <v>0.24651287553648063</v>
      </c>
      <c r="K18">
        <f>Sheet1[[#This Row],[Revenue]]-Sheet1[[#This Row],[Ad Spend]]</f>
        <v>9.1899999999999977</v>
      </c>
      <c r="L18" s="2" t="s">
        <v>14</v>
      </c>
      <c r="M18">
        <v>2</v>
      </c>
      <c r="N18" s="2" t="s">
        <v>15</v>
      </c>
      <c r="O18">
        <v>0</v>
      </c>
    </row>
    <row r="19" spans="1:15" x14ac:dyDescent="0.3">
      <c r="A19" s="1">
        <v>45304</v>
      </c>
      <c r="B19" s="2" t="s">
        <v>24</v>
      </c>
      <c r="C19" s="2" t="s">
        <v>17</v>
      </c>
      <c r="D19" s="2" t="s">
        <v>18</v>
      </c>
      <c r="E19">
        <v>180.16</v>
      </c>
      <c r="F19">
        <v>11.23</v>
      </c>
      <c r="G19">
        <v>0</v>
      </c>
      <c r="H19">
        <f t="shared" si="0"/>
        <v>61207.979999999989</v>
      </c>
      <c r="I19" t="str">
        <f>IF(Sheet1[[#This Row],[Month_Revenue]] &lt; AVERAGE(Sheet1[Month_Revenue]), "Off-Peak", "Peak")</f>
        <v>Peak</v>
      </c>
      <c r="J19">
        <f xml:space="preserve"> IF(Sheet1[[#This Row],[Ad Spend]] &gt; 0, (Sheet1[[#This Row],[Profit]] / Sheet1[[#This Row],[Ad Spend]]), 0)</f>
        <v>15.042742653606412</v>
      </c>
      <c r="K19">
        <f>Sheet1[[#This Row],[Revenue]]-Sheet1[[#This Row],[Ad Spend]]</f>
        <v>168.93</v>
      </c>
      <c r="L19" s="2" t="s">
        <v>14</v>
      </c>
      <c r="M19">
        <v>1</v>
      </c>
      <c r="N19" s="2" t="s">
        <v>15</v>
      </c>
      <c r="O19">
        <v>0</v>
      </c>
    </row>
    <row r="20" spans="1:15" x14ac:dyDescent="0.3">
      <c r="A20" s="1">
        <v>45322</v>
      </c>
      <c r="B20" s="2" t="s">
        <v>16</v>
      </c>
      <c r="C20" s="2" t="s">
        <v>21</v>
      </c>
      <c r="D20" s="2" t="s">
        <v>13</v>
      </c>
      <c r="E20">
        <v>173.19</v>
      </c>
      <c r="F20">
        <v>18.920000000000002</v>
      </c>
      <c r="G20">
        <v>1</v>
      </c>
      <c r="H20">
        <f t="shared" si="0"/>
        <v>61207.979999999989</v>
      </c>
      <c r="I20" t="str">
        <f>IF(Sheet1[[#This Row],[Month_Revenue]] &lt; AVERAGE(Sheet1[Month_Revenue]), "Off-Peak", "Peak")</f>
        <v>Peak</v>
      </c>
      <c r="J20">
        <f xml:space="preserve"> IF(Sheet1[[#This Row],[Ad Spend]] &gt; 0, (Sheet1[[#This Row],[Profit]] / Sheet1[[#This Row],[Ad Spend]]), 0)</f>
        <v>8.1538054968287508</v>
      </c>
      <c r="K20">
        <f>Sheet1[[#This Row],[Revenue]]-Sheet1[[#This Row],[Ad Spend]]</f>
        <v>154.26999999999998</v>
      </c>
      <c r="L20" s="2" t="s">
        <v>14</v>
      </c>
      <c r="M20">
        <v>1</v>
      </c>
      <c r="N20" s="2" t="s">
        <v>15</v>
      </c>
      <c r="O20">
        <v>173.19</v>
      </c>
    </row>
    <row r="21" spans="1:15" x14ac:dyDescent="0.3">
      <c r="A21" s="1">
        <v>45333</v>
      </c>
      <c r="B21" s="2" t="s">
        <v>11</v>
      </c>
      <c r="C21" s="2" t="s">
        <v>21</v>
      </c>
      <c r="D21" s="2" t="s">
        <v>18</v>
      </c>
      <c r="E21">
        <v>198.79</v>
      </c>
      <c r="F21">
        <v>30.84</v>
      </c>
      <c r="G21">
        <v>1</v>
      </c>
      <c r="H21">
        <f t="shared" si="0"/>
        <v>48675.899999999936</v>
      </c>
      <c r="I21" t="str">
        <f>IF(Sheet1[[#This Row],[Month_Revenue]] &lt; AVERAGE(Sheet1[Month_Revenue]), "Off-Peak", "Peak")</f>
        <v>Off-Peak</v>
      </c>
      <c r="J21">
        <f xml:space="preserve"> IF(Sheet1[[#This Row],[Ad Spend]] &gt; 0, (Sheet1[[#This Row],[Profit]] / Sheet1[[#This Row],[Ad Spend]]), 0)</f>
        <v>5.4458495460440979</v>
      </c>
      <c r="K21">
        <f>Sheet1[[#This Row],[Revenue]]-Sheet1[[#This Row],[Ad Spend]]</f>
        <v>167.95</v>
      </c>
      <c r="L21" s="2" t="s">
        <v>14</v>
      </c>
      <c r="M21">
        <v>2</v>
      </c>
      <c r="N21" s="2" t="s">
        <v>15</v>
      </c>
      <c r="O21">
        <v>198.79</v>
      </c>
    </row>
    <row r="22" spans="1:15" x14ac:dyDescent="0.3">
      <c r="A22" s="1">
        <v>45390</v>
      </c>
      <c r="B22" s="2" t="s">
        <v>23</v>
      </c>
      <c r="C22" s="2" t="s">
        <v>17</v>
      </c>
      <c r="D22" s="2" t="s">
        <v>18</v>
      </c>
      <c r="E22">
        <v>192.01</v>
      </c>
      <c r="F22">
        <v>16.940000000000001</v>
      </c>
      <c r="G22">
        <v>1</v>
      </c>
      <c r="H22">
        <f t="shared" si="0"/>
        <v>58562.910000000018</v>
      </c>
      <c r="I22" t="str">
        <f>IF(Sheet1[[#This Row],[Month_Revenue]] &lt; AVERAGE(Sheet1[Month_Revenue]), "Off-Peak", "Peak")</f>
        <v>Peak</v>
      </c>
      <c r="J22">
        <f xml:space="preserve"> IF(Sheet1[[#This Row],[Ad Spend]] &gt; 0, (Sheet1[[#This Row],[Profit]] / Sheet1[[#This Row],[Ad Spend]]), 0)</f>
        <v>10.334710743801653</v>
      </c>
      <c r="K22">
        <f>Sheet1[[#This Row],[Revenue]]-Sheet1[[#This Row],[Ad Spend]]</f>
        <v>175.07</v>
      </c>
      <c r="L22" s="2" t="s">
        <v>22</v>
      </c>
      <c r="M22">
        <v>4</v>
      </c>
      <c r="N22" s="2" t="s">
        <v>19</v>
      </c>
      <c r="O22">
        <v>192.01</v>
      </c>
    </row>
    <row r="23" spans="1:15" x14ac:dyDescent="0.3">
      <c r="A23" s="1">
        <v>45361</v>
      </c>
      <c r="B23" s="2" t="s">
        <v>11</v>
      </c>
      <c r="C23" s="2" t="s">
        <v>21</v>
      </c>
      <c r="D23" s="2" t="s">
        <v>18</v>
      </c>
      <c r="E23">
        <v>83.13</v>
      </c>
      <c r="F23">
        <v>8.93</v>
      </c>
      <c r="G23">
        <v>0</v>
      </c>
      <c r="H23">
        <f t="shared" si="0"/>
        <v>54735.250000000029</v>
      </c>
      <c r="I23" t="str">
        <f>IF(Sheet1[[#This Row],[Month_Revenue]] &lt; AVERAGE(Sheet1[Month_Revenue]), "Off-Peak", "Peak")</f>
        <v>Off-Peak</v>
      </c>
      <c r="J23">
        <f xml:space="preserve"> IF(Sheet1[[#This Row],[Ad Spend]] &gt; 0, (Sheet1[[#This Row],[Profit]] / Sheet1[[#This Row],[Ad Spend]]), 0)</f>
        <v>8.3090705487122047</v>
      </c>
      <c r="K23">
        <f>Sheet1[[#This Row],[Revenue]]-Sheet1[[#This Row],[Ad Spend]]</f>
        <v>74.199999999999989</v>
      </c>
      <c r="L23" s="2" t="s">
        <v>22</v>
      </c>
      <c r="M23">
        <v>3</v>
      </c>
      <c r="N23" s="2" t="s">
        <v>19</v>
      </c>
      <c r="O23">
        <v>0</v>
      </c>
    </row>
    <row r="24" spans="1:15" x14ac:dyDescent="0.3">
      <c r="A24" s="1">
        <v>45344</v>
      </c>
      <c r="B24" s="2" t="s">
        <v>23</v>
      </c>
      <c r="C24" s="2" t="s">
        <v>12</v>
      </c>
      <c r="D24" s="2" t="s">
        <v>18</v>
      </c>
      <c r="E24">
        <v>192.33</v>
      </c>
      <c r="F24">
        <v>48.27</v>
      </c>
      <c r="G24">
        <v>2</v>
      </c>
      <c r="H24">
        <f t="shared" si="0"/>
        <v>48675.899999999936</v>
      </c>
      <c r="I24" t="str">
        <f>IF(Sheet1[[#This Row],[Month_Revenue]] &lt; AVERAGE(Sheet1[Month_Revenue]), "Off-Peak", "Peak")</f>
        <v>Off-Peak</v>
      </c>
      <c r="J24">
        <f xml:space="preserve"> IF(Sheet1[[#This Row],[Ad Spend]] &gt; 0, (Sheet1[[#This Row],[Profit]] / Sheet1[[#This Row],[Ad Spend]]), 0)</f>
        <v>2.9844623990055932</v>
      </c>
      <c r="K24">
        <f>Sheet1[[#This Row],[Revenue]]-Sheet1[[#This Row],[Ad Spend]]</f>
        <v>144.06</v>
      </c>
      <c r="L24" s="2" t="s">
        <v>14</v>
      </c>
      <c r="M24">
        <v>2</v>
      </c>
      <c r="N24" s="2" t="s">
        <v>15</v>
      </c>
      <c r="O24">
        <v>96.165000000000006</v>
      </c>
    </row>
    <row r="25" spans="1:15" x14ac:dyDescent="0.3">
      <c r="A25" s="1">
        <v>45307</v>
      </c>
      <c r="B25" s="2" t="s">
        <v>11</v>
      </c>
      <c r="C25" s="2" t="s">
        <v>17</v>
      </c>
      <c r="D25" s="2" t="s">
        <v>13</v>
      </c>
      <c r="E25">
        <v>172.6</v>
      </c>
      <c r="F25">
        <v>36.99</v>
      </c>
      <c r="G25">
        <v>2</v>
      </c>
      <c r="H25">
        <f t="shared" si="0"/>
        <v>61207.979999999989</v>
      </c>
      <c r="I25" t="str">
        <f>IF(Sheet1[[#This Row],[Month_Revenue]] &lt; AVERAGE(Sheet1[Month_Revenue]), "Off-Peak", "Peak")</f>
        <v>Peak</v>
      </c>
      <c r="J25">
        <f xml:space="preserve"> IF(Sheet1[[#This Row],[Ad Spend]] &gt; 0, (Sheet1[[#This Row],[Profit]] / Sheet1[[#This Row],[Ad Spend]]), 0)</f>
        <v>3.6661259799945927</v>
      </c>
      <c r="K25">
        <f>Sheet1[[#This Row],[Revenue]]-Sheet1[[#This Row],[Ad Spend]]</f>
        <v>135.60999999999999</v>
      </c>
      <c r="L25" s="2" t="s">
        <v>22</v>
      </c>
      <c r="M25">
        <v>1</v>
      </c>
      <c r="N25" s="2" t="s">
        <v>15</v>
      </c>
      <c r="O25">
        <v>86.3</v>
      </c>
    </row>
    <row r="26" spans="1:15" x14ac:dyDescent="0.3">
      <c r="A26" s="1">
        <v>45309</v>
      </c>
      <c r="B26" s="2" t="s">
        <v>24</v>
      </c>
      <c r="C26" s="2" t="s">
        <v>21</v>
      </c>
      <c r="D26" s="2" t="s">
        <v>18</v>
      </c>
      <c r="E26">
        <v>171.38</v>
      </c>
      <c r="F26">
        <v>15.23</v>
      </c>
      <c r="G26">
        <v>2</v>
      </c>
      <c r="H26">
        <f t="shared" si="0"/>
        <v>61207.979999999989</v>
      </c>
      <c r="I26" t="str">
        <f>IF(Sheet1[[#This Row],[Month_Revenue]] &lt; AVERAGE(Sheet1[Month_Revenue]), "Off-Peak", "Peak")</f>
        <v>Peak</v>
      </c>
      <c r="J26">
        <f xml:space="preserve"> IF(Sheet1[[#This Row],[Ad Spend]] &gt; 0, (Sheet1[[#This Row],[Profit]] / Sheet1[[#This Row],[Ad Spend]]), 0)</f>
        <v>10.252790544977019</v>
      </c>
      <c r="K26">
        <f>Sheet1[[#This Row],[Revenue]]-Sheet1[[#This Row],[Ad Spend]]</f>
        <v>156.15</v>
      </c>
      <c r="L26" s="2" t="s">
        <v>22</v>
      </c>
      <c r="M26">
        <v>1</v>
      </c>
      <c r="N26" s="2" t="s">
        <v>15</v>
      </c>
      <c r="O26">
        <v>85.69</v>
      </c>
    </row>
    <row r="27" spans="1:15" x14ac:dyDescent="0.3">
      <c r="A27" s="1">
        <v>45370</v>
      </c>
      <c r="B27" s="2" t="s">
        <v>20</v>
      </c>
      <c r="C27" s="2" t="s">
        <v>17</v>
      </c>
      <c r="D27" s="2" t="s">
        <v>18</v>
      </c>
      <c r="E27">
        <v>75.98</v>
      </c>
      <c r="F27">
        <v>39.29</v>
      </c>
      <c r="G27">
        <v>0</v>
      </c>
      <c r="H27">
        <f t="shared" si="0"/>
        <v>54735.250000000029</v>
      </c>
      <c r="I27" t="str">
        <f>IF(Sheet1[[#This Row],[Month_Revenue]] &lt; AVERAGE(Sheet1[Month_Revenue]), "Off-Peak", "Peak")</f>
        <v>Off-Peak</v>
      </c>
      <c r="J27">
        <f xml:space="preserve"> IF(Sheet1[[#This Row],[Ad Spend]] &gt; 0, (Sheet1[[#This Row],[Profit]] / Sheet1[[#This Row],[Ad Spend]]), 0)</f>
        <v>0.93382540086536026</v>
      </c>
      <c r="K27">
        <f>Sheet1[[#This Row],[Revenue]]-Sheet1[[#This Row],[Ad Spend]]</f>
        <v>36.690000000000005</v>
      </c>
      <c r="L27" s="2" t="s">
        <v>14</v>
      </c>
      <c r="M27">
        <v>3</v>
      </c>
      <c r="N27" s="2" t="s">
        <v>19</v>
      </c>
      <c r="O27">
        <v>0</v>
      </c>
    </row>
    <row r="28" spans="1:15" x14ac:dyDescent="0.3">
      <c r="A28" s="1">
        <v>45411</v>
      </c>
      <c r="B28" s="2" t="s">
        <v>23</v>
      </c>
      <c r="C28" s="2" t="s">
        <v>21</v>
      </c>
      <c r="D28" s="2" t="s">
        <v>18</v>
      </c>
      <c r="E28">
        <v>87.88</v>
      </c>
      <c r="F28">
        <v>3.82</v>
      </c>
      <c r="G28">
        <v>0</v>
      </c>
      <c r="H28">
        <f t="shared" si="0"/>
        <v>58562.910000000018</v>
      </c>
      <c r="I28" t="str">
        <f>IF(Sheet1[[#This Row],[Month_Revenue]] &lt; AVERAGE(Sheet1[Month_Revenue]), "Off-Peak", "Peak")</f>
        <v>Peak</v>
      </c>
      <c r="J28">
        <f xml:space="preserve"> IF(Sheet1[[#This Row],[Ad Spend]] &gt; 0, (Sheet1[[#This Row],[Profit]] / Sheet1[[#This Row],[Ad Spend]]), 0)</f>
        <v>22.005235602094242</v>
      </c>
      <c r="K28">
        <f>Sheet1[[#This Row],[Revenue]]-Sheet1[[#This Row],[Ad Spend]]</f>
        <v>84.06</v>
      </c>
      <c r="L28" s="2" t="s">
        <v>14</v>
      </c>
      <c r="M28">
        <v>4</v>
      </c>
      <c r="N28" s="2" t="s">
        <v>19</v>
      </c>
      <c r="O28">
        <v>0</v>
      </c>
    </row>
    <row r="29" spans="1:15" x14ac:dyDescent="0.3">
      <c r="A29" s="1">
        <v>45370</v>
      </c>
      <c r="B29" s="2" t="s">
        <v>11</v>
      </c>
      <c r="C29" s="2" t="s">
        <v>12</v>
      </c>
      <c r="D29" s="2" t="s">
        <v>13</v>
      </c>
      <c r="E29">
        <v>90.95</v>
      </c>
      <c r="F29">
        <v>35.25</v>
      </c>
      <c r="G29">
        <v>2</v>
      </c>
      <c r="H29">
        <f t="shared" si="0"/>
        <v>54735.250000000029</v>
      </c>
      <c r="I29" t="str">
        <f>IF(Sheet1[[#This Row],[Month_Revenue]] &lt; AVERAGE(Sheet1[Month_Revenue]), "Off-Peak", "Peak")</f>
        <v>Off-Peak</v>
      </c>
      <c r="J29">
        <f xml:space="preserve"> IF(Sheet1[[#This Row],[Ad Spend]] &gt; 0, (Sheet1[[#This Row],[Profit]] / Sheet1[[#This Row],[Ad Spend]]), 0)</f>
        <v>1.5801418439716313</v>
      </c>
      <c r="K29">
        <f>Sheet1[[#This Row],[Revenue]]-Sheet1[[#This Row],[Ad Spend]]</f>
        <v>55.7</v>
      </c>
      <c r="L29" s="2" t="s">
        <v>22</v>
      </c>
      <c r="M29">
        <v>3</v>
      </c>
      <c r="N29" s="2" t="s">
        <v>19</v>
      </c>
      <c r="O29">
        <v>45.475000000000001</v>
      </c>
    </row>
    <row r="30" spans="1:15" x14ac:dyDescent="0.3">
      <c r="A30" s="1">
        <v>45336</v>
      </c>
      <c r="B30" s="2" t="s">
        <v>23</v>
      </c>
      <c r="C30" s="2" t="s">
        <v>17</v>
      </c>
      <c r="D30" s="2" t="s">
        <v>18</v>
      </c>
      <c r="E30">
        <v>85.12</v>
      </c>
      <c r="F30">
        <v>22</v>
      </c>
      <c r="G30">
        <v>2</v>
      </c>
      <c r="H30">
        <f t="shared" si="0"/>
        <v>48675.899999999936</v>
      </c>
      <c r="I30" t="str">
        <f>IF(Sheet1[[#This Row],[Month_Revenue]] &lt; AVERAGE(Sheet1[Month_Revenue]), "Off-Peak", "Peak")</f>
        <v>Off-Peak</v>
      </c>
      <c r="J30">
        <f xml:space="preserve"> IF(Sheet1[[#This Row],[Ad Spend]] &gt; 0, (Sheet1[[#This Row],[Profit]] / Sheet1[[#This Row],[Ad Spend]]), 0)</f>
        <v>2.8690909090909091</v>
      </c>
      <c r="K30">
        <f>Sheet1[[#This Row],[Revenue]]-Sheet1[[#This Row],[Ad Spend]]</f>
        <v>63.120000000000005</v>
      </c>
      <c r="L30" s="2" t="s">
        <v>22</v>
      </c>
      <c r="M30">
        <v>2</v>
      </c>
      <c r="N30" s="2" t="s">
        <v>15</v>
      </c>
      <c r="O30">
        <v>42.56</v>
      </c>
    </row>
    <row r="31" spans="1:15" x14ac:dyDescent="0.3">
      <c r="A31" s="1">
        <v>45365</v>
      </c>
      <c r="B31" s="2" t="s">
        <v>23</v>
      </c>
      <c r="C31" s="2" t="s">
        <v>12</v>
      </c>
      <c r="D31" s="2" t="s">
        <v>18</v>
      </c>
      <c r="E31">
        <v>100.37</v>
      </c>
      <c r="F31">
        <v>49.27</v>
      </c>
      <c r="G31">
        <v>3</v>
      </c>
      <c r="H31">
        <f t="shared" si="0"/>
        <v>54735.250000000029</v>
      </c>
      <c r="I31" t="str">
        <f>IF(Sheet1[[#This Row],[Month_Revenue]] &lt; AVERAGE(Sheet1[Month_Revenue]), "Off-Peak", "Peak")</f>
        <v>Off-Peak</v>
      </c>
      <c r="J31">
        <f xml:space="preserve"> IF(Sheet1[[#This Row],[Ad Spend]] &gt; 0, (Sheet1[[#This Row],[Profit]] / Sheet1[[#This Row],[Ad Spend]]), 0)</f>
        <v>1.037142277247818</v>
      </c>
      <c r="K31">
        <f>Sheet1[[#This Row],[Revenue]]-Sheet1[[#This Row],[Ad Spend]]</f>
        <v>51.1</v>
      </c>
      <c r="L31" s="2" t="s">
        <v>22</v>
      </c>
      <c r="M31">
        <v>3</v>
      </c>
      <c r="N31" s="2" t="s">
        <v>19</v>
      </c>
      <c r="O31">
        <v>33.456666666666671</v>
      </c>
    </row>
    <row r="32" spans="1:15" x14ac:dyDescent="0.3">
      <c r="A32" s="1">
        <v>45321</v>
      </c>
      <c r="B32" s="2" t="s">
        <v>24</v>
      </c>
      <c r="C32" s="2" t="s">
        <v>21</v>
      </c>
      <c r="D32" s="2" t="s">
        <v>13</v>
      </c>
      <c r="E32">
        <v>191.59</v>
      </c>
      <c r="F32">
        <v>14.46</v>
      </c>
      <c r="G32">
        <v>1</v>
      </c>
      <c r="H32">
        <f t="shared" si="0"/>
        <v>61207.979999999989</v>
      </c>
      <c r="I32" t="str">
        <f>IF(Sheet1[[#This Row],[Month_Revenue]] &lt; AVERAGE(Sheet1[Month_Revenue]), "Off-Peak", "Peak")</f>
        <v>Peak</v>
      </c>
      <c r="J32">
        <f xml:space="preserve"> IF(Sheet1[[#This Row],[Ad Spend]] &gt; 0, (Sheet1[[#This Row],[Profit]] / Sheet1[[#This Row],[Ad Spend]]), 0)</f>
        <v>12.249654218533886</v>
      </c>
      <c r="K32">
        <f>Sheet1[[#This Row],[Revenue]]-Sheet1[[#This Row],[Ad Spend]]</f>
        <v>177.13</v>
      </c>
      <c r="L32" s="2" t="s">
        <v>14</v>
      </c>
      <c r="M32">
        <v>1</v>
      </c>
      <c r="N32" s="2" t="s">
        <v>15</v>
      </c>
      <c r="O32">
        <v>191.59</v>
      </c>
    </row>
    <row r="33" spans="1:15" x14ac:dyDescent="0.3">
      <c r="A33" s="1">
        <v>45354</v>
      </c>
      <c r="B33" s="2" t="s">
        <v>16</v>
      </c>
      <c r="C33" s="2" t="s">
        <v>21</v>
      </c>
      <c r="D33" s="2" t="s">
        <v>18</v>
      </c>
      <c r="E33">
        <v>167.52</v>
      </c>
      <c r="F33">
        <v>26.77</v>
      </c>
      <c r="G33">
        <v>0</v>
      </c>
      <c r="H33">
        <f t="shared" si="0"/>
        <v>54735.250000000029</v>
      </c>
      <c r="I33" t="str">
        <f>IF(Sheet1[[#This Row],[Month_Revenue]] &lt; AVERAGE(Sheet1[Month_Revenue]), "Off-Peak", "Peak")</f>
        <v>Off-Peak</v>
      </c>
      <c r="J33">
        <f xml:space="preserve"> IF(Sheet1[[#This Row],[Ad Spend]] &gt; 0, (Sheet1[[#This Row],[Profit]] / Sheet1[[#This Row],[Ad Spend]]), 0)</f>
        <v>5.2577512140455731</v>
      </c>
      <c r="K33">
        <f>Sheet1[[#This Row],[Revenue]]-Sheet1[[#This Row],[Ad Spend]]</f>
        <v>140.75</v>
      </c>
      <c r="L33" s="2" t="s">
        <v>22</v>
      </c>
      <c r="M33">
        <v>3</v>
      </c>
      <c r="N33" s="2" t="s">
        <v>19</v>
      </c>
      <c r="O33">
        <v>0</v>
      </c>
    </row>
    <row r="34" spans="1:15" x14ac:dyDescent="0.3">
      <c r="A34" s="1">
        <v>45357</v>
      </c>
      <c r="B34" s="2" t="s">
        <v>23</v>
      </c>
      <c r="C34" s="2" t="s">
        <v>17</v>
      </c>
      <c r="D34" s="2" t="s">
        <v>18</v>
      </c>
      <c r="E34">
        <v>143.06</v>
      </c>
      <c r="F34">
        <v>21.22</v>
      </c>
      <c r="G34">
        <v>3</v>
      </c>
      <c r="H34">
        <f t="shared" si="0"/>
        <v>54735.250000000029</v>
      </c>
      <c r="I34" t="str">
        <f>IF(Sheet1[[#This Row],[Month_Revenue]] &lt; AVERAGE(Sheet1[Month_Revenue]), "Off-Peak", "Peak")</f>
        <v>Off-Peak</v>
      </c>
      <c r="J34">
        <f xml:space="preserve"> IF(Sheet1[[#This Row],[Ad Spend]] &gt; 0, (Sheet1[[#This Row],[Profit]] / Sheet1[[#This Row],[Ad Spend]]), 0)</f>
        <v>5.7417530631479741</v>
      </c>
      <c r="K34">
        <f>Sheet1[[#This Row],[Revenue]]-Sheet1[[#This Row],[Ad Spend]]</f>
        <v>121.84</v>
      </c>
      <c r="L34" s="2" t="s">
        <v>14</v>
      </c>
      <c r="M34">
        <v>3</v>
      </c>
      <c r="N34" s="2" t="s">
        <v>19</v>
      </c>
      <c r="O34">
        <v>47.686666666666667</v>
      </c>
    </row>
    <row r="35" spans="1:15" x14ac:dyDescent="0.3">
      <c r="A35" s="1">
        <v>45382</v>
      </c>
      <c r="B35" s="2" t="s">
        <v>16</v>
      </c>
      <c r="C35" s="2" t="s">
        <v>21</v>
      </c>
      <c r="D35" s="2" t="s">
        <v>13</v>
      </c>
      <c r="E35">
        <v>63.35</v>
      </c>
      <c r="F35">
        <v>43.39</v>
      </c>
      <c r="G35">
        <v>0</v>
      </c>
      <c r="H35">
        <f t="shared" si="0"/>
        <v>54735.250000000029</v>
      </c>
      <c r="I35" t="str">
        <f>IF(Sheet1[[#This Row],[Month_Revenue]] &lt; AVERAGE(Sheet1[Month_Revenue]), "Off-Peak", "Peak")</f>
        <v>Off-Peak</v>
      </c>
      <c r="J35">
        <f xml:space="preserve"> IF(Sheet1[[#This Row],[Ad Spend]] &gt; 0, (Sheet1[[#This Row],[Profit]] / Sheet1[[#This Row],[Ad Spend]]), 0)</f>
        <v>0.46001382807098412</v>
      </c>
      <c r="K35">
        <f>Sheet1[[#This Row],[Revenue]]-Sheet1[[#This Row],[Ad Spend]]</f>
        <v>19.96</v>
      </c>
      <c r="L35" s="2" t="s">
        <v>14</v>
      </c>
      <c r="M35">
        <v>3</v>
      </c>
      <c r="N35" s="2" t="s">
        <v>19</v>
      </c>
      <c r="O35">
        <v>0</v>
      </c>
    </row>
    <row r="36" spans="1:15" x14ac:dyDescent="0.3">
      <c r="A36" s="1">
        <v>45360</v>
      </c>
      <c r="B36" s="2" t="s">
        <v>20</v>
      </c>
      <c r="C36" s="2" t="s">
        <v>17</v>
      </c>
      <c r="D36" s="2" t="s">
        <v>13</v>
      </c>
      <c r="E36">
        <v>93.59</v>
      </c>
      <c r="F36">
        <v>9.11</v>
      </c>
      <c r="G36">
        <v>1</v>
      </c>
      <c r="H36">
        <f t="shared" si="0"/>
        <v>54735.250000000029</v>
      </c>
      <c r="I36" t="str">
        <f>IF(Sheet1[[#This Row],[Month_Revenue]] &lt; AVERAGE(Sheet1[Month_Revenue]), "Off-Peak", "Peak")</f>
        <v>Off-Peak</v>
      </c>
      <c r="J36">
        <f xml:space="preserve"> IF(Sheet1[[#This Row],[Ad Spend]] &gt; 0, (Sheet1[[#This Row],[Profit]] / Sheet1[[#This Row],[Ad Spend]]), 0)</f>
        <v>9.2733260153677293</v>
      </c>
      <c r="K36">
        <f>Sheet1[[#This Row],[Revenue]]-Sheet1[[#This Row],[Ad Spend]]</f>
        <v>84.48</v>
      </c>
      <c r="L36" s="2" t="s">
        <v>22</v>
      </c>
      <c r="M36">
        <v>3</v>
      </c>
      <c r="N36" s="2" t="s">
        <v>19</v>
      </c>
      <c r="O36">
        <v>93.59</v>
      </c>
    </row>
    <row r="37" spans="1:15" x14ac:dyDescent="0.3">
      <c r="A37" s="1">
        <v>45373</v>
      </c>
      <c r="B37" s="2" t="s">
        <v>20</v>
      </c>
      <c r="C37" s="2" t="s">
        <v>21</v>
      </c>
      <c r="D37" s="2" t="s">
        <v>18</v>
      </c>
      <c r="E37">
        <v>76.91</v>
      </c>
      <c r="F37">
        <v>18.11</v>
      </c>
      <c r="G37">
        <v>0</v>
      </c>
      <c r="H37">
        <f t="shared" si="0"/>
        <v>54735.250000000029</v>
      </c>
      <c r="I37" t="str">
        <f>IF(Sheet1[[#This Row],[Month_Revenue]] &lt; AVERAGE(Sheet1[Month_Revenue]), "Off-Peak", "Peak")</f>
        <v>Off-Peak</v>
      </c>
      <c r="J37">
        <f xml:space="preserve"> IF(Sheet1[[#This Row],[Ad Spend]] &gt; 0, (Sheet1[[#This Row],[Profit]] / Sheet1[[#This Row],[Ad Spend]]), 0)</f>
        <v>3.2468249585864162</v>
      </c>
      <c r="K37">
        <f>Sheet1[[#This Row],[Revenue]]-Sheet1[[#This Row],[Ad Spend]]</f>
        <v>58.8</v>
      </c>
      <c r="L37" s="2" t="s">
        <v>22</v>
      </c>
      <c r="M37">
        <v>3</v>
      </c>
      <c r="N37" s="2" t="s">
        <v>19</v>
      </c>
      <c r="O37">
        <v>0</v>
      </c>
    </row>
    <row r="38" spans="1:15" x14ac:dyDescent="0.3">
      <c r="A38" s="1">
        <v>45294</v>
      </c>
      <c r="B38" s="2" t="s">
        <v>20</v>
      </c>
      <c r="C38" s="2" t="s">
        <v>17</v>
      </c>
      <c r="D38" s="2" t="s">
        <v>18</v>
      </c>
      <c r="E38">
        <v>90.41</v>
      </c>
      <c r="F38">
        <v>20.23</v>
      </c>
      <c r="G38">
        <v>3</v>
      </c>
      <c r="H38">
        <f t="shared" si="0"/>
        <v>61207.979999999989</v>
      </c>
      <c r="I38" t="str">
        <f>IF(Sheet1[[#This Row],[Month_Revenue]] &lt; AVERAGE(Sheet1[Month_Revenue]), "Off-Peak", "Peak")</f>
        <v>Peak</v>
      </c>
      <c r="J38">
        <f xml:space="preserve"> IF(Sheet1[[#This Row],[Ad Spend]] &gt; 0, (Sheet1[[#This Row],[Profit]] / Sheet1[[#This Row],[Ad Spend]]), 0)</f>
        <v>3.4691052891744927</v>
      </c>
      <c r="K38">
        <f>Sheet1[[#This Row],[Revenue]]-Sheet1[[#This Row],[Ad Spend]]</f>
        <v>70.179999999999993</v>
      </c>
      <c r="L38" s="2" t="s">
        <v>22</v>
      </c>
      <c r="M38">
        <v>1</v>
      </c>
      <c r="N38" s="2" t="s">
        <v>15</v>
      </c>
      <c r="O38">
        <v>30.136666666666667</v>
      </c>
    </row>
    <row r="39" spans="1:15" x14ac:dyDescent="0.3">
      <c r="A39" s="1">
        <v>45338</v>
      </c>
      <c r="B39" s="2" t="s">
        <v>20</v>
      </c>
      <c r="C39" s="2" t="s">
        <v>17</v>
      </c>
      <c r="D39" s="2" t="s">
        <v>13</v>
      </c>
      <c r="E39">
        <v>180.29</v>
      </c>
      <c r="F39">
        <v>41.66</v>
      </c>
      <c r="G39">
        <v>3</v>
      </c>
      <c r="H39">
        <f t="shared" si="0"/>
        <v>48675.899999999936</v>
      </c>
      <c r="I39" t="str">
        <f>IF(Sheet1[[#This Row],[Month_Revenue]] &lt; AVERAGE(Sheet1[Month_Revenue]), "Off-Peak", "Peak")</f>
        <v>Off-Peak</v>
      </c>
      <c r="J39">
        <f xml:space="preserve"> IF(Sheet1[[#This Row],[Ad Spend]] &gt; 0, (Sheet1[[#This Row],[Profit]] / Sheet1[[#This Row],[Ad Spend]]), 0)</f>
        <v>3.3276524243879022</v>
      </c>
      <c r="K39">
        <f>Sheet1[[#This Row],[Revenue]]-Sheet1[[#This Row],[Ad Spend]]</f>
        <v>138.63</v>
      </c>
      <c r="L39" s="2" t="s">
        <v>22</v>
      </c>
      <c r="M39">
        <v>2</v>
      </c>
      <c r="N39" s="2" t="s">
        <v>15</v>
      </c>
      <c r="O39">
        <v>60.096666666666664</v>
      </c>
    </row>
    <row r="40" spans="1:15" x14ac:dyDescent="0.3">
      <c r="A40" s="1">
        <v>45403</v>
      </c>
      <c r="B40" s="2" t="s">
        <v>20</v>
      </c>
      <c r="C40" s="2" t="s">
        <v>12</v>
      </c>
      <c r="D40" s="2" t="s">
        <v>18</v>
      </c>
      <c r="E40">
        <v>95.64</v>
      </c>
      <c r="F40">
        <v>8.57</v>
      </c>
      <c r="G40">
        <v>1</v>
      </c>
      <c r="H40">
        <f t="shared" si="0"/>
        <v>58562.910000000018</v>
      </c>
      <c r="I40" t="str">
        <f>IF(Sheet1[[#This Row],[Month_Revenue]] &lt; AVERAGE(Sheet1[Month_Revenue]), "Off-Peak", "Peak")</f>
        <v>Peak</v>
      </c>
      <c r="J40">
        <f xml:space="preserve"> IF(Sheet1[[#This Row],[Ad Spend]] &gt; 0, (Sheet1[[#This Row],[Profit]] / Sheet1[[#This Row],[Ad Spend]]), 0)</f>
        <v>10.159859976662776</v>
      </c>
      <c r="K40">
        <f>Sheet1[[#This Row],[Revenue]]-Sheet1[[#This Row],[Ad Spend]]</f>
        <v>87.07</v>
      </c>
      <c r="L40" s="2" t="s">
        <v>14</v>
      </c>
      <c r="M40">
        <v>4</v>
      </c>
      <c r="N40" s="2" t="s">
        <v>19</v>
      </c>
      <c r="O40">
        <v>95.64</v>
      </c>
    </row>
    <row r="41" spans="1:15" x14ac:dyDescent="0.3">
      <c r="A41" s="1">
        <v>45359</v>
      </c>
      <c r="B41" s="2" t="s">
        <v>11</v>
      </c>
      <c r="C41" s="2" t="s">
        <v>21</v>
      </c>
      <c r="D41" s="2" t="s">
        <v>13</v>
      </c>
      <c r="E41">
        <v>27.3</v>
      </c>
      <c r="F41">
        <v>31.43</v>
      </c>
      <c r="G41">
        <v>2</v>
      </c>
      <c r="H41">
        <f t="shared" si="0"/>
        <v>54735.250000000029</v>
      </c>
      <c r="I41" t="str">
        <f>IF(Sheet1[[#This Row],[Month_Revenue]] &lt; AVERAGE(Sheet1[Month_Revenue]), "Off-Peak", "Peak")</f>
        <v>Off-Peak</v>
      </c>
      <c r="J41">
        <f xml:space="preserve"> IF(Sheet1[[#This Row],[Ad Spend]] &gt; 0, (Sheet1[[#This Row],[Profit]] / Sheet1[[#This Row],[Ad Spend]]), 0)</f>
        <v>-0.13140311804008906</v>
      </c>
      <c r="K41">
        <f>Sheet1[[#This Row],[Revenue]]-Sheet1[[#This Row],[Ad Spend]]</f>
        <v>-4.129999999999999</v>
      </c>
      <c r="L41" s="2" t="s">
        <v>14</v>
      </c>
      <c r="M41">
        <v>3</v>
      </c>
      <c r="N41" s="2" t="s">
        <v>19</v>
      </c>
      <c r="O41">
        <v>13.65</v>
      </c>
    </row>
    <row r="42" spans="1:15" x14ac:dyDescent="0.3">
      <c r="A42" s="1">
        <v>45358</v>
      </c>
      <c r="B42" s="2" t="s">
        <v>20</v>
      </c>
      <c r="C42" s="2" t="s">
        <v>12</v>
      </c>
      <c r="D42" s="2" t="s">
        <v>13</v>
      </c>
      <c r="E42">
        <v>51.63</v>
      </c>
      <c r="F42">
        <v>27.16</v>
      </c>
      <c r="G42">
        <v>1</v>
      </c>
      <c r="H42">
        <f t="shared" si="0"/>
        <v>54735.250000000029</v>
      </c>
      <c r="I42" t="str">
        <f>IF(Sheet1[[#This Row],[Month_Revenue]] &lt; AVERAGE(Sheet1[Month_Revenue]), "Off-Peak", "Peak")</f>
        <v>Off-Peak</v>
      </c>
      <c r="J42">
        <f xml:space="preserve"> IF(Sheet1[[#This Row],[Ad Spend]] &gt; 0, (Sheet1[[#This Row],[Profit]] / Sheet1[[#This Row],[Ad Spend]]), 0)</f>
        <v>0.90095729013254799</v>
      </c>
      <c r="K42">
        <f>Sheet1[[#This Row],[Revenue]]-Sheet1[[#This Row],[Ad Spend]]</f>
        <v>24.470000000000002</v>
      </c>
      <c r="L42" s="2" t="s">
        <v>22</v>
      </c>
      <c r="M42">
        <v>3</v>
      </c>
      <c r="N42" s="2" t="s">
        <v>19</v>
      </c>
      <c r="O42">
        <v>51.63</v>
      </c>
    </row>
    <row r="43" spans="1:15" x14ac:dyDescent="0.3">
      <c r="A43" s="1">
        <v>45347</v>
      </c>
      <c r="B43" s="2" t="s">
        <v>16</v>
      </c>
      <c r="C43" s="2" t="s">
        <v>12</v>
      </c>
      <c r="D43" s="2" t="s">
        <v>13</v>
      </c>
      <c r="E43">
        <v>148.76</v>
      </c>
      <c r="F43">
        <v>1.56</v>
      </c>
      <c r="G43">
        <v>1</v>
      </c>
      <c r="H43">
        <f t="shared" si="0"/>
        <v>48675.899999999936</v>
      </c>
      <c r="I43" t="str">
        <f>IF(Sheet1[[#This Row],[Month_Revenue]] &lt; AVERAGE(Sheet1[Month_Revenue]), "Off-Peak", "Peak")</f>
        <v>Off-Peak</v>
      </c>
      <c r="J43">
        <f xml:space="preserve"> IF(Sheet1[[#This Row],[Ad Spend]] &gt; 0, (Sheet1[[#This Row],[Profit]] / Sheet1[[#This Row],[Ad Spend]]), 0)</f>
        <v>94.358974358974351</v>
      </c>
      <c r="K43">
        <f>Sheet1[[#This Row],[Revenue]]-Sheet1[[#This Row],[Ad Spend]]</f>
        <v>147.19999999999999</v>
      </c>
      <c r="L43" s="2" t="s">
        <v>22</v>
      </c>
      <c r="M43">
        <v>2</v>
      </c>
      <c r="N43" s="2" t="s">
        <v>15</v>
      </c>
      <c r="O43">
        <v>148.76</v>
      </c>
    </row>
    <row r="44" spans="1:15" x14ac:dyDescent="0.3">
      <c r="A44" s="1">
        <v>45346</v>
      </c>
      <c r="B44" s="2" t="s">
        <v>24</v>
      </c>
      <c r="C44" s="2" t="s">
        <v>17</v>
      </c>
      <c r="D44" s="2" t="s">
        <v>13</v>
      </c>
      <c r="E44">
        <v>42.78</v>
      </c>
      <c r="F44">
        <v>20.100000000000001</v>
      </c>
      <c r="G44">
        <v>3</v>
      </c>
      <c r="H44">
        <f t="shared" si="0"/>
        <v>48675.899999999936</v>
      </c>
      <c r="I44" t="str">
        <f>IF(Sheet1[[#This Row],[Month_Revenue]] &lt; AVERAGE(Sheet1[Month_Revenue]), "Off-Peak", "Peak")</f>
        <v>Off-Peak</v>
      </c>
      <c r="J44">
        <f xml:space="preserve"> IF(Sheet1[[#This Row],[Ad Spend]] &gt; 0, (Sheet1[[#This Row],[Profit]] / Sheet1[[#This Row],[Ad Spend]]), 0)</f>
        <v>1.1283582089552238</v>
      </c>
      <c r="K44">
        <f>Sheet1[[#This Row],[Revenue]]-Sheet1[[#This Row],[Ad Spend]]</f>
        <v>22.68</v>
      </c>
      <c r="L44" s="2" t="s">
        <v>14</v>
      </c>
      <c r="M44">
        <v>2</v>
      </c>
      <c r="N44" s="2" t="s">
        <v>15</v>
      </c>
      <c r="O44">
        <v>14.26</v>
      </c>
    </row>
    <row r="45" spans="1:15" x14ac:dyDescent="0.3">
      <c r="A45" s="1">
        <v>45330</v>
      </c>
      <c r="B45" s="2" t="s">
        <v>16</v>
      </c>
      <c r="C45" s="2" t="s">
        <v>12</v>
      </c>
      <c r="D45" s="2" t="s">
        <v>13</v>
      </c>
      <c r="E45">
        <v>169.52</v>
      </c>
      <c r="F45">
        <v>21.17</v>
      </c>
      <c r="G45">
        <v>3</v>
      </c>
      <c r="H45">
        <f t="shared" si="0"/>
        <v>48675.899999999936</v>
      </c>
      <c r="I45" t="str">
        <f>IF(Sheet1[[#This Row],[Month_Revenue]] &lt; AVERAGE(Sheet1[Month_Revenue]), "Off-Peak", "Peak")</f>
        <v>Off-Peak</v>
      </c>
      <c r="J45">
        <f xml:space="preserve"> IF(Sheet1[[#This Row],[Ad Spend]] &gt; 0, (Sheet1[[#This Row],[Profit]] / Sheet1[[#This Row],[Ad Spend]]), 0)</f>
        <v>7.0075578649031653</v>
      </c>
      <c r="K45">
        <f>Sheet1[[#This Row],[Revenue]]-Sheet1[[#This Row],[Ad Spend]]</f>
        <v>148.35000000000002</v>
      </c>
      <c r="L45" s="2" t="s">
        <v>14</v>
      </c>
      <c r="M45">
        <v>2</v>
      </c>
      <c r="N45" s="2" t="s">
        <v>15</v>
      </c>
      <c r="O45">
        <v>56.506666666666668</v>
      </c>
    </row>
    <row r="46" spans="1:15" x14ac:dyDescent="0.3">
      <c r="A46" s="1">
        <v>45356</v>
      </c>
      <c r="B46" s="2" t="s">
        <v>23</v>
      </c>
      <c r="C46" s="2" t="s">
        <v>17</v>
      </c>
      <c r="D46" s="2" t="s">
        <v>18</v>
      </c>
      <c r="E46">
        <v>160.03</v>
      </c>
      <c r="F46">
        <v>6</v>
      </c>
      <c r="G46">
        <v>0</v>
      </c>
      <c r="H46">
        <f t="shared" si="0"/>
        <v>54735.250000000029</v>
      </c>
      <c r="I46" t="str">
        <f>IF(Sheet1[[#This Row],[Month_Revenue]] &lt; AVERAGE(Sheet1[Month_Revenue]), "Off-Peak", "Peak")</f>
        <v>Off-Peak</v>
      </c>
      <c r="J46">
        <f xml:space="preserve"> IF(Sheet1[[#This Row],[Ad Spend]] &gt; 0, (Sheet1[[#This Row],[Profit]] / Sheet1[[#This Row],[Ad Spend]]), 0)</f>
        <v>25.671666666666667</v>
      </c>
      <c r="K46">
        <f>Sheet1[[#This Row],[Revenue]]-Sheet1[[#This Row],[Ad Spend]]</f>
        <v>154.03</v>
      </c>
      <c r="L46" s="2" t="s">
        <v>22</v>
      </c>
      <c r="M46">
        <v>3</v>
      </c>
      <c r="N46" s="2" t="s">
        <v>19</v>
      </c>
      <c r="O46">
        <v>0</v>
      </c>
    </row>
    <row r="47" spans="1:15" x14ac:dyDescent="0.3">
      <c r="A47" s="1">
        <v>45383</v>
      </c>
      <c r="B47" s="2" t="s">
        <v>20</v>
      </c>
      <c r="C47" s="2" t="s">
        <v>12</v>
      </c>
      <c r="D47" s="2" t="s">
        <v>13</v>
      </c>
      <c r="E47">
        <v>85.48</v>
      </c>
      <c r="F47">
        <v>4.05</v>
      </c>
      <c r="G47">
        <v>0</v>
      </c>
      <c r="H47">
        <f t="shared" si="0"/>
        <v>58562.910000000018</v>
      </c>
      <c r="I47" t="str">
        <f>IF(Sheet1[[#This Row],[Month_Revenue]] &lt; AVERAGE(Sheet1[Month_Revenue]), "Off-Peak", "Peak")</f>
        <v>Peak</v>
      </c>
      <c r="J47">
        <f xml:space="preserve"> IF(Sheet1[[#This Row],[Ad Spend]] &gt; 0, (Sheet1[[#This Row],[Profit]] / Sheet1[[#This Row],[Ad Spend]]), 0)</f>
        <v>20.106172839506176</v>
      </c>
      <c r="K47">
        <f>Sheet1[[#This Row],[Revenue]]-Sheet1[[#This Row],[Ad Spend]]</f>
        <v>81.430000000000007</v>
      </c>
      <c r="L47" s="2" t="s">
        <v>22</v>
      </c>
      <c r="M47">
        <v>4</v>
      </c>
      <c r="N47" s="2" t="s">
        <v>19</v>
      </c>
      <c r="O47">
        <v>0</v>
      </c>
    </row>
    <row r="48" spans="1:15" x14ac:dyDescent="0.3">
      <c r="A48" s="1">
        <v>45320</v>
      </c>
      <c r="B48" s="2" t="s">
        <v>24</v>
      </c>
      <c r="C48" s="2" t="s">
        <v>21</v>
      </c>
      <c r="D48" s="2" t="s">
        <v>13</v>
      </c>
      <c r="E48">
        <v>172.06</v>
      </c>
      <c r="F48">
        <v>8.3699999999999992</v>
      </c>
      <c r="G48">
        <v>0</v>
      </c>
      <c r="H48">
        <f t="shared" si="0"/>
        <v>61207.979999999989</v>
      </c>
      <c r="I48" t="str">
        <f>IF(Sheet1[[#This Row],[Month_Revenue]] &lt; AVERAGE(Sheet1[Month_Revenue]), "Off-Peak", "Peak")</f>
        <v>Peak</v>
      </c>
      <c r="J48">
        <f xml:space="preserve"> IF(Sheet1[[#This Row],[Ad Spend]] &gt; 0, (Sheet1[[#This Row],[Profit]] / Sheet1[[#This Row],[Ad Spend]]), 0)</f>
        <v>19.556750298685785</v>
      </c>
      <c r="K48">
        <f>Sheet1[[#This Row],[Revenue]]-Sheet1[[#This Row],[Ad Spend]]</f>
        <v>163.69</v>
      </c>
      <c r="L48" s="2" t="s">
        <v>14</v>
      </c>
      <c r="M48">
        <v>1</v>
      </c>
      <c r="N48" s="2" t="s">
        <v>15</v>
      </c>
      <c r="O48">
        <v>0</v>
      </c>
    </row>
    <row r="49" spans="1:15" x14ac:dyDescent="0.3">
      <c r="A49" s="1">
        <v>45367</v>
      </c>
      <c r="B49" s="2" t="s">
        <v>24</v>
      </c>
      <c r="C49" s="2" t="s">
        <v>17</v>
      </c>
      <c r="D49" s="2" t="s">
        <v>18</v>
      </c>
      <c r="E49">
        <v>148.19999999999999</v>
      </c>
      <c r="F49">
        <v>40.07</v>
      </c>
      <c r="G49">
        <v>3</v>
      </c>
      <c r="H49">
        <f t="shared" si="0"/>
        <v>54735.250000000029</v>
      </c>
      <c r="I49" t="str">
        <f>IF(Sheet1[[#This Row],[Month_Revenue]] &lt; AVERAGE(Sheet1[Month_Revenue]), "Off-Peak", "Peak")</f>
        <v>Off-Peak</v>
      </c>
      <c r="J49">
        <f xml:space="preserve"> IF(Sheet1[[#This Row],[Ad Spend]] &gt; 0, (Sheet1[[#This Row],[Profit]] / Sheet1[[#This Row],[Ad Spend]]), 0)</f>
        <v>2.6985275767407035</v>
      </c>
      <c r="K49">
        <f>Sheet1[[#This Row],[Revenue]]-Sheet1[[#This Row],[Ad Spend]]</f>
        <v>108.13</v>
      </c>
      <c r="L49" s="2" t="s">
        <v>14</v>
      </c>
      <c r="M49">
        <v>3</v>
      </c>
      <c r="N49" s="2" t="s">
        <v>19</v>
      </c>
      <c r="O49">
        <v>49.4</v>
      </c>
    </row>
    <row r="50" spans="1:15" x14ac:dyDescent="0.3">
      <c r="A50" s="1">
        <v>45314</v>
      </c>
      <c r="B50" s="2" t="s">
        <v>11</v>
      </c>
      <c r="C50" s="2" t="s">
        <v>17</v>
      </c>
      <c r="D50" s="2" t="s">
        <v>18</v>
      </c>
      <c r="E50">
        <v>28.12</v>
      </c>
      <c r="F50">
        <v>49.13</v>
      </c>
      <c r="G50">
        <v>3</v>
      </c>
      <c r="H50">
        <f t="shared" si="0"/>
        <v>61207.979999999989</v>
      </c>
      <c r="I50" t="str">
        <f>IF(Sheet1[[#This Row],[Month_Revenue]] &lt; AVERAGE(Sheet1[Month_Revenue]), "Off-Peak", "Peak")</f>
        <v>Peak</v>
      </c>
      <c r="J50">
        <f xml:space="preserve"> IF(Sheet1[[#This Row],[Ad Spend]] &gt; 0, (Sheet1[[#This Row],[Profit]] / Sheet1[[#This Row],[Ad Spend]]), 0)</f>
        <v>-0.42764095257480156</v>
      </c>
      <c r="K50">
        <f>Sheet1[[#This Row],[Revenue]]-Sheet1[[#This Row],[Ad Spend]]</f>
        <v>-21.01</v>
      </c>
      <c r="L50" s="2" t="s">
        <v>22</v>
      </c>
      <c r="M50">
        <v>1</v>
      </c>
      <c r="N50" s="2" t="s">
        <v>15</v>
      </c>
      <c r="O50">
        <v>9.3733333333333331</v>
      </c>
    </row>
    <row r="51" spans="1:15" x14ac:dyDescent="0.3">
      <c r="A51" s="1">
        <v>45400</v>
      </c>
      <c r="B51" s="2" t="s">
        <v>11</v>
      </c>
      <c r="C51" s="2" t="s">
        <v>21</v>
      </c>
      <c r="D51" s="2" t="s">
        <v>18</v>
      </c>
      <c r="E51">
        <v>155.91</v>
      </c>
      <c r="F51">
        <v>40.729999999999997</v>
      </c>
      <c r="G51">
        <v>2</v>
      </c>
      <c r="H51">
        <f t="shared" si="0"/>
        <v>58562.910000000018</v>
      </c>
      <c r="I51" t="str">
        <f>IF(Sheet1[[#This Row],[Month_Revenue]] &lt; AVERAGE(Sheet1[Month_Revenue]), "Off-Peak", "Peak")</f>
        <v>Peak</v>
      </c>
      <c r="J51">
        <f xml:space="preserve"> IF(Sheet1[[#This Row],[Ad Spend]] &gt; 0, (Sheet1[[#This Row],[Profit]] / Sheet1[[#This Row],[Ad Spend]]), 0)</f>
        <v>2.8278909894426718</v>
      </c>
      <c r="K51">
        <f>Sheet1[[#This Row],[Revenue]]-Sheet1[[#This Row],[Ad Spend]]</f>
        <v>115.18</v>
      </c>
      <c r="L51" s="2" t="s">
        <v>14</v>
      </c>
      <c r="M51">
        <v>4</v>
      </c>
      <c r="N51" s="2" t="s">
        <v>19</v>
      </c>
      <c r="O51">
        <v>77.954999999999998</v>
      </c>
    </row>
    <row r="52" spans="1:15" x14ac:dyDescent="0.3">
      <c r="A52" s="1">
        <v>45359</v>
      </c>
      <c r="B52" s="2" t="s">
        <v>11</v>
      </c>
      <c r="C52" s="2" t="s">
        <v>21</v>
      </c>
      <c r="D52" s="2" t="s">
        <v>18</v>
      </c>
      <c r="E52">
        <v>46.14</v>
      </c>
      <c r="F52">
        <v>46.94</v>
      </c>
      <c r="G52">
        <v>0</v>
      </c>
      <c r="H52">
        <f t="shared" si="0"/>
        <v>54735.250000000029</v>
      </c>
      <c r="I52" t="str">
        <f>IF(Sheet1[[#This Row],[Month_Revenue]] &lt; AVERAGE(Sheet1[Month_Revenue]), "Off-Peak", "Peak")</f>
        <v>Off-Peak</v>
      </c>
      <c r="J52">
        <f xml:space="preserve"> IF(Sheet1[[#This Row],[Ad Spend]] &gt; 0, (Sheet1[[#This Row],[Profit]] / Sheet1[[#This Row],[Ad Spend]]), 0)</f>
        <v>-1.7043033659991418E-2</v>
      </c>
      <c r="K52">
        <f>Sheet1[[#This Row],[Revenue]]-Sheet1[[#This Row],[Ad Spend]]</f>
        <v>-0.79999999999999716</v>
      </c>
      <c r="L52" s="2" t="s">
        <v>22</v>
      </c>
      <c r="M52">
        <v>3</v>
      </c>
      <c r="N52" s="2" t="s">
        <v>19</v>
      </c>
      <c r="O52">
        <v>0</v>
      </c>
    </row>
    <row r="53" spans="1:15" x14ac:dyDescent="0.3">
      <c r="A53" s="1">
        <v>45358</v>
      </c>
      <c r="B53" s="2" t="s">
        <v>23</v>
      </c>
      <c r="C53" s="2" t="s">
        <v>17</v>
      </c>
      <c r="D53" s="2" t="s">
        <v>18</v>
      </c>
      <c r="E53">
        <v>61.47</v>
      </c>
      <c r="F53">
        <v>6.73</v>
      </c>
      <c r="G53">
        <v>3</v>
      </c>
      <c r="H53">
        <f t="shared" si="0"/>
        <v>54735.250000000029</v>
      </c>
      <c r="I53" t="str">
        <f>IF(Sheet1[[#This Row],[Month_Revenue]] &lt; AVERAGE(Sheet1[Month_Revenue]), "Off-Peak", "Peak")</f>
        <v>Off-Peak</v>
      </c>
      <c r="J53">
        <f xml:space="preserve"> IF(Sheet1[[#This Row],[Ad Spend]] &gt; 0, (Sheet1[[#This Row],[Profit]] / Sheet1[[#This Row],[Ad Spend]]), 0)</f>
        <v>8.1337295690936102</v>
      </c>
      <c r="K53">
        <f>Sheet1[[#This Row],[Revenue]]-Sheet1[[#This Row],[Ad Spend]]</f>
        <v>54.739999999999995</v>
      </c>
      <c r="L53" s="2" t="s">
        <v>22</v>
      </c>
      <c r="M53">
        <v>3</v>
      </c>
      <c r="N53" s="2" t="s">
        <v>19</v>
      </c>
      <c r="O53">
        <v>20.49</v>
      </c>
    </row>
    <row r="54" spans="1:15" x14ac:dyDescent="0.3">
      <c r="A54" s="1">
        <v>45305</v>
      </c>
      <c r="B54" s="2" t="s">
        <v>16</v>
      </c>
      <c r="C54" s="2" t="s">
        <v>17</v>
      </c>
      <c r="D54" s="2" t="s">
        <v>13</v>
      </c>
      <c r="E54">
        <v>149.6</v>
      </c>
      <c r="F54">
        <v>18.66</v>
      </c>
      <c r="G54">
        <v>0</v>
      </c>
      <c r="H54">
        <f t="shared" si="0"/>
        <v>61207.979999999989</v>
      </c>
      <c r="I54" t="str">
        <f>IF(Sheet1[[#This Row],[Month_Revenue]] &lt; AVERAGE(Sheet1[Month_Revenue]), "Off-Peak", "Peak")</f>
        <v>Peak</v>
      </c>
      <c r="J54">
        <f xml:space="preserve"> IF(Sheet1[[#This Row],[Ad Spend]] &gt; 0, (Sheet1[[#This Row],[Profit]] / Sheet1[[#This Row],[Ad Spend]]), 0)</f>
        <v>7.017148981779207</v>
      </c>
      <c r="K54">
        <f>Sheet1[[#This Row],[Revenue]]-Sheet1[[#This Row],[Ad Spend]]</f>
        <v>130.94</v>
      </c>
      <c r="L54" s="2" t="s">
        <v>14</v>
      </c>
      <c r="M54">
        <v>1</v>
      </c>
      <c r="N54" s="2" t="s">
        <v>15</v>
      </c>
      <c r="O54">
        <v>0</v>
      </c>
    </row>
    <row r="55" spans="1:15" x14ac:dyDescent="0.3">
      <c r="A55" s="1">
        <v>45298</v>
      </c>
      <c r="B55" s="2" t="s">
        <v>24</v>
      </c>
      <c r="C55" s="2" t="s">
        <v>21</v>
      </c>
      <c r="D55" s="2" t="s">
        <v>18</v>
      </c>
      <c r="E55">
        <v>170.44</v>
      </c>
      <c r="F55">
        <v>20.25</v>
      </c>
      <c r="G55">
        <v>2</v>
      </c>
      <c r="H55">
        <f t="shared" si="0"/>
        <v>61207.979999999989</v>
      </c>
      <c r="I55" t="str">
        <f>IF(Sheet1[[#This Row],[Month_Revenue]] &lt; AVERAGE(Sheet1[Month_Revenue]), "Off-Peak", "Peak")</f>
        <v>Peak</v>
      </c>
      <c r="J55">
        <f xml:space="preserve"> IF(Sheet1[[#This Row],[Ad Spend]] &gt; 0, (Sheet1[[#This Row],[Profit]] / Sheet1[[#This Row],[Ad Spend]]), 0)</f>
        <v>7.4167901234567903</v>
      </c>
      <c r="K55">
        <f>Sheet1[[#This Row],[Revenue]]-Sheet1[[#This Row],[Ad Spend]]</f>
        <v>150.19</v>
      </c>
      <c r="L55" s="2" t="s">
        <v>22</v>
      </c>
      <c r="M55">
        <v>1</v>
      </c>
      <c r="N55" s="2" t="s">
        <v>15</v>
      </c>
      <c r="O55">
        <v>85.22</v>
      </c>
    </row>
    <row r="56" spans="1:15" x14ac:dyDescent="0.3">
      <c r="A56" s="1">
        <v>45396</v>
      </c>
      <c r="B56" s="2" t="s">
        <v>11</v>
      </c>
      <c r="C56" s="2" t="s">
        <v>21</v>
      </c>
      <c r="D56" s="2" t="s">
        <v>18</v>
      </c>
      <c r="E56">
        <v>149.97</v>
      </c>
      <c r="F56">
        <v>25.84</v>
      </c>
      <c r="G56">
        <v>1</v>
      </c>
      <c r="H56">
        <f t="shared" si="0"/>
        <v>58562.910000000018</v>
      </c>
      <c r="I56" t="str">
        <f>IF(Sheet1[[#This Row],[Month_Revenue]] &lt; AVERAGE(Sheet1[Month_Revenue]), "Off-Peak", "Peak")</f>
        <v>Peak</v>
      </c>
      <c r="J56">
        <f xml:space="preserve"> IF(Sheet1[[#This Row],[Ad Spend]] &gt; 0, (Sheet1[[#This Row],[Profit]] / Sheet1[[#This Row],[Ad Spend]]), 0)</f>
        <v>4.8037925696594428</v>
      </c>
      <c r="K56">
        <f>Sheet1[[#This Row],[Revenue]]-Sheet1[[#This Row],[Ad Spend]]</f>
        <v>124.13</v>
      </c>
      <c r="L56" s="2" t="s">
        <v>14</v>
      </c>
      <c r="M56">
        <v>4</v>
      </c>
      <c r="N56" s="2" t="s">
        <v>19</v>
      </c>
      <c r="O56">
        <v>149.97</v>
      </c>
    </row>
    <row r="57" spans="1:15" x14ac:dyDescent="0.3">
      <c r="A57" s="1">
        <v>45294</v>
      </c>
      <c r="B57" s="2" t="s">
        <v>20</v>
      </c>
      <c r="C57" s="2" t="s">
        <v>21</v>
      </c>
      <c r="D57" s="2" t="s">
        <v>13</v>
      </c>
      <c r="E57">
        <v>102.3</v>
      </c>
      <c r="F57">
        <v>39.36</v>
      </c>
      <c r="G57">
        <v>0</v>
      </c>
      <c r="H57">
        <f t="shared" si="0"/>
        <v>61207.979999999989</v>
      </c>
      <c r="I57" t="str">
        <f>IF(Sheet1[[#This Row],[Month_Revenue]] &lt; AVERAGE(Sheet1[Month_Revenue]), "Off-Peak", "Peak")</f>
        <v>Peak</v>
      </c>
      <c r="J57">
        <f xml:space="preserve"> IF(Sheet1[[#This Row],[Ad Spend]] &gt; 0, (Sheet1[[#This Row],[Profit]] / Sheet1[[#This Row],[Ad Spend]]), 0)</f>
        <v>1.5990853658536586</v>
      </c>
      <c r="K57">
        <f>Sheet1[[#This Row],[Revenue]]-Sheet1[[#This Row],[Ad Spend]]</f>
        <v>62.94</v>
      </c>
      <c r="L57" s="2" t="s">
        <v>14</v>
      </c>
      <c r="M57">
        <v>1</v>
      </c>
      <c r="N57" s="2" t="s">
        <v>15</v>
      </c>
      <c r="O57">
        <v>0</v>
      </c>
    </row>
    <row r="58" spans="1:15" x14ac:dyDescent="0.3">
      <c r="A58" s="1">
        <v>45300</v>
      </c>
      <c r="B58" s="2" t="s">
        <v>20</v>
      </c>
      <c r="C58" s="2" t="s">
        <v>12</v>
      </c>
      <c r="D58" s="2" t="s">
        <v>13</v>
      </c>
      <c r="E58">
        <v>37.44</v>
      </c>
      <c r="F58">
        <v>11.53</v>
      </c>
      <c r="G58">
        <v>2</v>
      </c>
      <c r="H58">
        <f t="shared" si="0"/>
        <v>61207.979999999989</v>
      </c>
      <c r="I58" t="str">
        <f>IF(Sheet1[[#This Row],[Month_Revenue]] &lt; AVERAGE(Sheet1[Month_Revenue]), "Off-Peak", "Peak")</f>
        <v>Peak</v>
      </c>
      <c r="J58">
        <f xml:space="preserve"> IF(Sheet1[[#This Row],[Ad Spend]] &gt; 0, (Sheet1[[#This Row],[Profit]] / Sheet1[[#This Row],[Ad Spend]]), 0)</f>
        <v>2.2471812662619253</v>
      </c>
      <c r="K58">
        <f>Sheet1[[#This Row],[Revenue]]-Sheet1[[#This Row],[Ad Spend]]</f>
        <v>25.909999999999997</v>
      </c>
      <c r="L58" s="2" t="s">
        <v>22</v>
      </c>
      <c r="M58">
        <v>1</v>
      </c>
      <c r="N58" s="2" t="s">
        <v>15</v>
      </c>
      <c r="O58">
        <v>18.72</v>
      </c>
    </row>
    <row r="59" spans="1:15" x14ac:dyDescent="0.3">
      <c r="A59" s="1">
        <v>45345</v>
      </c>
      <c r="B59" s="2" t="s">
        <v>24</v>
      </c>
      <c r="C59" s="2" t="s">
        <v>21</v>
      </c>
      <c r="D59" s="2" t="s">
        <v>13</v>
      </c>
      <c r="E59">
        <v>76.599999999999994</v>
      </c>
      <c r="F59">
        <v>13.06</v>
      </c>
      <c r="G59">
        <v>0</v>
      </c>
      <c r="H59">
        <f t="shared" si="0"/>
        <v>48675.899999999936</v>
      </c>
      <c r="I59" t="str">
        <f>IF(Sheet1[[#This Row],[Month_Revenue]] &lt; AVERAGE(Sheet1[Month_Revenue]), "Off-Peak", "Peak")</f>
        <v>Off-Peak</v>
      </c>
      <c r="J59">
        <f xml:space="preserve"> IF(Sheet1[[#This Row],[Ad Spend]] &gt; 0, (Sheet1[[#This Row],[Profit]] / Sheet1[[#This Row],[Ad Spend]]), 0)</f>
        <v>4.8652373660030621</v>
      </c>
      <c r="K59">
        <f>Sheet1[[#This Row],[Revenue]]-Sheet1[[#This Row],[Ad Spend]]</f>
        <v>63.539999999999992</v>
      </c>
      <c r="L59" s="2" t="s">
        <v>14</v>
      </c>
      <c r="M59">
        <v>2</v>
      </c>
      <c r="N59" s="2" t="s">
        <v>15</v>
      </c>
      <c r="O59">
        <v>0</v>
      </c>
    </row>
    <row r="60" spans="1:15" x14ac:dyDescent="0.3">
      <c r="A60" s="1">
        <v>45334</v>
      </c>
      <c r="B60" s="2" t="s">
        <v>23</v>
      </c>
      <c r="C60" s="2" t="s">
        <v>12</v>
      </c>
      <c r="D60" s="2" t="s">
        <v>18</v>
      </c>
      <c r="E60">
        <v>82.39</v>
      </c>
      <c r="F60">
        <v>20.39</v>
      </c>
      <c r="G60">
        <v>1</v>
      </c>
      <c r="H60">
        <f t="shared" si="0"/>
        <v>48675.899999999936</v>
      </c>
      <c r="I60" t="str">
        <f>IF(Sheet1[[#This Row],[Month_Revenue]] &lt; AVERAGE(Sheet1[Month_Revenue]), "Off-Peak", "Peak")</f>
        <v>Off-Peak</v>
      </c>
      <c r="J60">
        <f xml:space="preserve"> IF(Sheet1[[#This Row],[Ad Spend]] &gt; 0, (Sheet1[[#This Row],[Profit]] / Sheet1[[#This Row],[Ad Spend]]), 0)</f>
        <v>3.0407062285434034</v>
      </c>
      <c r="K60">
        <f>Sheet1[[#This Row],[Revenue]]-Sheet1[[#This Row],[Ad Spend]]</f>
        <v>62</v>
      </c>
      <c r="L60" s="2" t="s">
        <v>14</v>
      </c>
      <c r="M60">
        <v>2</v>
      </c>
      <c r="N60" s="2" t="s">
        <v>15</v>
      </c>
      <c r="O60">
        <v>82.39</v>
      </c>
    </row>
    <row r="61" spans="1:15" x14ac:dyDescent="0.3">
      <c r="A61" s="1">
        <v>45351</v>
      </c>
      <c r="B61" s="2" t="s">
        <v>20</v>
      </c>
      <c r="C61" s="2" t="s">
        <v>21</v>
      </c>
      <c r="D61" s="2" t="s">
        <v>18</v>
      </c>
      <c r="E61">
        <v>191.46</v>
      </c>
      <c r="F61">
        <v>37.92</v>
      </c>
      <c r="G61">
        <v>1</v>
      </c>
      <c r="H61">
        <f t="shared" si="0"/>
        <v>48675.899999999936</v>
      </c>
      <c r="I61" t="str">
        <f>IF(Sheet1[[#This Row],[Month_Revenue]] &lt; AVERAGE(Sheet1[Month_Revenue]), "Off-Peak", "Peak")</f>
        <v>Off-Peak</v>
      </c>
      <c r="J61">
        <f xml:space="preserve"> IF(Sheet1[[#This Row],[Ad Spend]] &gt; 0, (Sheet1[[#This Row],[Profit]] / Sheet1[[#This Row],[Ad Spend]]), 0)</f>
        <v>4.0490506329113929</v>
      </c>
      <c r="K61">
        <f>Sheet1[[#This Row],[Revenue]]-Sheet1[[#This Row],[Ad Spend]]</f>
        <v>153.54000000000002</v>
      </c>
      <c r="L61" s="2" t="s">
        <v>14</v>
      </c>
      <c r="M61">
        <v>2</v>
      </c>
      <c r="N61" s="2" t="s">
        <v>15</v>
      </c>
      <c r="O61">
        <v>191.46</v>
      </c>
    </row>
    <row r="62" spans="1:15" x14ac:dyDescent="0.3">
      <c r="A62" s="1">
        <v>45380</v>
      </c>
      <c r="B62" s="2" t="s">
        <v>11</v>
      </c>
      <c r="C62" s="2" t="s">
        <v>12</v>
      </c>
      <c r="D62" s="2" t="s">
        <v>18</v>
      </c>
      <c r="E62">
        <v>40.79</v>
      </c>
      <c r="F62">
        <v>15.95</v>
      </c>
      <c r="G62">
        <v>1</v>
      </c>
      <c r="H62">
        <f t="shared" si="0"/>
        <v>54735.250000000029</v>
      </c>
      <c r="I62" t="str">
        <f>IF(Sheet1[[#This Row],[Month_Revenue]] &lt; AVERAGE(Sheet1[Month_Revenue]), "Off-Peak", "Peak")</f>
        <v>Off-Peak</v>
      </c>
      <c r="J62">
        <f xml:space="preserve"> IF(Sheet1[[#This Row],[Ad Spend]] &gt; 0, (Sheet1[[#This Row],[Profit]] / Sheet1[[#This Row],[Ad Spend]]), 0)</f>
        <v>1.5573667711598747</v>
      </c>
      <c r="K62">
        <f>Sheet1[[#This Row],[Revenue]]-Sheet1[[#This Row],[Ad Spend]]</f>
        <v>24.84</v>
      </c>
      <c r="L62" s="2" t="s">
        <v>14</v>
      </c>
      <c r="M62">
        <v>3</v>
      </c>
      <c r="N62" s="2" t="s">
        <v>19</v>
      </c>
      <c r="O62">
        <v>40.79</v>
      </c>
    </row>
    <row r="63" spans="1:15" x14ac:dyDescent="0.3">
      <c r="A63" s="1">
        <v>45367</v>
      </c>
      <c r="B63" s="2" t="s">
        <v>16</v>
      </c>
      <c r="C63" s="2" t="s">
        <v>12</v>
      </c>
      <c r="D63" s="2" t="s">
        <v>18</v>
      </c>
      <c r="E63">
        <v>87.93</v>
      </c>
      <c r="F63">
        <v>17.149999999999999</v>
      </c>
      <c r="G63">
        <v>2</v>
      </c>
      <c r="H63">
        <f t="shared" si="0"/>
        <v>54735.250000000029</v>
      </c>
      <c r="I63" t="str">
        <f>IF(Sheet1[[#This Row],[Month_Revenue]] &lt; AVERAGE(Sheet1[Month_Revenue]), "Off-Peak", "Peak")</f>
        <v>Off-Peak</v>
      </c>
      <c r="J63">
        <f xml:space="preserve"> IF(Sheet1[[#This Row],[Ad Spend]] &gt; 0, (Sheet1[[#This Row],[Profit]] / Sheet1[[#This Row],[Ad Spend]]), 0)</f>
        <v>4.1271137026239071</v>
      </c>
      <c r="K63">
        <f>Sheet1[[#This Row],[Revenue]]-Sheet1[[#This Row],[Ad Spend]]</f>
        <v>70.78</v>
      </c>
      <c r="L63" s="2" t="s">
        <v>22</v>
      </c>
      <c r="M63">
        <v>3</v>
      </c>
      <c r="N63" s="2" t="s">
        <v>19</v>
      </c>
      <c r="O63">
        <v>43.965000000000003</v>
      </c>
    </row>
    <row r="64" spans="1:15" x14ac:dyDescent="0.3">
      <c r="A64" s="1">
        <v>45295</v>
      </c>
      <c r="B64" s="2" t="s">
        <v>16</v>
      </c>
      <c r="C64" s="2" t="s">
        <v>17</v>
      </c>
      <c r="D64" s="2" t="s">
        <v>13</v>
      </c>
      <c r="E64">
        <v>57.67</v>
      </c>
      <c r="F64">
        <v>38.26</v>
      </c>
      <c r="G64">
        <v>2</v>
      </c>
      <c r="H64">
        <f t="shared" si="0"/>
        <v>61207.979999999989</v>
      </c>
      <c r="I64" t="str">
        <f>IF(Sheet1[[#This Row],[Month_Revenue]] &lt; AVERAGE(Sheet1[Month_Revenue]), "Off-Peak", "Peak")</f>
        <v>Peak</v>
      </c>
      <c r="J64">
        <f xml:space="preserve"> IF(Sheet1[[#This Row],[Ad Spend]] &gt; 0, (Sheet1[[#This Row],[Profit]] / Sheet1[[#This Row],[Ad Spend]]), 0)</f>
        <v>0.50731834814427612</v>
      </c>
      <c r="K64">
        <f>Sheet1[[#This Row],[Revenue]]-Sheet1[[#This Row],[Ad Spend]]</f>
        <v>19.410000000000004</v>
      </c>
      <c r="L64" s="2" t="s">
        <v>22</v>
      </c>
      <c r="M64">
        <v>1</v>
      </c>
      <c r="N64" s="2" t="s">
        <v>15</v>
      </c>
      <c r="O64">
        <v>28.835000000000001</v>
      </c>
    </row>
    <row r="65" spans="1:15" x14ac:dyDescent="0.3">
      <c r="A65" s="1">
        <v>45368</v>
      </c>
      <c r="B65" s="2" t="s">
        <v>11</v>
      </c>
      <c r="C65" s="2" t="s">
        <v>12</v>
      </c>
      <c r="D65" s="2" t="s">
        <v>13</v>
      </c>
      <c r="E65">
        <v>111.37</v>
      </c>
      <c r="F65">
        <v>41.7</v>
      </c>
      <c r="G65">
        <v>3</v>
      </c>
      <c r="H65">
        <f t="shared" si="0"/>
        <v>54735.250000000029</v>
      </c>
      <c r="I65" t="str">
        <f>IF(Sheet1[[#This Row],[Month_Revenue]] &lt; AVERAGE(Sheet1[Month_Revenue]), "Off-Peak", "Peak")</f>
        <v>Off-Peak</v>
      </c>
      <c r="J65">
        <f xml:space="preserve"> IF(Sheet1[[#This Row],[Ad Spend]] &gt; 0, (Sheet1[[#This Row],[Profit]] / Sheet1[[#This Row],[Ad Spend]]), 0)</f>
        <v>1.6707434052757792</v>
      </c>
      <c r="K65">
        <f>Sheet1[[#This Row],[Revenue]]-Sheet1[[#This Row],[Ad Spend]]</f>
        <v>69.67</v>
      </c>
      <c r="L65" s="2" t="s">
        <v>22</v>
      </c>
      <c r="M65">
        <v>3</v>
      </c>
      <c r="N65" s="2" t="s">
        <v>19</v>
      </c>
      <c r="O65">
        <v>37.123333333333335</v>
      </c>
    </row>
    <row r="66" spans="1:15" x14ac:dyDescent="0.3">
      <c r="A66" s="1">
        <v>45294</v>
      </c>
      <c r="B66" s="2" t="s">
        <v>23</v>
      </c>
      <c r="C66" s="2" t="s">
        <v>21</v>
      </c>
      <c r="D66" s="2" t="s">
        <v>18</v>
      </c>
      <c r="E66">
        <v>187.73</v>
      </c>
      <c r="F66">
        <v>27.38</v>
      </c>
      <c r="G66">
        <v>2</v>
      </c>
      <c r="H66">
        <f t="shared" ref="H66:H129" si="1">SUMIFS($E$2:$E$2001, $M$2:$M$2001, M66)</f>
        <v>61207.979999999989</v>
      </c>
      <c r="I66" t="str">
        <f>IF(Sheet1[[#This Row],[Month_Revenue]] &lt; AVERAGE(Sheet1[Month_Revenue]), "Off-Peak", "Peak")</f>
        <v>Peak</v>
      </c>
      <c r="J66">
        <f xml:space="preserve"> IF(Sheet1[[#This Row],[Ad Spend]] &gt; 0, (Sheet1[[#This Row],[Profit]] / Sheet1[[#This Row],[Ad Spend]]), 0)</f>
        <v>5.8564645726807889</v>
      </c>
      <c r="K66">
        <f>Sheet1[[#This Row],[Revenue]]-Sheet1[[#This Row],[Ad Spend]]</f>
        <v>160.35</v>
      </c>
      <c r="L66" s="2" t="s">
        <v>14</v>
      </c>
      <c r="M66">
        <v>1</v>
      </c>
      <c r="N66" s="2" t="s">
        <v>15</v>
      </c>
      <c r="O66">
        <v>93.864999999999995</v>
      </c>
    </row>
    <row r="67" spans="1:15" x14ac:dyDescent="0.3">
      <c r="A67" s="1">
        <v>45325</v>
      </c>
      <c r="B67" s="2" t="s">
        <v>24</v>
      </c>
      <c r="C67" s="2" t="s">
        <v>17</v>
      </c>
      <c r="D67" s="2" t="s">
        <v>13</v>
      </c>
      <c r="E67">
        <v>67.819999999999993</v>
      </c>
      <c r="F67">
        <v>42.22</v>
      </c>
      <c r="G67">
        <v>3</v>
      </c>
      <c r="H67">
        <f t="shared" si="1"/>
        <v>48675.899999999936</v>
      </c>
      <c r="I67" t="str">
        <f>IF(Sheet1[[#This Row],[Month_Revenue]] &lt; AVERAGE(Sheet1[Month_Revenue]), "Off-Peak", "Peak")</f>
        <v>Off-Peak</v>
      </c>
      <c r="J67">
        <f xml:space="preserve"> IF(Sheet1[[#This Row],[Ad Spend]] &gt; 0, (Sheet1[[#This Row],[Profit]] / Sheet1[[#This Row],[Ad Spend]]), 0)</f>
        <v>0.60634770251065839</v>
      </c>
      <c r="K67">
        <f>Sheet1[[#This Row],[Revenue]]-Sheet1[[#This Row],[Ad Spend]]</f>
        <v>25.599999999999994</v>
      </c>
      <c r="L67" s="2" t="s">
        <v>14</v>
      </c>
      <c r="M67">
        <v>2</v>
      </c>
      <c r="N67" s="2" t="s">
        <v>15</v>
      </c>
      <c r="O67">
        <v>22.606666666666666</v>
      </c>
    </row>
    <row r="68" spans="1:15" x14ac:dyDescent="0.3">
      <c r="A68" s="1">
        <v>45401</v>
      </c>
      <c r="B68" s="2" t="s">
        <v>23</v>
      </c>
      <c r="C68" s="2" t="s">
        <v>21</v>
      </c>
      <c r="D68" s="2" t="s">
        <v>13</v>
      </c>
      <c r="E68">
        <v>108.14</v>
      </c>
      <c r="F68">
        <v>35.74</v>
      </c>
      <c r="G68">
        <v>2</v>
      </c>
      <c r="H68">
        <f t="shared" si="1"/>
        <v>58562.910000000018</v>
      </c>
      <c r="I68" t="str">
        <f>IF(Sheet1[[#This Row],[Month_Revenue]] &lt; AVERAGE(Sheet1[Month_Revenue]), "Off-Peak", "Peak")</f>
        <v>Peak</v>
      </c>
      <c r="J68">
        <f xml:space="preserve"> IF(Sheet1[[#This Row],[Ad Spend]] &gt; 0, (Sheet1[[#This Row],[Profit]] / Sheet1[[#This Row],[Ad Spend]]), 0)</f>
        <v>2.025741466144376</v>
      </c>
      <c r="K68">
        <f>Sheet1[[#This Row],[Revenue]]-Sheet1[[#This Row],[Ad Spend]]</f>
        <v>72.400000000000006</v>
      </c>
      <c r="L68" s="2" t="s">
        <v>22</v>
      </c>
      <c r="M68">
        <v>4</v>
      </c>
      <c r="N68" s="2" t="s">
        <v>19</v>
      </c>
      <c r="O68">
        <v>54.07</v>
      </c>
    </row>
    <row r="69" spans="1:15" x14ac:dyDescent="0.3">
      <c r="A69" s="1">
        <v>45317</v>
      </c>
      <c r="B69" s="2" t="s">
        <v>16</v>
      </c>
      <c r="C69" s="2" t="s">
        <v>17</v>
      </c>
      <c r="D69" s="2" t="s">
        <v>18</v>
      </c>
      <c r="E69">
        <v>97.58</v>
      </c>
      <c r="F69">
        <v>31.74</v>
      </c>
      <c r="G69">
        <v>1</v>
      </c>
      <c r="H69">
        <f t="shared" si="1"/>
        <v>61207.979999999989</v>
      </c>
      <c r="I69" t="str">
        <f>IF(Sheet1[[#This Row],[Month_Revenue]] &lt; AVERAGE(Sheet1[Month_Revenue]), "Off-Peak", "Peak")</f>
        <v>Peak</v>
      </c>
      <c r="J69">
        <f xml:space="preserve"> IF(Sheet1[[#This Row],[Ad Spend]] &gt; 0, (Sheet1[[#This Row],[Profit]] / Sheet1[[#This Row],[Ad Spend]]), 0)</f>
        <v>2.0743541272841841</v>
      </c>
      <c r="K69">
        <f>Sheet1[[#This Row],[Revenue]]-Sheet1[[#This Row],[Ad Spend]]</f>
        <v>65.84</v>
      </c>
      <c r="L69" s="2" t="s">
        <v>14</v>
      </c>
      <c r="M69">
        <v>1</v>
      </c>
      <c r="N69" s="2" t="s">
        <v>15</v>
      </c>
      <c r="O69">
        <v>97.58</v>
      </c>
    </row>
    <row r="70" spans="1:15" x14ac:dyDescent="0.3">
      <c r="A70" s="1">
        <v>45395</v>
      </c>
      <c r="B70" s="2" t="s">
        <v>16</v>
      </c>
      <c r="C70" s="2" t="s">
        <v>12</v>
      </c>
      <c r="D70" s="2" t="s">
        <v>13</v>
      </c>
      <c r="E70">
        <v>86.89</v>
      </c>
      <c r="F70">
        <v>34.979999999999997</v>
      </c>
      <c r="G70">
        <v>0</v>
      </c>
      <c r="H70">
        <f t="shared" si="1"/>
        <v>58562.910000000018</v>
      </c>
      <c r="I70" t="str">
        <f>IF(Sheet1[[#This Row],[Month_Revenue]] &lt; AVERAGE(Sheet1[Month_Revenue]), "Off-Peak", "Peak")</f>
        <v>Peak</v>
      </c>
      <c r="J70">
        <f xml:space="preserve"> IF(Sheet1[[#This Row],[Ad Spend]] &gt; 0, (Sheet1[[#This Row],[Profit]] / Sheet1[[#This Row],[Ad Spend]]), 0)</f>
        <v>1.4839908519153804</v>
      </c>
      <c r="K70">
        <f>Sheet1[[#This Row],[Revenue]]-Sheet1[[#This Row],[Ad Spend]]</f>
        <v>51.910000000000004</v>
      </c>
      <c r="L70" s="2" t="s">
        <v>22</v>
      </c>
      <c r="M70">
        <v>4</v>
      </c>
      <c r="N70" s="2" t="s">
        <v>19</v>
      </c>
      <c r="O70">
        <v>0</v>
      </c>
    </row>
    <row r="71" spans="1:15" x14ac:dyDescent="0.3">
      <c r="A71" s="1">
        <v>45336</v>
      </c>
      <c r="B71" s="2" t="s">
        <v>11</v>
      </c>
      <c r="C71" s="2" t="s">
        <v>21</v>
      </c>
      <c r="D71" s="2" t="s">
        <v>18</v>
      </c>
      <c r="E71">
        <v>33.82</v>
      </c>
      <c r="F71">
        <v>47.88</v>
      </c>
      <c r="G71">
        <v>1</v>
      </c>
      <c r="H71">
        <f t="shared" si="1"/>
        <v>48675.899999999936</v>
      </c>
      <c r="I71" t="str">
        <f>IF(Sheet1[[#This Row],[Month_Revenue]] &lt; AVERAGE(Sheet1[Month_Revenue]), "Off-Peak", "Peak")</f>
        <v>Off-Peak</v>
      </c>
      <c r="J71">
        <f xml:space="preserve"> IF(Sheet1[[#This Row],[Ad Spend]] &gt; 0, (Sheet1[[#This Row],[Profit]] / Sheet1[[#This Row],[Ad Spend]]), 0)</f>
        <v>-0.29365079365079366</v>
      </c>
      <c r="K71">
        <f>Sheet1[[#This Row],[Revenue]]-Sheet1[[#This Row],[Ad Spend]]</f>
        <v>-14.060000000000002</v>
      </c>
      <c r="L71" s="2" t="s">
        <v>14</v>
      </c>
      <c r="M71">
        <v>2</v>
      </c>
      <c r="N71" s="2" t="s">
        <v>15</v>
      </c>
      <c r="O71">
        <v>33.82</v>
      </c>
    </row>
    <row r="72" spans="1:15" x14ac:dyDescent="0.3">
      <c r="A72" s="1">
        <v>45360</v>
      </c>
      <c r="B72" s="2" t="s">
        <v>20</v>
      </c>
      <c r="C72" s="2" t="s">
        <v>21</v>
      </c>
      <c r="D72" s="2" t="s">
        <v>18</v>
      </c>
      <c r="E72">
        <v>165.76</v>
      </c>
      <c r="F72">
        <v>0.89</v>
      </c>
      <c r="G72">
        <v>1</v>
      </c>
      <c r="H72">
        <f t="shared" si="1"/>
        <v>54735.250000000029</v>
      </c>
      <c r="I72" t="str">
        <f>IF(Sheet1[[#This Row],[Month_Revenue]] &lt; AVERAGE(Sheet1[Month_Revenue]), "Off-Peak", "Peak")</f>
        <v>Off-Peak</v>
      </c>
      <c r="J72">
        <f xml:space="preserve"> IF(Sheet1[[#This Row],[Ad Spend]] &gt; 0, (Sheet1[[#This Row],[Profit]] / Sheet1[[#This Row],[Ad Spend]]), 0)</f>
        <v>185.24719101123597</v>
      </c>
      <c r="K72">
        <f>Sheet1[[#This Row],[Revenue]]-Sheet1[[#This Row],[Ad Spend]]</f>
        <v>164.87</v>
      </c>
      <c r="L72" s="2" t="s">
        <v>22</v>
      </c>
      <c r="M72">
        <v>3</v>
      </c>
      <c r="N72" s="2" t="s">
        <v>19</v>
      </c>
      <c r="O72">
        <v>165.76</v>
      </c>
    </row>
    <row r="73" spans="1:15" x14ac:dyDescent="0.3">
      <c r="A73" s="1">
        <v>45411</v>
      </c>
      <c r="B73" s="2" t="s">
        <v>16</v>
      </c>
      <c r="C73" s="2" t="s">
        <v>21</v>
      </c>
      <c r="D73" s="2" t="s">
        <v>18</v>
      </c>
      <c r="E73">
        <v>68.83</v>
      </c>
      <c r="F73">
        <v>5.69</v>
      </c>
      <c r="G73">
        <v>1</v>
      </c>
      <c r="H73">
        <f t="shared" si="1"/>
        <v>58562.910000000018</v>
      </c>
      <c r="I73" t="str">
        <f>IF(Sheet1[[#This Row],[Month_Revenue]] &lt; AVERAGE(Sheet1[Month_Revenue]), "Off-Peak", "Peak")</f>
        <v>Peak</v>
      </c>
      <c r="J73">
        <f xml:space="preserve"> IF(Sheet1[[#This Row],[Ad Spend]] &gt; 0, (Sheet1[[#This Row],[Profit]] / Sheet1[[#This Row],[Ad Spend]]), 0)</f>
        <v>11.096660808435852</v>
      </c>
      <c r="K73">
        <f>Sheet1[[#This Row],[Revenue]]-Sheet1[[#This Row],[Ad Spend]]</f>
        <v>63.14</v>
      </c>
      <c r="L73" s="2" t="s">
        <v>14</v>
      </c>
      <c r="M73">
        <v>4</v>
      </c>
      <c r="N73" s="2" t="s">
        <v>19</v>
      </c>
      <c r="O73">
        <v>68.83</v>
      </c>
    </row>
    <row r="74" spans="1:15" x14ac:dyDescent="0.3">
      <c r="A74" s="1">
        <v>45368</v>
      </c>
      <c r="B74" s="2" t="s">
        <v>20</v>
      </c>
      <c r="C74" s="2" t="s">
        <v>21</v>
      </c>
      <c r="D74" s="2" t="s">
        <v>18</v>
      </c>
      <c r="E74">
        <v>77.16</v>
      </c>
      <c r="F74">
        <v>40.57</v>
      </c>
      <c r="G74">
        <v>1</v>
      </c>
      <c r="H74">
        <f t="shared" si="1"/>
        <v>54735.250000000029</v>
      </c>
      <c r="I74" t="str">
        <f>IF(Sheet1[[#This Row],[Month_Revenue]] &lt; AVERAGE(Sheet1[Month_Revenue]), "Off-Peak", "Peak")</f>
        <v>Off-Peak</v>
      </c>
      <c r="J74">
        <f xml:space="preserve"> IF(Sheet1[[#This Row],[Ad Spend]] &gt; 0, (Sheet1[[#This Row],[Profit]] / Sheet1[[#This Row],[Ad Spend]]), 0)</f>
        <v>0.9018979541533152</v>
      </c>
      <c r="K74">
        <f>Sheet1[[#This Row],[Revenue]]-Sheet1[[#This Row],[Ad Spend]]</f>
        <v>36.589999999999996</v>
      </c>
      <c r="L74" s="2" t="s">
        <v>14</v>
      </c>
      <c r="M74">
        <v>3</v>
      </c>
      <c r="N74" s="2" t="s">
        <v>19</v>
      </c>
      <c r="O74">
        <v>77.16</v>
      </c>
    </row>
    <row r="75" spans="1:15" x14ac:dyDescent="0.3">
      <c r="A75" s="1">
        <v>45352</v>
      </c>
      <c r="B75" s="2" t="s">
        <v>11</v>
      </c>
      <c r="C75" s="2" t="s">
        <v>17</v>
      </c>
      <c r="D75" s="2" t="s">
        <v>13</v>
      </c>
      <c r="E75">
        <v>165</v>
      </c>
      <c r="F75">
        <v>20.54</v>
      </c>
      <c r="G75">
        <v>1</v>
      </c>
      <c r="H75">
        <f t="shared" si="1"/>
        <v>54735.250000000029</v>
      </c>
      <c r="I75" t="str">
        <f>IF(Sheet1[[#This Row],[Month_Revenue]] &lt; AVERAGE(Sheet1[Month_Revenue]), "Off-Peak", "Peak")</f>
        <v>Off-Peak</v>
      </c>
      <c r="J75">
        <f xml:space="preserve"> IF(Sheet1[[#This Row],[Ad Spend]] &gt; 0, (Sheet1[[#This Row],[Profit]] / Sheet1[[#This Row],[Ad Spend]]), 0)</f>
        <v>7.0331061343719581</v>
      </c>
      <c r="K75">
        <f>Sheet1[[#This Row],[Revenue]]-Sheet1[[#This Row],[Ad Spend]]</f>
        <v>144.46</v>
      </c>
      <c r="L75" s="2" t="s">
        <v>22</v>
      </c>
      <c r="M75">
        <v>3</v>
      </c>
      <c r="N75" s="2" t="s">
        <v>19</v>
      </c>
      <c r="O75">
        <v>165</v>
      </c>
    </row>
    <row r="76" spans="1:15" x14ac:dyDescent="0.3">
      <c r="A76" s="1">
        <v>45326</v>
      </c>
      <c r="B76" s="2" t="s">
        <v>11</v>
      </c>
      <c r="C76" s="2" t="s">
        <v>21</v>
      </c>
      <c r="D76" s="2" t="s">
        <v>13</v>
      </c>
      <c r="E76">
        <v>130.84</v>
      </c>
      <c r="F76">
        <v>16.32</v>
      </c>
      <c r="G76">
        <v>3</v>
      </c>
      <c r="H76">
        <f t="shared" si="1"/>
        <v>48675.899999999936</v>
      </c>
      <c r="I76" t="str">
        <f>IF(Sheet1[[#This Row],[Month_Revenue]] &lt; AVERAGE(Sheet1[Month_Revenue]), "Off-Peak", "Peak")</f>
        <v>Off-Peak</v>
      </c>
      <c r="J76">
        <f xml:space="preserve"> IF(Sheet1[[#This Row],[Ad Spend]] &gt; 0, (Sheet1[[#This Row],[Profit]] / Sheet1[[#This Row],[Ad Spend]]), 0)</f>
        <v>7.0171568627450984</v>
      </c>
      <c r="K76">
        <f>Sheet1[[#This Row],[Revenue]]-Sheet1[[#This Row],[Ad Spend]]</f>
        <v>114.52000000000001</v>
      </c>
      <c r="L76" s="2" t="s">
        <v>14</v>
      </c>
      <c r="M76">
        <v>2</v>
      </c>
      <c r="N76" s="2" t="s">
        <v>15</v>
      </c>
      <c r="O76">
        <v>43.613333333333337</v>
      </c>
    </row>
    <row r="77" spans="1:15" x14ac:dyDescent="0.3">
      <c r="A77" s="1">
        <v>45333</v>
      </c>
      <c r="B77" s="2" t="s">
        <v>23</v>
      </c>
      <c r="C77" s="2" t="s">
        <v>21</v>
      </c>
      <c r="D77" s="2" t="s">
        <v>13</v>
      </c>
      <c r="E77">
        <v>144.08000000000001</v>
      </c>
      <c r="F77">
        <v>28.38</v>
      </c>
      <c r="G77">
        <v>2</v>
      </c>
      <c r="H77">
        <f t="shared" si="1"/>
        <v>48675.899999999936</v>
      </c>
      <c r="I77" t="str">
        <f>IF(Sheet1[[#This Row],[Month_Revenue]] &lt; AVERAGE(Sheet1[Month_Revenue]), "Off-Peak", "Peak")</f>
        <v>Off-Peak</v>
      </c>
      <c r="J77">
        <f xml:space="preserve"> IF(Sheet1[[#This Row],[Ad Spend]] &gt; 0, (Sheet1[[#This Row],[Profit]] / Sheet1[[#This Row],[Ad Spend]]), 0)</f>
        <v>4.076814658210008</v>
      </c>
      <c r="K77">
        <f>Sheet1[[#This Row],[Revenue]]-Sheet1[[#This Row],[Ad Spend]]</f>
        <v>115.70000000000002</v>
      </c>
      <c r="L77" s="2" t="s">
        <v>14</v>
      </c>
      <c r="M77">
        <v>2</v>
      </c>
      <c r="N77" s="2" t="s">
        <v>15</v>
      </c>
      <c r="O77">
        <v>72.040000000000006</v>
      </c>
    </row>
    <row r="78" spans="1:15" x14ac:dyDescent="0.3">
      <c r="A78" s="1">
        <v>45379</v>
      </c>
      <c r="B78" s="2" t="s">
        <v>23</v>
      </c>
      <c r="C78" s="2" t="s">
        <v>21</v>
      </c>
      <c r="D78" s="2" t="s">
        <v>13</v>
      </c>
      <c r="E78">
        <v>193.46</v>
      </c>
      <c r="F78">
        <v>36.04</v>
      </c>
      <c r="G78">
        <v>1</v>
      </c>
      <c r="H78">
        <f t="shared" si="1"/>
        <v>54735.250000000029</v>
      </c>
      <c r="I78" t="str">
        <f>IF(Sheet1[[#This Row],[Month_Revenue]] &lt; AVERAGE(Sheet1[Month_Revenue]), "Off-Peak", "Peak")</f>
        <v>Off-Peak</v>
      </c>
      <c r="J78">
        <f xml:space="preserve"> IF(Sheet1[[#This Row],[Ad Spend]] &gt; 0, (Sheet1[[#This Row],[Profit]] / Sheet1[[#This Row],[Ad Spend]]), 0)</f>
        <v>4.367924528301887</v>
      </c>
      <c r="K78">
        <f>Sheet1[[#This Row],[Revenue]]-Sheet1[[#This Row],[Ad Spend]]</f>
        <v>157.42000000000002</v>
      </c>
      <c r="L78" s="2" t="s">
        <v>14</v>
      </c>
      <c r="M78">
        <v>3</v>
      </c>
      <c r="N78" s="2" t="s">
        <v>19</v>
      </c>
      <c r="O78">
        <v>193.46</v>
      </c>
    </row>
    <row r="79" spans="1:15" x14ac:dyDescent="0.3">
      <c r="A79" s="1">
        <v>45330</v>
      </c>
      <c r="B79" s="2" t="s">
        <v>16</v>
      </c>
      <c r="C79" s="2" t="s">
        <v>21</v>
      </c>
      <c r="D79" s="2" t="s">
        <v>13</v>
      </c>
      <c r="E79">
        <v>160.97999999999999</v>
      </c>
      <c r="F79">
        <v>33.01</v>
      </c>
      <c r="G79">
        <v>1</v>
      </c>
      <c r="H79">
        <f t="shared" si="1"/>
        <v>48675.899999999936</v>
      </c>
      <c r="I79" t="str">
        <f>IF(Sheet1[[#This Row],[Month_Revenue]] &lt; AVERAGE(Sheet1[Month_Revenue]), "Off-Peak", "Peak")</f>
        <v>Off-Peak</v>
      </c>
      <c r="J79">
        <f xml:space="preserve"> IF(Sheet1[[#This Row],[Ad Spend]] &gt; 0, (Sheet1[[#This Row],[Profit]] / Sheet1[[#This Row],[Ad Spend]]), 0)</f>
        <v>3.8767040290820964</v>
      </c>
      <c r="K79">
        <f>Sheet1[[#This Row],[Revenue]]-Sheet1[[#This Row],[Ad Spend]]</f>
        <v>127.97</v>
      </c>
      <c r="L79" s="2" t="s">
        <v>22</v>
      </c>
      <c r="M79">
        <v>2</v>
      </c>
      <c r="N79" s="2" t="s">
        <v>15</v>
      </c>
      <c r="O79">
        <v>160.97999999999999</v>
      </c>
    </row>
    <row r="80" spans="1:15" x14ac:dyDescent="0.3">
      <c r="A80" s="1">
        <v>45361</v>
      </c>
      <c r="B80" s="2" t="s">
        <v>11</v>
      </c>
      <c r="C80" s="2" t="s">
        <v>17</v>
      </c>
      <c r="D80" s="2" t="s">
        <v>18</v>
      </c>
      <c r="E80">
        <v>47.79</v>
      </c>
      <c r="F80">
        <v>33.68</v>
      </c>
      <c r="G80">
        <v>1</v>
      </c>
      <c r="H80">
        <f t="shared" si="1"/>
        <v>54735.250000000029</v>
      </c>
      <c r="I80" t="str">
        <f>IF(Sheet1[[#This Row],[Month_Revenue]] &lt; AVERAGE(Sheet1[Month_Revenue]), "Off-Peak", "Peak")</f>
        <v>Off-Peak</v>
      </c>
      <c r="J80">
        <f xml:space="preserve"> IF(Sheet1[[#This Row],[Ad Spend]] &gt; 0, (Sheet1[[#This Row],[Profit]] / Sheet1[[#This Row],[Ad Spend]]), 0)</f>
        <v>0.41894299287410924</v>
      </c>
      <c r="K80">
        <f>Sheet1[[#This Row],[Revenue]]-Sheet1[[#This Row],[Ad Spend]]</f>
        <v>14.11</v>
      </c>
      <c r="L80" s="2" t="s">
        <v>22</v>
      </c>
      <c r="M80">
        <v>3</v>
      </c>
      <c r="N80" s="2" t="s">
        <v>19</v>
      </c>
      <c r="O80">
        <v>47.79</v>
      </c>
    </row>
    <row r="81" spans="1:15" x14ac:dyDescent="0.3">
      <c r="A81" s="1">
        <v>45296</v>
      </c>
      <c r="B81" s="2" t="s">
        <v>20</v>
      </c>
      <c r="C81" s="2" t="s">
        <v>21</v>
      </c>
      <c r="D81" s="2" t="s">
        <v>13</v>
      </c>
      <c r="E81">
        <v>147.27000000000001</v>
      </c>
      <c r="F81">
        <v>32.229999999999997</v>
      </c>
      <c r="G81">
        <v>1</v>
      </c>
      <c r="H81">
        <f t="shared" si="1"/>
        <v>61207.979999999989</v>
      </c>
      <c r="I81" t="str">
        <f>IF(Sheet1[[#This Row],[Month_Revenue]] &lt; AVERAGE(Sheet1[Month_Revenue]), "Off-Peak", "Peak")</f>
        <v>Peak</v>
      </c>
      <c r="J81">
        <f xml:space="preserve"> IF(Sheet1[[#This Row],[Ad Spend]] &gt; 0, (Sheet1[[#This Row],[Profit]] / Sheet1[[#This Row],[Ad Spend]]), 0)</f>
        <v>3.5693453304374816</v>
      </c>
      <c r="K81">
        <f>Sheet1[[#This Row],[Revenue]]-Sheet1[[#This Row],[Ad Spend]]</f>
        <v>115.04000000000002</v>
      </c>
      <c r="L81" s="2" t="s">
        <v>14</v>
      </c>
      <c r="M81">
        <v>1</v>
      </c>
      <c r="N81" s="2" t="s">
        <v>15</v>
      </c>
      <c r="O81">
        <v>147.27000000000001</v>
      </c>
    </row>
    <row r="82" spans="1:15" x14ac:dyDescent="0.3">
      <c r="A82" s="1">
        <v>45294</v>
      </c>
      <c r="B82" s="2" t="s">
        <v>20</v>
      </c>
      <c r="C82" s="2" t="s">
        <v>17</v>
      </c>
      <c r="D82" s="2" t="s">
        <v>18</v>
      </c>
      <c r="E82">
        <v>83.52</v>
      </c>
      <c r="F82">
        <v>12.45</v>
      </c>
      <c r="G82">
        <v>0</v>
      </c>
      <c r="H82">
        <f t="shared" si="1"/>
        <v>61207.979999999989</v>
      </c>
      <c r="I82" t="str">
        <f>IF(Sheet1[[#This Row],[Month_Revenue]] &lt; AVERAGE(Sheet1[Month_Revenue]), "Off-Peak", "Peak")</f>
        <v>Peak</v>
      </c>
      <c r="J82">
        <f xml:space="preserve"> IF(Sheet1[[#This Row],[Ad Spend]] &gt; 0, (Sheet1[[#This Row],[Profit]] / Sheet1[[#This Row],[Ad Spend]]), 0)</f>
        <v>5.7084337349397591</v>
      </c>
      <c r="K82">
        <f>Sheet1[[#This Row],[Revenue]]-Sheet1[[#This Row],[Ad Spend]]</f>
        <v>71.069999999999993</v>
      </c>
      <c r="L82" s="2" t="s">
        <v>22</v>
      </c>
      <c r="M82">
        <v>1</v>
      </c>
      <c r="N82" s="2" t="s">
        <v>15</v>
      </c>
      <c r="O82">
        <v>0</v>
      </c>
    </row>
    <row r="83" spans="1:15" x14ac:dyDescent="0.3">
      <c r="A83" s="1">
        <v>45346</v>
      </c>
      <c r="B83" s="2" t="s">
        <v>20</v>
      </c>
      <c r="C83" s="2" t="s">
        <v>17</v>
      </c>
      <c r="D83" s="2" t="s">
        <v>18</v>
      </c>
      <c r="E83">
        <v>63.27</v>
      </c>
      <c r="F83">
        <v>32.53</v>
      </c>
      <c r="G83">
        <v>2</v>
      </c>
      <c r="H83">
        <f t="shared" si="1"/>
        <v>48675.899999999936</v>
      </c>
      <c r="I83" t="str">
        <f>IF(Sheet1[[#This Row],[Month_Revenue]] &lt; AVERAGE(Sheet1[Month_Revenue]), "Off-Peak", "Peak")</f>
        <v>Off-Peak</v>
      </c>
      <c r="J83">
        <f xml:space="preserve"> IF(Sheet1[[#This Row],[Ad Spend]] &gt; 0, (Sheet1[[#This Row],[Profit]] / Sheet1[[#This Row],[Ad Spend]]), 0)</f>
        <v>0.94497387027359359</v>
      </c>
      <c r="K83">
        <f>Sheet1[[#This Row],[Revenue]]-Sheet1[[#This Row],[Ad Spend]]</f>
        <v>30.740000000000002</v>
      </c>
      <c r="L83" s="2" t="s">
        <v>22</v>
      </c>
      <c r="M83">
        <v>2</v>
      </c>
      <c r="N83" s="2" t="s">
        <v>15</v>
      </c>
      <c r="O83">
        <v>31.635000000000002</v>
      </c>
    </row>
    <row r="84" spans="1:15" x14ac:dyDescent="0.3">
      <c r="A84" s="1">
        <v>45363</v>
      </c>
      <c r="B84" s="2" t="s">
        <v>24</v>
      </c>
      <c r="C84" s="2" t="s">
        <v>12</v>
      </c>
      <c r="D84" s="2" t="s">
        <v>18</v>
      </c>
      <c r="E84">
        <v>198.87</v>
      </c>
      <c r="F84">
        <v>49.28</v>
      </c>
      <c r="G84">
        <v>1</v>
      </c>
      <c r="H84">
        <f t="shared" si="1"/>
        <v>54735.250000000029</v>
      </c>
      <c r="I84" t="str">
        <f>IF(Sheet1[[#This Row],[Month_Revenue]] &lt; AVERAGE(Sheet1[Month_Revenue]), "Off-Peak", "Peak")</f>
        <v>Off-Peak</v>
      </c>
      <c r="J84">
        <f xml:space="preserve"> IF(Sheet1[[#This Row],[Ad Spend]] &gt; 0, (Sheet1[[#This Row],[Profit]] / Sheet1[[#This Row],[Ad Spend]]), 0)</f>
        <v>3.0355113636363638</v>
      </c>
      <c r="K84">
        <f>Sheet1[[#This Row],[Revenue]]-Sheet1[[#This Row],[Ad Spend]]</f>
        <v>149.59</v>
      </c>
      <c r="L84" s="2" t="s">
        <v>14</v>
      </c>
      <c r="M84">
        <v>3</v>
      </c>
      <c r="N84" s="2" t="s">
        <v>19</v>
      </c>
      <c r="O84">
        <v>198.87</v>
      </c>
    </row>
    <row r="85" spans="1:15" x14ac:dyDescent="0.3">
      <c r="A85" s="1">
        <v>45373</v>
      </c>
      <c r="B85" s="2" t="s">
        <v>16</v>
      </c>
      <c r="C85" s="2" t="s">
        <v>12</v>
      </c>
      <c r="D85" s="2" t="s">
        <v>13</v>
      </c>
      <c r="E85">
        <v>189.59</v>
      </c>
      <c r="F85">
        <v>2.97</v>
      </c>
      <c r="G85">
        <v>1</v>
      </c>
      <c r="H85">
        <f t="shared" si="1"/>
        <v>54735.250000000029</v>
      </c>
      <c r="I85" t="str">
        <f>IF(Sheet1[[#This Row],[Month_Revenue]] &lt; AVERAGE(Sheet1[Month_Revenue]), "Off-Peak", "Peak")</f>
        <v>Off-Peak</v>
      </c>
      <c r="J85">
        <f xml:space="preserve"> IF(Sheet1[[#This Row],[Ad Spend]] &gt; 0, (Sheet1[[#This Row],[Profit]] / Sheet1[[#This Row],[Ad Spend]]), 0)</f>
        <v>62.83501683501683</v>
      </c>
      <c r="K85">
        <f>Sheet1[[#This Row],[Revenue]]-Sheet1[[#This Row],[Ad Spend]]</f>
        <v>186.62</v>
      </c>
      <c r="L85" s="2" t="s">
        <v>22</v>
      </c>
      <c r="M85">
        <v>3</v>
      </c>
      <c r="N85" s="2" t="s">
        <v>19</v>
      </c>
      <c r="O85">
        <v>189.59</v>
      </c>
    </row>
    <row r="86" spans="1:15" x14ac:dyDescent="0.3">
      <c r="A86" s="1">
        <v>45297</v>
      </c>
      <c r="B86" s="2" t="s">
        <v>16</v>
      </c>
      <c r="C86" s="2" t="s">
        <v>21</v>
      </c>
      <c r="D86" s="2" t="s">
        <v>13</v>
      </c>
      <c r="E86">
        <v>154.76</v>
      </c>
      <c r="F86">
        <v>49.69</v>
      </c>
      <c r="G86">
        <v>2</v>
      </c>
      <c r="H86">
        <f t="shared" si="1"/>
        <v>61207.979999999989</v>
      </c>
      <c r="I86" t="str">
        <f>IF(Sheet1[[#This Row],[Month_Revenue]] &lt; AVERAGE(Sheet1[Month_Revenue]), "Off-Peak", "Peak")</f>
        <v>Peak</v>
      </c>
      <c r="J86">
        <f xml:space="preserve"> IF(Sheet1[[#This Row],[Ad Spend]] &gt; 0, (Sheet1[[#This Row],[Profit]] / Sheet1[[#This Row],[Ad Spend]]), 0)</f>
        <v>2.1145099617629302</v>
      </c>
      <c r="K86">
        <f>Sheet1[[#This Row],[Revenue]]-Sheet1[[#This Row],[Ad Spend]]</f>
        <v>105.07</v>
      </c>
      <c r="L86" s="2" t="s">
        <v>22</v>
      </c>
      <c r="M86">
        <v>1</v>
      </c>
      <c r="N86" s="2" t="s">
        <v>15</v>
      </c>
      <c r="O86">
        <v>77.38</v>
      </c>
    </row>
    <row r="87" spans="1:15" x14ac:dyDescent="0.3">
      <c r="A87" s="1">
        <v>45331</v>
      </c>
      <c r="B87" s="2" t="s">
        <v>20</v>
      </c>
      <c r="C87" s="2" t="s">
        <v>12</v>
      </c>
      <c r="D87" s="2" t="s">
        <v>18</v>
      </c>
      <c r="E87">
        <v>121.99</v>
      </c>
      <c r="F87">
        <v>32.18</v>
      </c>
      <c r="G87">
        <v>0</v>
      </c>
      <c r="H87">
        <f t="shared" si="1"/>
        <v>48675.899999999936</v>
      </c>
      <c r="I87" t="str">
        <f>IF(Sheet1[[#This Row],[Month_Revenue]] &lt; AVERAGE(Sheet1[Month_Revenue]), "Off-Peak", "Peak")</f>
        <v>Off-Peak</v>
      </c>
      <c r="J87">
        <f xml:space="preserve"> IF(Sheet1[[#This Row],[Ad Spend]] &gt; 0, (Sheet1[[#This Row],[Profit]] / Sheet1[[#This Row],[Ad Spend]]), 0)</f>
        <v>2.7908638906152889</v>
      </c>
      <c r="K87">
        <f>Sheet1[[#This Row],[Revenue]]-Sheet1[[#This Row],[Ad Spend]]</f>
        <v>89.81</v>
      </c>
      <c r="L87" s="2" t="s">
        <v>22</v>
      </c>
      <c r="M87">
        <v>2</v>
      </c>
      <c r="N87" s="2" t="s">
        <v>15</v>
      </c>
      <c r="O87">
        <v>0</v>
      </c>
    </row>
    <row r="88" spans="1:15" x14ac:dyDescent="0.3">
      <c r="A88" s="1">
        <v>45393</v>
      </c>
      <c r="B88" s="2" t="s">
        <v>16</v>
      </c>
      <c r="C88" s="2" t="s">
        <v>21</v>
      </c>
      <c r="D88" s="2" t="s">
        <v>13</v>
      </c>
      <c r="E88">
        <v>182.47</v>
      </c>
      <c r="F88">
        <v>6.51</v>
      </c>
      <c r="G88">
        <v>0</v>
      </c>
      <c r="H88">
        <f t="shared" si="1"/>
        <v>58562.910000000018</v>
      </c>
      <c r="I88" t="str">
        <f>IF(Sheet1[[#This Row],[Month_Revenue]] &lt; AVERAGE(Sheet1[Month_Revenue]), "Off-Peak", "Peak")</f>
        <v>Peak</v>
      </c>
      <c r="J88">
        <f xml:space="preserve"> IF(Sheet1[[#This Row],[Ad Spend]] &gt; 0, (Sheet1[[#This Row],[Profit]] / Sheet1[[#This Row],[Ad Spend]]), 0)</f>
        <v>27.029185867895546</v>
      </c>
      <c r="K88">
        <f>Sheet1[[#This Row],[Revenue]]-Sheet1[[#This Row],[Ad Spend]]</f>
        <v>175.96</v>
      </c>
      <c r="L88" s="2" t="s">
        <v>14</v>
      </c>
      <c r="M88">
        <v>4</v>
      </c>
      <c r="N88" s="2" t="s">
        <v>19</v>
      </c>
      <c r="O88">
        <v>0</v>
      </c>
    </row>
    <row r="89" spans="1:15" x14ac:dyDescent="0.3">
      <c r="A89" s="1">
        <v>45399</v>
      </c>
      <c r="B89" s="2" t="s">
        <v>23</v>
      </c>
      <c r="C89" s="2" t="s">
        <v>17</v>
      </c>
      <c r="D89" s="2" t="s">
        <v>13</v>
      </c>
      <c r="E89">
        <v>158.22999999999999</v>
      </c>
      <c r="F89">
        <v>25.48</v>
      </c>
      <c r="G89">
        <v>0</v>
      </c>
      <c r="H89">
        <f t="shared" si="1"/>
        <v>58562.910000000018</v>
      </c>
      <c r="I89" t="str">
        <f>IF(Sheet1[[#This Row],[Month_Revenue]] &lt; AVERAGE(Sheet1[Month_Revenue]), "Off-Peak", "Peak")</f>
        <v>Peak</v>
      </c>
      <c r="J89">
        <f xml:space="preserve"> IF(Sheet1[[#This Row],[Ad Spend]] &gt; 0, (Sheet1[[#This Row],[Profit]] / Sheet1[[#This Row],[Ad Spend]]), 0)</f>
        <v>5.2099686028257457</v>
      </c>
      <c r="K89">
        <f>Sheet1[[#This Row],[Revenue]]-Sheet1[[#This Row],[Ad Spend]]</f>
        <v>132.75</v>
      </c>
      <c r="L89" s="2" t="s">
        <v>14</v>
      </c>
      <c r="M89">
        <v>4</v>
      </c>
      <c r="N89" s="2" t="s">
        <v>19</v>
      </c>
      <c r="O89">
        <v>0</v>
      </c>
    </row>
    <row r="90" spans="1:15" x14ac:dyDescent="0.3">
      <c r="A90" s="1">
        <v>45409</v>
      </c>
      <c r="B90" s="2" t="s">
        <v>11</v>
      </c>
      <c r="C90" s="2" t="s">
        <v>17</v>
      </c>
      <c r="D90" s="2" t="s">
        <v>13</v>
      </c>
      <c r="E90">
        <v>119.93</v>
      </c>
      <c r="F90">
        <v>31.69</v>
      </c>
      <c r="G90">
        <v>3</v>
      </c>
      <c r="H90">
        <f t="shared" si="1"/>
        <v>58562.910000000018</v>
      </c>
      <c r="I90" t="str">
        <f>IF(Sheet1[[#This Row],[Month_Revenue]] &lt; AVERAGE(Sheet1[Month_Revenue]), "Off-Peak", "Peak")</f>
        <v>Peak</v>
      </c>
      <c r="J90">
        <f xml:space="preserve"> IF(Sheet1[[#This Row],[Ad Spend]] &gt; 0, (Sheet1[[#This Row],[Profit]] / Sheet1[[#This Row],[Ad Spend]]), 0)</f>
        <v>2.7844745976648788</v>
      </c>
      <c r="K90">
        <f>Sheet1[[#This Row],[Revenue]]-Sheet1[[#This Row],[Ad Spend]]</f>
        <v>88.240000000000009</v>
      </c>
      <c r="L90" s="2" t="s">
        <v>22</v>
      </c>
      <c r="M90">
        <v>4</v>
      </c>
      <c r="N90" s="2" t="s">
        <v>19</v>
      </c>
      <c r="O90">
        <v>39.976666666666667</v>
      </c>
    </row>
    <row r="91" spans="1:15" x14ac:dyDescent="0.3">
      <c r="A91" s="1">
        <v>45335</v>
      </c>
      <c r="B91" s="2" t="s">
        <v>11</v>
      </c>
      <c r="C91" s="2" t="s">
        <v>21</v>
      </c>
      <c r="D91" s="2" t="s">
        <v>18</v>
      </c>
      <c r="E91">
        <v>196.76</v>
      </c>
      <c r="F91">
        <v>7.52</v>
      </c>
      <c r="G91">
        <v>2</v>
      </c>
      <c r="H91">
        <f t="shared" si="1"/>
        <v>48675.899999999936</v>
      </c>
      <c r="I91" t="str">
        <f>IF(Sheet1[[#This Row],[Month_Revenue]] &lt; AVERAGE(Sheet1[Month_Revenue]), "Off-Peak", "Peak")</f>
        <v>Off-Peak</v>
      </c>
      <c r="J91">
        <f xml:space="preserve"> IF(Sheet1[[#This Row],[Ad Spend]] &gt; 0, (Sheet1[[#This Row],[Profit]] / Sheet1[[#This Row],[Ad Spend]]), 0)</f>
        <v>25.164893617021274</v>
      </c>
      <c r="K91">
        <f>Sheet1[[#This Row],[Revenue]]-Sheet1[[#This Row],[Ad Spend]]</f>
        <v>189.23999999999998</v>
      </c>
      <c r="L91" s="2" t="s">
        <v>22</v>
      </c>
      <c r="M91">
        <v>2</v>
      </c>
      <c r="N91" s="2" t="s">
        <v>15</v>
      </c>
      <c r="O91">
        <v>98.38</v>
      </c>
    </row>
    <row r="92" spans="1:15" x14ac:dyDescent="0.3">
      <c r="A92" s="1">
        <v>45299</v>
      </c>
      <c r="B92" s="2" t="s">
        <v>20</v>
      </c>
      <c r="C92" s="2" t="s">
        <v>17</v>
      </c>
      <c r="D92" s="2" t="s">
        <v>18</v>
      </c>
      <c r="E92">
        <v>120.28</v>
      </c>
      <c r="F92">
        <v>15.03</v>
      </c>
      <c r="G92">
        <v>2</v>
      </c>
      <c r="H92">
        <f t="shared" si="1"/>
        <v>61207.979999999989</v>
      </c>
      <c r="I92" t="str">
        <f>IF(Sheet1[[#This Row],[Month_Revenue]] &lt; AVERAGE(Sheet1[Month_Revenue]), "Off-Peak", "Peak")</f>
        <v>Peak</v>
      </c>
      <c r="J92">
        <f xml:space="preserve"> IF(Sheet1[[#This Row],[Ad Spend]] &gt; 0, (Sheet1[[#This Row],[Profit]] / Sheet1[[#This Row],[Ad Spend]]), 0)</f>
        <v>7.0026613439787093</v>
      </c>
      <c r="K92">
        <f>Sheet1[[#This Row],[Revenue]]-Sheet1[[#This Row],[Ad Spend]]</f>
        <v>105.25</v>
      </c>
      <c r="L92" s="2" t="s">
        <v>22</v>
      </c>
      <c r="M92">
        <v>1</v>
      </c>
      <c r="N92" s="2" t="s">
        <v>15</v>
      </c>
      <c r="O92">
        <v>60.14</v>
      </c>
    </row>
    <row r="93" spans="1:15" x14ac:dyDescent="0.3">
      <c r="A93" s="1">
        <v>45350</v>
      </c>
      <c r="B93" s="2" t="s">
        <v>11</v>
      </c>
      <c r="C93" s="2" t="s">
        <v>21</v>
      </c>
      <c r="D93" s="2" t="s">
        <v>13</v>
      </c>
      <c r="E93">
        <v>99.9</v>
      </c>
      <c r="F93">
        <v>29.78</v>
      </c>
      <c r="G93">
        <v>0</v>
      </c>
      <c r="H93">
        <f t="shared" si="1"/>
        <v>48675.899999999936</v>
      </c>
      <c r="I93" t="str">
        <f>IF(Sheet1[[#This Row],[Month_Revenue]] &lt; AVERAGE(Sheet1[Month_Revenue]), "Off-Peak", "Peak")</f>
        <v>Off-Peak</v>
      </c>
      <c r="J93">
        <f xml:space="preserve"> IF(Sheet1[[#This Row],[Ad Spend]] &gt; 0, (Sheet1[[#This Row],[Profit]] / Sheet1[[#This Row],[Ad Spend]]), 0)</f>
        <v>2.3546004029550036</v>
      </c>
      <c r="K93">
        <f>Sheet1[[#This Row],[Revenue]]-Sheet1[[#This Row],[Ad Spend]]</f>
        <v>70.12</v>
      </c>
      <c r="L93" s="2" t="s">
        <v>14</v>
      </c>
      <c r="M93">
        <v>2</v>
      </c>
      <c r="N93" s="2" t="s">
        <v>15</v>
      </c>
      <c r="O93">
        <v>0</v>
      </c>
    </row>
    <row r="94" spans="1:15" x14ac:dyDescent="0.3">
      <c r="A94" s="1">
        <v>45404</v>
      </c>
      <c r="B94" s="2" t="s">
        <v>20</v>
      </c>
      <c r="C94" s="2" t="s">
        <v>21</v>
      </c>
      <c r="D94" s="2" t="s">
        <v>13</v>
      </c>
      <c r="E94">
        <v>54.96</v>
      </c>
      <c r="F94">
        <v>2.36</v>
      </c>
      <c r="G94">
        <v>0</v>
      </c>
      <c r="H94">
        <f t="shared" si="1"/>
        <v>58562.910000000018</v>
      </c>
      <c r="I94" t="str">
        <f>IF(Sheet1[[#This Row],[Month_Revenue]] &lt; AVERAGE(Sheet1[Month_Revenue]), "Off-Peak", "Peak")</f>
        <v>Peak</v>
      </c>
      <c r="J94">
        <f xml:space="preserve"> IF(Sheet1[[#This Row],[Ad Spend]] &gt; 0, (Sheet1[[#This Row],[Profit]] / Sheet1[[#This Row],[Ad Spend]]), 0)</f>
        <v>22.288135593220339</v>
      </c>
      <c r="K94">
        <f>Sheet1[[#This Row],[Revenue]]-Sheet1[[#This Row],[Ad Spend]]</f>
        <v>52.6</v>
      </c>
      <c r="L94" s="2" t="s">
        <v>14</v>
      </c>
      <c r="M94">
        <v>4</v>
      </c>
      <c r="N94" s="2" t="s">
        <v>19</v>
      </c>
      <c r="O94">
        <v>0</v>
      </c>
    </row>
    <row r="95" spans="1:15" x14ac:dyDescent="0.3">
      <c r="A95" s="1">
        <v>45305</v>
      </c>
      <c r="B95" s="2" t="s">
        <v>16</v>
      </c>
      <c r="C95" s="2" t="s">
        <v>12</v>
      </c>
      <c r="D95" s="2" t="s">
        <v>13</v>
      </c>
      <c r="E95">
        <v>77.209999999999994</v>
      </c>
      <c r="F95">
        <v>39.700000000000003</v>
      </c>
      <c r="G95">
        <v>1</v>
      </c>
      <c r="H95">
        <f t="shared" si="1"/>
        <v>61207.979999999989</v>
      </c>
      <c r="I95" t="str">
        <f>IF(Sheet1[[#This Row],[Month_Revenue]] &lt; AVERAGE(Sheet1[Month_Revenue]), "Off-Peak", "Peak")</f>
        <v>Peak</v>
      </c>
      <c r="J95">
        <f xml:space="preserve"> IF(Sheet1[[#This Row],[Ad Spend]] &gt; 0, (Sheet1[[#This Row],[Profit]] / Sheet1[[#This Row],[Ad Spend]]), 0)</f>
        <v>0.94483627204030196</v>
      </c>
      <c r="K95">
        <f>Sheet1[[#This Row],[Revenue]]-Sheet1[[#This Row],[Ad Spend]]</f>
        <v>37.509999999999991</v>
      </c>
      <c r="L95" s="2" t="s">
        <v>14</v>
      </c>
      <c r="M95">
        <v>1</v>
      </c>
      <c r="N95" s="2" t="s">
        <v>15</v>
      </c>
      <c r="O95">
        <v>77.209999999999994</v>
      </c>
    </row>
    <row r="96" spans="1:15" x14ac:dyDescent="0.3">
      <c r="A96" s="1">
        <v>45294</v>
      </c>
      <c r="B96" s="2" t="s">
        <v>20</v>
      </c>
      <c r="C96" s="2" t="s">
        <v>17</v>
      </c>
      <c r="D96" s="2" t="s">
        <v>13</v>
      </c>
      <c r="E96">
        <v>56.29</v>
      </c>
      <c r="F96">
        <v>19.88</v>
      </c>
      <c r="G96">
        <v>2</v>
      </c>
      <c r="H96">
        <f t="shared" si="1"/>
        <v>61207.979999999989</v>
      </c>
      <c r="I96" t="str">
        <f>IF(Sheet1[[#This Row],[Month_Revenue]] &lt; AVERAGE(Sheet1[Month_Revenue]), "Off-Peak", "Peak")</f>
        <v>Peak</v>
      </c>
      <c r="J96">
        <f xml:space="preserve"> IF(Sheet1[[#This Row],[Ad Spend]] &gt; 0, (Sheet1[[#This Row],[Profit]] / Sheet1[[#This Row],[Ad Spend]]), 0)</f>
        <v>1.8314889336016096</v>
      </c>
      <c r="K96">
        <f>Sheet1[[#This Row],[Revenue]]-Sheet1[[#This Row],[Ad Spend]]</f>
        <v>36.409999999999997</v>
      </c>
      <c r="L96" s="2" t="s">
        <v>22</v>
      </c>
      <c r="M96">
        <v>1</v>
      </c>
      <c r="N96" s="2" t="s">
        <v>15</v>
      </c>
      <c r="O96">
        <v>28.145</v>
      </c>
    </row>
    <row r="97" spans="1:15" x14ac:dyDescent="0.3">
      <c r="A97" s="1">
        <v>45324</v>
      </c>
      <c r="B97" s="2" t="s">
        <v>20</v>
      </c>
      <c r="C97" s="2" t="s">
        <v>17</v>
      </c>
      <c r="D97" s="2" t="s">
        <v>18</v>
      </c>
      <c r="E97">
        <v>82.77</v>
      </c>
      <c r="F97">
        <v>48.36</v>
      </c>
      <c r="G97">
        <v>3</v>
      </c>
      <c r="H97">
        <f t="shared" si="1"/>
        <v>48675.899999999936</v>
      </c>
      <c r="I97" t="str">
        <f>IF(Sheet1[[#This Row],[Month_Revenue]] &lt; AVERAGE(Sheet1[Month_Revenue]), "Off-Peak", "Peak")</f>
        <v>Off-Peak</v>
      </c>
      <c r="J97">
        <f xml:space="preserve"> IF(Sheet1[[#This Row],[Ad Spend]] &gt; 0, (Sheet1[[#This Row],[Profit]] / Sheet1[[#This Row],[Ad Spend]]), 0)</f>
        <v>0.71153846153846145</v>
      </c>
      <c r="K97">
        <f>Sheet1[[#This Row],[Revenue]]-Sheet1[[#This Row],[Ad Spend]]</f>
        <v>34.409999999999997</v>
      </c>
      <c r="L97" s="2" t="s">
        <v>14</v>
      </c>
      <c r="M97">
        <v>2</v>
      </c>
      <c r="N97" s="2" t="s">
        <v>15</v>
      </c>
      <c r="O97">
        <v>27.59</v>
      </c>
    </row>
    <row r="98" spans="1:15" x14ac:dyDescent="0.3">
      <c r="A98" s="1">
        <v>45365</v>
      </c>
      <c r="B98" s="2" t="s">
        <v>11</v>
      </c>
      <c r="C98" s="2" t="s">
        <v>21</v>
      </c>
      <c r="D98" s="2" t="s">
        <v>13</v>
      </c>
      <c r="E98">
        <v>94.96</v>
      </c>
      <c r="F98">
        <v>15.13</v>
      </c>
      <c r="G98">
        <v>0</v>
      </c>
      <c r="H98">
        <f t="shared" si="1"/>
        <v>54735.250000000029</v>
      </c>
      <c r="I98" t="str">
        <f>IF(Sheet1[[#This Row],[Month_Revenue]] &lt; AVERAGE(Sheet1[Month_Revenue]), "Off-Peak", "Peak")</f>
        <v>Off-Peak</v>
      </c>
      <c r="J98">
        <f xml:space="preserve"> IF(Sheet1[[#This Row],[Ad Spend]] &gt; 0, (Sheet1[[#This Row],[Profit]] / Sheet1[[#This Row],[Ad Spend]]), 0)</f>
        <v>5.2762723066754784</v>
      </c>
      <c r="K98">
        <f>Sheet1[[#This Row],[Revenue]]-Sheet1[[#This Row],[Ad Spend]]</f>
        <v>79.83</v>
      </c>
      <c r="L98" s="2" t="s">
        <v>14</v>
      </c>
      <c r="M98">
        <v>3</v>
      </c>
      <c r="N98" s="2" t="s">
        <v>19</v>
      </c>
      <c r="O98">
        <v>0</v>
      </c>
    </row>
    <row r="99" spans="1:15" x14ac:dyDescent="0.3">
      <c r="A99" s="1">
        <v>45315</v>
      </c>
      <c r="B99" s="2" t="s">
        <v>24</v>
      </c>
      <c r="C99" s="2" t="s">
        <v>12</v>
      </c>
      <c r="D99" s="2" t="s">
        <v>13</v>
      </c>
      <c r="E99">
        <v>196.69</v>
      </c>
      <c r="F99">
        <v>13.99</v>
      </c>
      <c r="G99">
        <v>2</v>
      </c>
      <c r="H99">
        <f t="shared" si="1"/>
        <v>61207.979999999989</v>
      </c>
      <c r="I99" t="str">
        <f>IF(Sheet1[[#This Row],[Month_Revenue]] &lt; AVERAGE(Sheet1[Month_Revenue]), "Off-Peak", "Peak")</f>
        <v>Peak</v>
      </c>
      <c r="J99">
        <f xml:space="preserve"> IF(Sheet1[[#This Row],[Ad Spend]] &gt; 0, (Sheet1[[#This Row],[Profit]] / Sheet1[[#This Row],[Ad Spend]]), 0)</f>
        <v>13.059328091493922</v>
      </c>
      <c r="K99">
        <f>Sheet1[[#This Row],[Revenue]]-Sheet1[[#This Row],[Ad Spend]]</f>
        <v>182.7</v>
      </c>
      <c r="L99" s="2" t="s">
        <v>22</v>
      </c>
      <c r="M99">
        <v>1</v>
      </c>
      <c r="N99" s="2" t="s">
        <v>15</v>
      </c>
      <c r="O99">
        <v>98.344999999999999</v>
      </c>
    </row>
    <row r="100" spans="1:15" x14ac:dyDescent="0.3">
      <c r="A100" s="1">
        <v>45337</v>
      </c>
      <c r="B100" s="2" t="s">
        <v>20</v>
      </c>
      <c r="C100" s="2" t="s">
        <v>12</v>
      </c>
      <c r="D100" s="2" t="s">
        <v>18</v>
      </c>
      <c r="E100">
        <v>65.33</v>
      </c>
      <c r="F100">
        <v>14.74</v>
      </c>
      <c r="G100">
        <v>0</v>
      </c>
      <c r="H100">
        <f t="shared" si="1"/>
        <v>48675.899999999936</v>
      </c>
      <c r="I100" t="str">
        <f>IF(Sheet1[[#This Row],[Month_Revenue]] &lt; AVERAGE(Sheet1[Month_Revenue]), "Off-Peak", "Peak")</f>
        <v>Off-Peak</v>
      </c>
      <c r="J100">
        <f xml:space="preserve"> IF(Sheet1[[#This Row],[Ad Spend]] &gt; 0, (Sheet1[[#This Row],[Profit]] / Sheet1[[#This Row],[Ad Spend]]), 0)</f>
        <v>3.4321573948439617</v>
      </c>
      <c r="K100">
        <f>Sheet1[[#This Row],[Revenue]]-Sheet1[[#This Row],[Ad Spend]]</f>
        <v>50.589999999999996</v>
      </c>
      <c r="L100" s="2" t="s">
        <v>22</v>
      </c>
      <c r="M100">
        <v>2</v>
      </c>
      <c r="N100" s="2" t="s">
        <v>15</v>
      </c>
      <c r="O100">
        <v>0</v>
      </c>
    </row>
    <row r="101" spans="1:15" x14ac:dyDescent="0.3">
      <c r="A101" s="1">
        <v>45382</v>
      </c>
      <c r="B101" s="2" t="s">
        <v>16</v>
      </c>
      <c r="C101" s="2" t="s">
        <v>21</v>
      </c>
      <c r="D101" s="2" t="s">
        <v>18</v>
      </c>
      <c r="E101">
        <v>47.18</v>
      </c>
      <c r="F101">
        <v>19.27</v>
      </c>
      <c r="G101">
        <v>1</v>
      </c>
      <c r="H101">
        <f t="shared" si="1"/>
        <v>54735.250000000029</v>
      </c>
      <c r="I101" t="str">
        <f>IF(Sheet1[[#This Row],[Month_Revenue]] &lt; AVERAGE(Sheet1[Month_Revenue]), "Off-Peak", "Peak")</f>
        <v>Off-Peak</v>
      </c>
      <c r="J101">
        <f xml:space="preserve"> IF(Sheet1[[#This Row],[Ad Spend]] &gt; 0, (Sheet1[[#This Row],[Profit]] / Sheet1[[#This Row],[Ad Spend]]), 0)</f>
        <v>1.448365334717177</v>
      </c>
      <c r="K101">
        <f>Sheet1[[#This Row],[Revenue]]-Sheet1[[#This Row],[Ad Spend]]</f>
        <v>27.91</v>
      </c>
      <c r="L101" s="2" t="s">
        <v>14</v>
      </c>
      <c r="M101">
        <v>3</v>
      </c>
      <c r="N101" s="2" t="s">
        <v>19</v>
      </c>
      <c r="O101">
        <v>47.18</v>
      </c>
    </row>
    <row r="102" spans="1:15" x14ac:dyDescent="0.3">
      <c r="A102" s="1">
        <v>45368</v>
      </c>
      <c r="B102" s="2" t="s">
        <v>23</v>
      </c>
      <c r="C102" s="2" t="s">
        <v>12</v>
      </c>
      <c r="D102" s="2" t="s">
        <v>18</v>
      </c>
      <c r="E102">
        <v>71.989999999999995</v>
      </c>
      <c r="F102">
        <v>5.9</v>
      </c>
      <c r="G102">
        <v>1</v>
      </c>
      <c r="H102">
        <f t="shared" si="1"/>
        <v>54735.250000000029</v>
      </c>
      <c r="I102" t="str">
        <f>IF(Sheet1[[#This Row],[Month_Revenue]] &lt; AVERAGE(Sheet1[Month_Revenue]), "Off-Peak", "Peak")</f>
        <v>Off-Peak</v>
      </c>
      <c r="J102">
        <f xml:space="preserve"> IF(Sheet1[[#This Row],[Ad Spend]] &gt; 0, (Sheet1[[#This Row],[Profit]] / Sheet1[[#This Row],[Ad Spend]]), 0)</f>
        <v>11.201694915254235</v>
      </c>
      <c r="K102">
        <f>Sheet1[[#This Row],[Revenue]]-Sheet1[[#This Row],[Ad Spend]]</f>
        <v>66.089999999999989</v>
      </c>
      <c r="L102" s="2" t="s">
        <v>14</v>
      </c>
      <c r="M102">
        <v>3</v>
      </c>
      <c r="N102" s="2" t="s">
        <v>19</v>
      </c>
      <c r="O102">
        <v>71.989999999999995</v>
      </c>
    </row>
    <row r="103" spans="1:15" x14ac:dyDescent="0.3">
      <c r="A103" s="1">
        <v>45296</v>
      </c>
      <c r="B103" s="2" t="s">
        <v>23</v>
      </c>
      <c r="C103" s="2" t="s">
        <v>21</v>
      </c>
      <c r="D103" s="2" t="s">
        <v>18</v>
      </c>
      <c r="E103">
        <v>89.36</v>
      </c>
      <c r="F103">
        <v>44.58</v>
      </c>
      <c r="G103">
        <v>3</v>
      </c>
      <c r="H103">
        <f t="shared" si="1"/>
        <v>61207.979999999989</v>
      </c>
      <c r="I103" t="str">
        <f>IF(Sheet1[[#This Row],[Month_Revenue]] &lt; AVERAGE(Sheet1[Month_Revenue]), "Off-Peak", "Peak")</f>
        <v>Peak</v>
      </c>
      <c r="J103">
        <f xml:space="preserve"> IF(Sheet1[[#This Row],[Ad Spend]] &gt; 0, (Sheet1[[#This Row],[Profit]] / Sheet1[[#This Row],[Ad Spend]]), 0)</f>
        <v>1.0044863167339615</v>
      </c>
      <c r="K103">
        <f>Sheet1[[#This Row],[Revenue]]-Sheet1[[#This Row],[Ad Spend]]</f>
        <v>44.78</v>
      </c>
      <c r="L103" s="2" t="s">
        <v>14</v>
      </c>
      <c r="M103">
        <v>1</v>
      </c>
      <c r="N103" s="2" t="s">
        <v>15</v>
      </c>
      <c r="O103">
        <v>29.786666666666665</v>
      </c>
    </row>
    <row r="104" spans="1:15" x14ac:dyDescent="0.3">
      <c r="A104" s="1">
        <v>45327</v>
      </c>
      <c r="B104" s="2" t="s">
        <v>16</v>
      </c>
      <c r="C104" s="2" t="s">
        <v>12</v>
      </c>
      <c r="D104" s="2" t="s">
        <v>13</v>
      </c>
      <c r="E104">
        <v>52.67</v>
      </c>
      <c r="F104">
        <v>3.32</v>
      </c>
      <c r="G104">
        <v>1</v>
      </c>
      <c r="H104">
        <f t="shared" si="1"/>
        <v>48675.899999999936</v>
      </c>
      <c r="I104" t="str">
        <f>IF(Sheet1[[#This Row],[Month_Revenue]] &lt; AVERAGE(Sheet1[Month_Revenue]), "Off-Peak", "Peak")</f>
        <v>Off-Peak</v>
      </c>
      <c r="J104">
        <f xml:space="preserve"> IF(Sheet1[[#This Row],[Ad Spend]] &gt; 0, (Sheet1[[#This Row],[Profit]] / Sheet1[[#This Row],[Ad Spend]]), 0)</f>
        <v>14.864457831325302</v>
      </c>
      <c r="K104">
        <f>Sheet1[[#This Row],[Revenue]]-Sheet1[[#This Row],[Ad Spend]]</f>
        <v>49.35</v>
      </c>
      <c r="L104" s="2" t="s">
        <v>22</v>
      </c>
      <c r="M104">
        <v>2</v>
      </c>
      <c r="N104" s="2" t="s">
        <v>15</v>
      </c>
      <c r="O104">
        <v>52.67</v>
      </c>
    </row>
    <row r="105" spans="1:15" x14ac:dyDescent="0.3">
      <c r="A105" s="1">
        <v>45309</v>
      </c>
      <c r="B105" s="2" t="s">
        <v>11</v>
      </c>
      <c r="C105" s="2" t="s">
        <v>21</v>
      </c>
      <c r="D105" s="2" t="s">
        <v>13</v>
      </c>
      <c r="E105">
        <v>116.62</v>
      </c>
      <c r="F105">
        <v>27.86</v>
      </c>
      <c r="G105">
        <v>2</v>
      </c>
      <c r="H105">
        <f t="shared" si="1"/>
        <v>61207.979999999989</v>
      </c>
      <c r="I105" t="str">
        <f>IF(Sheet1[[#This Row],[Month_Revenue]] &lt; AVERAGE(Sheet1[Month_Revenue]), "Off-Peak", "Peak")</f>
        <v>Peak</v>
      </c>
      <c r="J105">
        <f xml:space="preserve"> IF(Sheet1[[#This Row],[Ad Spend]] &gt; 0, (Sheet1[[#This Row],[Profit]] / Sheet1[[#This Row],[Ad Spend]]), 0)</f>
        <v>3.1859296482412063</v>
      </c>
      <c r="K105">
        <f>Sheet1[[#This Row],[Revenue]]-Sheet1[[#This Row],[Ad Spend]]</f>
        <v>88.76</v>
      </c>
      <c r="L105" s="2" t="s">
        <v>22</v>
      </c>
      <c r="M105">
        <v>1</v>
      </c>
      <c r="N105" s="2" t="s">
        <v>15</v>
      </c>
      <c r="O105">
        <v>58.31</v>
      </c>
    </row>
    <row r="106" spans="1:15" x14ac:dyDescent="0.3">
      <c r="A106" s="1">
        <v>45403</v>
      </c>
      <c r="B106" s="2" t="s">
        <v>23</v>
      </c>
      <c r="C106" s="2" t="s">
        <v>12</v>
      </c>
      <c r="D106" s="2" t="s">
        <v>18</v>
      </c>
      <c r="E106">
        <v>133.06</v>
      </c>
      <c r="F106">
        <v>32.869999999999997</v>
      </c>
      <c r="G106">
        <v>2</v>
      </c>
      <c r="H106">
        <f t="shared" si="1"/>
        <v>58562.910000000018</v>
      </c>
      <c r="I106" t="str">
        <f>IF(Sheet1[[#This Row],[Month_Revenue]] &lt; AVERAGE(Sheet1[Month_Revenue]), "Off-Peak", "Peak")</f>
        <v>Peak</v>
      </c>
      <c r="J106">
        <f xml:space="preserve"> IF(Sheet1[[#This Row],[Ad Spend]] &gt; 0, (Sheet1[[#This Row],[Profit]] / Sheet1[[#This Row],[Ad Spend]]), 0)</f>
        <v>3.0480681472467297</v>
      </c>
      <c r="K106">
        <f>Sheet1[[#This Row],[Revenue]]-Sheet1[[#This Row],[Ad Spend]]</f>
        <v>100.19</v>
      </c>
      <c r="L106" s="2" t="s">
        <v>22</v>
      </c>
      <c r="M106">
        <v>4</v>
      </c>
      <c r="N106" s="2" t="s">
        <v>19</v>
      </c>
      <c r="O106">
        <v>66.53</v>
      </c>
    </row>
    <row r="107" spans="1:15" x14ac:dyDescent="0.3">
      <c r="A107" s="1">
        <v>45296</v>
      </c>
      <c r="B107" s="2" t="s">
        <v>23</v>
      </c>
      <c r="C107" s="2" t="s">
        <v>12</v>
      </c>
      <c r="D107" s="2" t="s">
        <v>18</v>
      </c>
      <c r="E107">
        <v>31.65</v>
      </c>
      <c r="F107">
        <v>26.64</v>
      </c>
      <c r="G107">
        <v>2</v>
      </c>
      <c r="H107">
        <f t="shared" si="1"/>
        <v>61207.979999999989</v>
      </c>
      <c r="I107" t="str">
        <f>IF(Sheet1[[#This Row],[Month_Revenue]] &lt; AVERAGE(Sheet1[Month_Revenue]), "Off-Peak", "Peak")</f>
        <v>Peak</v>
      </c>
      <c r="J107">
        <f xml:space="preserve"> IF(Sheet1[[#This Row],[Ad Spend]] &gt; 0, (Sheet1[[#This Row],[Profit]] / Sheet1[[#This Row],[Ad Spend]]), 0)</f>
        <v>0.18806306306306297</v>
      </c>
      <c r="K107">
        <f>Sheet1[[#This Row],[Revenue]]-Sheet1[[#This Row],[Ad Spend]]</f>
        <v>5.009999999999998</v>
      </c>
      <c r="L107" s="2" t="s">
        <v>14</v>
      </c>
      <c r="M107">
        <v>1</v>
      </c>
      <c r="N107" s="2" t="s">
        <v>15</v>
      </c>
      <c r="O107">
        <v>15.824999999999999</v>
      </c>
    </row>
    <row r="108" spans="1:15" x14ac:dyDescent="0.3">
      <c r="A108" s="1">
        <v>45331</v>
      </c>
      <c r="B108" s="2" t="s">
        <v>16</v>
      </c>
      <c r="C108" s="2" t="s">
        <v>12</v>
      </c>
      <c r="D108" s="2" t="s">
        <v>18</v>
      </c>
      <c r="E108">
        <v>85.78</v>
      </c>
      <c r="F108">
        <v>22.54</v>
      </c>
      <c r="G108">
        <v>2</v>
      </c>
      <c r="H108">
        <f t="shared" si="1"/>
        <v>48675.899999999936</v>
      </c>
      <c r="I108" t="str">
        <f>IF(Sheet1[[#This Row],[Month_Revenue]] &lt; AVERAGE(Sheet1[Month_Revenue]), "Off-Peak", "Peak")</f>
        <v>Off-Peak</v>
      </c>
      <c r="J108">
        <f xml:space="preserve"> IF(Sheet1[[#This Row],[Ad Spend]] &gt; 0, (Sheet1[[#This Row],[Profit]] / Sheet1[[#This Row],[Ad Spend]]), 0)</f>
        <v>2.8056787932564333</v>
      </c>
      <c r="K108">
        <f>Sheet1[[#This Row],[Revenue]]-Sheet1[[#This Row],[Ad Spend]]</f>
        <v>63.24</v>
      </c>
      <c r="L108" s="2" t="s">
        <v>22</v>
      </c>
      <c r="M108">
        <v>2</v>
      </c>
      <c r="N108" s="2" t="s">
        <v>15</v>
      </c>
      <c r="O108">
        <v>42.89</v>
      </c>
    </row>
    <row r="109" spans="1:15" x14ac:dyDescent="0.3">
      <c r="A109" s="1">
        <v>45303</v>
      </c>
      <c r="B109" s="2" t="s">
        <v>11</v>
      </c>
      <c r="C109" s="2" t="s">
        <v>12</v>
      </c>
      <c r="D109" s="2" t="s">
        <v>13</v>
      </c>
      <c r="E109">
        <v>121.12</v>
      </c>
      <c r="F109">
        <v>6.41</v>
      </c>
      <c r="G109">
        <v>1</v>
      </c>
      <c r="H109">
        <f t="shared" si="1"/>
        <v>61207.979999999989</v>
      </c>
      <c r="I109" t="str">
        <f>IF(Sheet1[[#This Row],[Month_Revenue]] &lt; AVERAGE(Sheet1[Month_Revenue]), "Off-Peak", "Peak")</f>
        <v>Peak</v>
      </c>
      <c r="J109">
        <f xml:space="preserve"> IF(Sheet1[[#This Row],[Ad Spend]] &gt; 0, (Sheet1[[#This Row],[Profit]] / Sheet1[[#This Row],[Ad Spend]]), 0)</f>
        <v>17.895475819032761</v>
      </c>
      <c r="K109">
        <f>Sheet1[[#This Row],[Revenue]]-Sheet1[[#This Row],[Ad Spend]]</f>
        <v>114.71000000000001</v>
      </c>
      <c r="L109" s="2" t="s">
        <v>22</v>
      </c>
      <c r="M109">
        <v>1</v>
      </c>
      <c r="N109" s="2" t="s">
        <v>15</v>
      </c>
      <c r="O109">
        <v>121.12</v>
      </c>
    </row>
    <row r="110" spans="1:15" x14ac:dyDescent="0.3">
      <c r="A110" s="1">
        <v>45365</v>
      </c>
      <c r="B110" s="2" t="s">
        <v>24</v>
      </c>
      <c r="C110" s="2" t="s">
        <v>21</v>
      </c>
      <c r="D110" s="2" t="s">
        <v>18</v>
      </c>
      <c r="E110">
        <v>139.43</v>
      </c>
      <c r="F110">
        <v>24.6</v>
      </c>
      <c r="G110">
        <v>3</v>
      </c>
      <c r="H110">
        <f t="shared" si="1"/>
        <v>54735.250000000029</v>
      </c>
      <c r="I110" t="str">
        <f>IF(Sheet1[[#This Row],[Month_Revenue]] &lt; AVERAGE(Sheet1[Month_Revenue]), "Off-Peak", "Peak")</f>
        <v>Off-Peak</v>
      </c>
      <c r="J110">
        <f xml:space="preserve"> IF(Sheet1[[#This Row],[Ad Spend]] &gt; 0, (Sheet1[[#This Row],[Profit]] / Sheet1[[#This Row],[Ad Spend]]), 0)</f>
        <v>4.6678861788617887</v>
      </c>
      <c r="K110">
        <f>Sheet1[[#This Row],[Revenue]]-Sheet1[[#This Row],[Ad Spend]]</f>
        <v>114.83000000000001</v>
      </c>
      <c r="L110" s="2" t="s">
        <v>22</v>
      </c>
      <c r="M110">
        <v>3</v>
      </c>
      <c r="N110" s="2" t="s">
        <v>19</v>
      </c>
      <c r="O110">
        <v>46.476666666666667</v>
      </c>
    </row>
    <row r="111" spans="1:15" x14ac:dyDescent="0.3">
      <c r="A111" s="1">
        <v>45302</v>
      </c>
      <c r="B111" s="2" t="s">
        <v>16</v>
      </c>
      <c r="C111" s="2" t="s">
        <v>17</v>
      </c>
      <c r="D111" s="2" t="s">
        <v>13</v>
      </c>
      <c r="E111">
        <v>62.6</v>
      </c>
      <c r="F111">
        <v>30.42</v>
      </c>
      <c r="G111">
        <v>2</v>
      </c>
      <c r="H111">
        <f t="shared" si="1"/>
        <v>61207.979999999989</v>
      </c>
      <c r="I111" t="str">
        <f>IF(Sheet1[[#This Row],[Month_Revenue]] &lt; AVERAGE(Sheet1[Month_Revenue]), "Off-Peak", "Peak")</f>
        <v>Peak</v>
      </c>
      <c r="J111">
        <f xml:space="preserve"> IF(Sheet1[[#This Row],[Ad Spend]] &gt; 0, (Sheet1[[#This Row],[Profit]] / Sheet1[[#This Row],[Ad Spend]]), 0)</f>
        <v>1.0578566732412886</v>
      </c>
      <c r="K111">
        <f>Sheet1[[#This Row],[Revenue]]-Sheet1[[#This Row],[Ad Spend]]</f>
        <v>32.18</v>
      </c>
      <c r="L111" s="2" t="s">
        <v>14</v>
      </c>
      <c r="M111">
        <v>1</v>
      </c>
      <c r="N111" s="2" t="s">
        <v>15</v>
      </c>
      <c r="O111">
        <v>31.3</v>
      </c>
    </row>
    <row r="112" spans="1:15" x14ac:dyDescent="0.3">
      <c r="A112" s="1">
        <v>45411</v>
      </c>
      <c r="B112" s="2" t="s">
        <v>24</v>
      </c>
      <c r="C112" s="2" t="s">
        <v>12</v>
      </c>
      <c r="D112" s="2" t="s">
        <v>13</v>
      </c>
      <c r="E112">
        <v>47.14</v>
      </c>
      <c r="F112">
        <v>23.98</v>
      </c>
      <c r="G112">
        <v>1</v>
      </c>
      <c r="H112">
        <f t="shared" si="1"/>
        <v>58562.910000000018</v>
      </c>
      <c r="I112" t="str">
        <f>IF(Sheet1[[#This Row],[Month_Revenue]] &lt; AVERAGE(Sheet1[Month_Revenue]), "Off-Peak", "Peak")</f>
        <v>Peak</v>
      </c>
      <c r="J112">
        <f xml:space="preserve"> IF(Sheet1[[#This Row],[Ad Spend]] &gt; 0, (Sheet1[[#This Row],[Profit]] / Sheet1[[#This Row],[Ad Spend]]), 0)</f>
        <v>0.96580483736447043</v>
      </c>
      <c r="K112">
        <f>Sheet1[[#This Row],[Revenue]]-Sheet1[[#This Row],[Ad Spend]]</f>
        <v>23.16</v>
      </c>
      <c r="L112" s="2" t="s">
        <v>14</v>
      </c>
      <c r="M112">
        <v>4</v>
      </c>
      <c r="N112" s="2" t="s">
        <v>19</v>
      </c>
      <c r="O112">
        <v>47.14</v>
      </c>
    </row>
    <row r="113" spans="1:15" x14ac:dyDescent="0.3">
      <c r="A113" s="1">
        <v>45372</v>
      </c>
      <c r="B113" s="2" t="s">
        <v>24</v>
      </c>
      <c r="C113" s="2" t="s">
        <v>12</v>
      </c>
      <c r="D113" s="2" t="s">
        <v>13</v>
      </c>
      <c r="E113">
        <v>50.88</v>
      </c>
      <c r="F113">
        <v>46.29</v>
      </c>
      <c r="G113">
        <v>2</v>
      </c>
      <c r="H113">
        <f t="shared" si="1"/>
        <v>54735.250000000029</v>
      </c>
      <c r="I113" t="str">
        <f>IF(Sheet1[[#This Row],[Month_Revenue]] &lt; AVERAGE(Sheet1[Month_Revenue]), "Off-Peak", "Peak")</f>
        <v>Off-Peak</v>
      </c>
      <c r="J113">
        <f xml:space="preserve"> IF(Sheet1[[#This Row],[Ad Spend]] &gt; 0, (Sheet1[[#This Row],[Profit]] / Sheet1[[#This Row],[Ad Spend]]), 0)</f>
        <v>9.915748541801693E-2</v>
      </c>
      <c r="K113">
        <f>Sheet1[[#This Row],[Revenue]]-Sheet1[[#This Row],[Ad Spend]]</f>
        <v>4.5900000000000034</v>
      </c>
      <c r="L113" s="2" t="s">
        <v>22</v>
      </c>
      <c r="M113">
        <v>3</v>
      </c>
      <c r="N113" s="2" t="s">
        <v>19</v>
      </c>
      <c r="O113">
        <v>25.44</v>
      </c>
    </row>
    <row r="114" spans="1:15" x14ac:dyDescent="0.3">
      <c r="A114" s="1">
        <v>45320</v>
      </c>
      <c r="B114" s="2" t="s">
        <v>20</v>
      </c>
      <c r="C114" s="2" t="s">
        <v>21</v>
      </c>
      <c r="D114" s="2" t="s">
        <v>18</v>
      </c>
      <c r="E114">
        <v>104.55</v>
      </c>
      <c r="F114">
        <v>8.01</v>
      </c>
      <c r="G114">
        <v>3</v>
      </c>
      <c r="H114">
        <f t="shared" si="1"/>
        <v>61207.979999999989</v>
      </c>
      <c r="I114" t="str">
        <f>IF(Sheet1[[#This Row],[Month_Revenue]] &lt; AVERAGE(Sheet1[Month_Revenue]), "Off-Peak", "Peak")</f>
        <v>Peak</v>
      </c>
      <c r="J114">
        <f xml:space="preserve"> IF(Sheet1[[#This Row],[Ad Spend]] &gt; 0, (Sheet1[[#This Row],[Profit]] / Sheet1[[#This Row],[Ad Spend]]), 0)</f>
        <v>12.052434456928838</v>
      </c>
      <c r="K114">
        <f>Sheet1[[#This Row],[Revenue]]-Sheet1[[#This Row],[Ad Spend]]</f>
        <v>96.539999999999992</v>
      </c>
      <c r="L114" s="2" t="s">
        <v>22</v>
      </c>
      <c r="M114">
        <v>1</v>
      </c>
      <c r="N114" s="2" t="s">
        <v>15</v>
      </c>
      <c r="O114">
        <v>34.85</v>
      </c>
    </row>
    <row r="115" spans="1:15" x14ac:dyDescent="0.3">
      <c r="A115" s="1">
        <v>45384</v>
      </c>
      <c r="B115" s="2" t="s">
        <v>23</v>
      </c>
      <c r="C115" s="2" t="s">
        <v>21</v>
      </c>
      <c r="D115" s="2" t="s">
        <v>18</v>
      </c>
      <c r="E115">
        <v>47.24</v>
      </c>
      <c r="F115">
        <v>48.33</v>
      </c>
      <c r="G115">
        <v>3</v>
      </c>
      <c r="H115">
        <f t="shared" si="1"/>
        <v>58562.910000000018</v>
      </c>
      <c r="I115" t="str">
        <f>IF(Sheet1[[#This Row],[Month_Revenue]] &lt; AVERAGE(Sheet1[Month_Revenue]), "Off-Peak", "Peak")</f>
        <v>Peak</v>
      </c>
      <c r="J115">
        <f xml:space="preserve"> IF(Sheet1[[#This Row],[Ad Spend]] &gt; 0, (Sheet1[[#This Row],[Profit]] / Sheet1[[#This Row],[Ad Spend]]), 0)</f>
        <v>-2.2553279536519685E-2</v>
      </c>
      <c r="K115">
        <f>Sheet1[[#This Row],[Revenue]]-Sheet1[[#This Row],[Ad Spend]]</f>
        <v>-1.0899999999999963</v>
      </c>
      <c r="L115" s="2" t="s">
        <v>14</v>
      </c>
      <c r="M115">
        <v>4</v>
      </c>
      <c r="N115" s="2" t="s">
        <v>19</v>
      </c>
      <c r="O115">
        <v>15.746666666666668</v>
      </c>
    </row>
    <row r="116" spans="1:15" x14ac:dyDescent="0.3">
      <c r="A116" s="1">
        <v>45392</v>
      </c>
      <c r="B116" s="2" t="s">
        <v>24</v>
      </c>
      <c r="C116" s="2" t="s">
        <v>21</v>
      </c>
      <c r="D116" s="2" t="s">
        <v>18</v>
      </c>
      <c r="E116">
        <v>71.760000000000005</v>
      </c>
      <c r="F116">
        <v>26.16</v>
      </c>
      <c r="G116">
        <v>2</v>
      </c>
      <c r="H116">
        <f t="shared" si="1"/>
        <v>58562.910000000018</v>
      </c>
      <c r="I116" t="str">
        <f>IF(Sheet1[[#This Row],[Month_Revenue]] &lt; AVERAGE(Sheet1[Month_Revenue]), "Off-Peak", "Peak")</f>
        <v>Peak</v>
      </c>
      <c r="J116">
        <f xml:space="preserve"> IF(Sheet1[[#This Row],[Ad Spend]] &gt; 0, (Sheet1[[#This Row],[Profit]] / Sheet1[[#This Row],[Ad Spend]]), 0)</f>
        <v>1.7431192660550461</v>
      </c>
      <c r="K116">
        <f>Sheet1[[#This Row],[Revenue]]-Sheet1[[#This Row],[Ad Spend]]</f>
        <v>45.600000000000009</v>
      </c>
      <c r="L116" s="2" t="s">
        <v>22</v>
      </c>
      <c r="M116">
        <v>4</v>
      </c>
      <c r="N116" s="2" t="s">
        <v>19</v>
      </c>
      <c r="O116">
        <v>35.880000000000003</v>
      </c>
    </row>
    <row r="117" spans="1:15" x14ac:dyDescent="0.3">
      <c r="A117" s="1">
        <v>45395</v>
      </c>
      <c r="B117" s="2" t="s">
        <v>16</v>
      </c>
      <c r="C117" s="2" t="s">
        <v>12</v>
      </c>
      <c r="D117" s="2" t="s">
        <v>13</v>
      </c>
      <c r="E117">
        <v>124.2</v>
      </c>
      <c r="F117">
        <v>23.82</v>
      </c>
      <c r="G117">
        <v>1</v>
      </c>
      <c r="H117">
        <f t="shared" si="1"/>
        <v>58562.910000000018</v>
      </c>
      <c r="I117" t="str">
        <f>IF(Sheet1[[#This Row],[Month_Revenue]] &lt; AVERAGE(Sheet1[Month_Revenue]), "Off-Peak", "Peak")</f>
        <v>Peak</v>
      </c>
      <c r="J117">
        <f xml:space="preserve"> IF(Sheet1[[#This Row],[Ad Spend]] &gt; 0, (Sheet1[[#This Row],[Profit]] / Sheet1[[#This Row],[Ad Spend]]), 0)</f>
        <v>4.214105793450881</v>
      </c>
      <c r="K117">
        <f>Sheet1[[#This Row],[Revenue]]-Sheet1[[#This Row],[Ad Spend]]</f>
        <v>100.38</v>
      </c>
      <c r="L117" s="2" t="s">
        <v>14</v>
      </c>
      <c r="M117">
        <v>4</v>
      </c>
      <c r="N117" s="2" t="s">
        <v>19</v>
      </c>
      <c r="O117">
        <v>124.2</v>
      </c>
    </row>
    <row r="118" spans="1:15" x14ac:dyDescent="0.3">
      <c r="A118" s="1">
        <v>45363</v>
      </c>
      <c r="B118" s="2" t="s">
        <v>20</v>
      </c>
      <c r="C118" s="2" t="s">
        <v>12</v>
      </c>
      <c r="D118" s="2" t="s">
        <v>13</v>
      </c>
      <c r="E118">
        <v>76.69</v>
      </c>
      <c r="F118">
        <v>15.13</v>
      </c>
      <c r="G118">
        <v>3</v>
      </c>
      <c r="H118">
        <f t="shared" si="1"/>
        <v>54735.250000000029</v>
      </c>
      <c r="I118" t="str">
        <f>IF(Sheet1[[#This Row],[Month_Revenue]] &lt; AVERAGE(Sheet1[Month_Revenue]), "Off-Peak", "Peak")</f>
        <v>Off-Peak</v>
      </c>
      <c r="J118">
        <f xml:space="preserve"> IF(Sheet1[[#This Row],[Ad Spend]] &gt; 0, (Sheet1[[#This Row],[Profit]] / Sheet1[[#This Row],[Ad Spend]]), 0)</f>
        <v>4.068737607402511</v>
      </c>
      <c r="K118">
        <f>Sheet1[[#This Row],[Revenue]]-Sheet1[[#This Row],[Ad Spend]]</f>
        <v>61.559999999999995</v>
      </c>
      <c r="L118" s="2" t="s">
        <v>22</v>
      </c>
      <c r="M118">
        <v>3</v>
      </c>
      <c r="N118" s="2" t="s">
        <v>19</v>
      </c>
      <c r="O118">
        <v>25.563333333333333</v>
      </c>
    </row>
    <row r="119" spans="1:15" x14ac:dyDescent="0.3">
      <c r="A119" s="1">
        <v>45346</v>
      </c>
      <c r="B119" s="2" t="s">
        <v>23</v>
      </c>
      <c r="C119" s="2" t="s">
        <v>17</v>
      </c>
      <c r="D119" s="2" t="s">
        <v>13</v>
      </c>
      <c r="E119">
        <v>152.1</v>
      </c>
      <c r="F119">
        <v>23.96</v>
      </c>
      <c r="G119">
        <v>0</v>
      </c>
      <c r="H119">
        <f t="shared" si="1"/>
        <v>48675.899999999936</v>
      </c>
      <c r="I119" t="str">
        <f>IF(Sheet1[[#This Row],[Month_Revenue]] &lt; AVERAGE(Sheet1[Month_Revenue]), "Off-Peak", "Peak")</f>
        <v>Off-Peak</v>
      </c>
      <c r="J119">
        <f xml:space="preserve"> IF(Sheet1[[#This Row],[Ad Spend]] &gt; 0, (Sheet1[[#This Row],[Profit]] / Sheet1[[#This Row],[Ad Spend]]), 0)</f>
        <v>5.3480801335559258</v>
      </c>
      <c r="K119">
        <f>Sheet1[[#This Row],[Revenue]]-Sheet1[[#This Row],[Ad Spend]]</f>
        <v>128.13999999999999</v>
      </c>
      <c r="L119" s="2" t="s">
        <v>22</v>
      </c>
      <c r="M119">
        <v>2</v>
      </c>
      <c r="N119" s="2" t="s">
        <v>15</v>
      </c>
      <c r="O119">
        <v>0</v>
      </c>
    </row>
    <row r="120" spans="1:15" x14ac:dyDescent="0.3">
      <c r="A120" s="1">
        <v>45369</v>
      </c>
      <c r="B120" s="2" t="s">
        <v>24</v>
      </c>
      <c r="C120" s="2" t="s">
        <v>17</v>
      </c>
      <c r="D120" s="2" t="s">
        <v>13</v>
      </c>
      <c r="E120">
        <v>85.3</v>
      </c>
      <c r="F120">
        <v>22.84</v>
      </c>
      <c r="G120">
        <v>1</v>
      </c>
      <c r="H120">
        <f t="shared" si="1"/>
        <v>54735.250000000029</v>
      </c>
      <c r="I120" t="str">
        <f>IF(Sheet1[[#This Row],[Month_Revenue]] &lt; AVERAGE(Sheet1[Month_Revenue]), "Off-Peak", "Peak")</f>
        <v>Off-Peak</v>
      </c>
      <c r="J120">
        <f xml:space="preserve"> IF(Sheet1[[#This Row],[Ad Spend]] &gt; 0, (Sheet1[[#This Row],[Profit]] / Sheet1[[#This Row],[Ad Spend]]), 0)</f>
        <v>2.7346760070052536</v>
      </c>
      <c r="K120">
        <f>Sheet1[[#This Row],[Revenue]]-Sheet1[[#This Row],[Ad Spend]]</f>
        <v>62.459999999999994</v>
      </c>
      <c r="L120" s="2" t="s">
        <v>22</v>
      </c>
      <c r="M120">
        <v>3</v>
      </c>
      <c r="N120" s="2" t="s">
        <v>19</v>
      </c>
      <c r="O120">
        <v>85.3</v>
      </c>
    </row>
    <row r="121" spans="1:15" x14ac:dyDescent="0.3">
      <c r="A121" s="1">
        <v>45332</v>
      </c>
      <c r="B121" s="2" t="s">
        <v>23</v>
      </c>
      <c r="C121" s="2" t="s">
        <v>12</v>
      </c>
      <c r="D121" s="2" t="s">
        <v>18</v>
      </c>
      <c r="E121">
        <v>128.28</v>
      </c>
      <c r="F121">
        <v>8.01</v>
      </c>
      <c r="G121">
        <v>0</v>
      </c>
      <c r="H121">
        <f t="shared" si="1"/>
        <v>48675.899999999936</v>
      </c>
      <c r="I121" t="str">
        <f>IF(Sheet1[[#This Row],[Month_Revenue]] &lt; AVERAGE(Sheet1[Month_Revenue]), "Off-Peak", "Peak")</f>
        <v>Off-Peak</v>
      </c>
      <c r="J121">
        <f xml:space="preserve"> IF(Sheet1[[#This Row],[Ad Spend]] &gt; 0, (Sheet1[[#This Row],[Profit]] / Sheet1[[#This Row],[Ad Spend]]), 0)</f>
        <v>15.014981273408239</v>
      </c>
      <c r="K121">
        <f>Sheet1[[#This Row],[Revenue]]-Sheet1[[#This Row],[Ad Spend]]</f>
        <v>120.27</v>
      </c>
      <c r="L121" s="2" t="s">
        <v>22</v>
      </c>
      <c r="M121">
        <v>2</v>
      </c>
      <c r="N121" s="2" t="s">
        <v>15</v>
      </c>
      <c r="O121">
        <v>0</v>
      </c>
    </row>
    <row r="122" spans="1:15" x14ac:dyDescent="0.3">
      <c r="A122" s="1">
        <v>45400</v>
      </c>
      <c r="B122" s="2" t="s">
        <v>11</v>
      </c>
      <c r="C122" s="2" t="s">
        <v>17</v>
      </c>
      <c r="D122" s="2" t="s">
        <v>18</v>
      </c>
      <c r="E122">
        <v>176.5</v>
      </c>
      <c r="F122">
        <v>2.66</v>
      </c>
      <c r="G122">
        <v>2</v>
      </c>
      <c r="H122">
        <f t="shared" si="1"/>
        <v>58562.910000000018</v>
      </c>
      <c r="I122" t="str">
        <f>IF(Sheet1[[#This Row],[Month_Revenue]] &lt; AVERAGE(Sheet1[Month_Revenue]), "Off-Peak", "Peak")</f>
        <v>Peak</v>
      </c>
      <c r="J122">
        <f xml:space="preserve"> IF(Sheet1[[#This Row],[Ad Spend]] &gt; 0, (Sheet1[[#This Row],[Profit]] / Sheet1[[#This Row],[Ad Spend]]), 0)</f>
        <v>65.353383458646618</v>
      </c>
      <c r="K122">
        <f>Sheet1[[#This Row],[Revenue]]-Sheet1[[#This Row],[Ad Spend]]</f>
        <v>173.84</v>
      </c>
      <c r="L122" s="2" t="s">
        <v>14</v>
      </c>
      <c r="M122">
        <v>4</v>
      </c>
      <c r="N122" s="2" t="s">
        <v>19</v>
      </c>
      <c r="O122">
        <v>88.25</v>
      </c>
    </row>
    <row r="123" spans="1:15" x14ac:dyDescent="0.3">
      <c r="A123" s="1">
        <v>45301</v>
      </c>
      <c r="B123" s="2" t="s">
        <v>23</v>
      </c>
      <c r="C123" s="2" t="s">
        <v>12</v>
      </c>
      <c r="D123" s="2" t="s">
        <v>13</v>
      </c>
      <c r="E123">
        <v>107.61</v>
      </c>
      <c r="F123">
        <v>4.4000000000000004</v>
      </c>
      <c r="G123">
        <v>0</v>
      </c>
      <c r="H123">
        <f t="shared" si="1"/>
        <v>61207.979999999989</v>
      </c>
      <c r="I123" t="str">
        <f>IF(Sheet1[[#This Row],[Month_Revenue]] &lt; AVERAGE(Sheet1[Month_Revenue]), "Off-Peak", "Peak")</f>
        <v>Peak</v>
      </c>
      <c r="J123">
        <f xml:space="preserve"> IF(Sheet1[[#This Row],[Ad Spend]] &gt; 0, (Sheet1[[#This Row],[Profit]] / Sheet1[[#This Row],[Ad Spend]]), 0)</f>
        <v>23.456818181818178</v>
      </c>
      <c r="K123">
        <f>Sheet1[[#This Row],[Revenue]]-Sheet1[[#This Row],[Ad Spend]]</f>
        <v>103.21</v>
      </c>
      <c r="L123" s="2" t="s">
        <v>22</v>
      </c>
      <c r="M123">
        <v>1</v>
      </c>
      <c r="N123" s="2" t="s">
        <v>15</v>
      </c>
      <c r="O123">
        <v>0</v>
      </c>
    </row>
    <row r="124" spans="1:15" x14ac:dyDescent="0.3">
      <c r="A124" s="1">
        <v>45330</v>
      </c>
      <c r="B124" s="2" t="s">
        <v>24</v>
      </c>
      <c r="C124" s="2" t="s">
        <v>12</v>
      </c>
      <c r="D124" s="2" t="s">
        <v>13</v>
      </c>
      <c r="E124">
        <v>35.89</v>
      </c>
      <c r="F124">
        <v>2.8</v>
      </c>
      <c r="G124">
        <v>1</v>
      </c>
      <c r="H124">
        <f t="shared" si="1"/>
        <v>48675.899999999936</v>
      </c>
      <c r="I124" t="str">
        <f>IF(Sheet1[[#This Row],[Month_Revenue]] &lt; AVERAGE(Sheet1[Month_Revenue]), "Off-Peak", "Peak")</f>
        <v>Off-Peak</v>
      </c>
      <c r="J124">
        <f xml:space="preserve"> IF(Sheet1[[#This Row],[Ad Spend]] &gt; 0, (Sheet1[[#This Row],[Profit]] / Sheet1[[#This Row],[Ad Spend]]), 0)</f>
        <v>11.817857142857145</v>
      </c>
      <c r="K124">
        <f>Sheet1[[#This Row],[Revenue]]-Sheet1[[#This Row],[Ad Spend]]</f>
        <v>33.090000000000003</v>
      </c>
      <c r="L124" s="2" t="s">
        <v>22</v>
      </c>
      <c r="M124">
        <v>2</v>
      </c>
      <c r="N124" s="2" t="s">
        <v>15</v>
      </c>
      <c r="O124">
        <v>35.89</v>
      </c>
    </row>
    <row r="125" spans="1:15" x14ac:dyDescent="0.3">
      <c r="A125" s="1">
        <v>45296</v>
      </c>
      <c r="B125" s="2" t="s">
        <v>20</v>
      </c>
      <c r="C125" s="2" t="s">
        <v>17</v>
      </c>
      <c r="D125" s="2" t="s">
        <v>18</v>
      </c>
      <c r="E125">
        <v>67.209999999999994</v>
      </c>
      <c r="F125">
        <v>20.05</v>
      </c>
      <c r="G125">
        <v>0</v>
      </c>
      <c r="H125">
        <f t="shared" si="1"/>
        <v>61207.979999999989</v>
      </c>
      <c r="I125" t="str">
        <f>IF(Sheet1[[#This Row],[Month_Revenue]] &lt; AVERAGE(Sheet1[Month_Revenue]), "Off-Peak", "Peak")</f>
        <v>Peak</v>
      </c>
      <c r="J125">
        <f xml:space="preserve"> IF(Sheet1[[#This Row],[Ad Spend]] &gt; 0, (Sheet1[[#This Row],[Profit]] / Sheet1[[#This Row],[Ad Spend]]), 0)</f>
        <v>2.3521197007481294</v>
      </c>
      <c r="K125">
        <f>Sheet1[[#This Row],[Revenue]]-Sheet1[[#This Row],[Ad Spend]]</f>
        <v>47.16</v>
      </c>
      <c r="L125" s="2" t="s">
        <v>14</v>
      </c>
      <c r="M125">
        <v>1</v>
      </c>
      <c r="N125" s="2" t="s">
        <v>15</v>
      </c>
      <c r="O125">
        <v>0</v>
      </c>
    </row>
    <row r="126" spans="1:15" x14ac:dyDescent="0.3">
      <c r="A126" s="1">
        <v>45368</v>
      </c>
      <c r="B126" s="2" t="s">
        <v>20</v>
      </c>
      <c r="C126" s="2" t="s">
        <v>21</v>
      </c>
      <c r="D126" s="2" t="s">
        <v>13</v>
      </c>
      <c r="E126">
        <v>184.78</v>
      </c>
      <c r="F126">
        <v>45.19</v>
      </c>
      <c r="G126">
        <v>2</v>
      </c>
      <c r="H126">
        <f t="shared" si="1"/>
        <v>54735.250000000029</v>
      </c>
      <c r="I126" t="str">
        <f>IF(Sheet1[[#This Row],[Month_Revenue]] &lt; AVERAGE(Sheet1[Month_Revenue]), "Off-Peak", "Peak")</f>
        <v>Off-Peak</v>
      </c>
      <c r="J126">
        <f xml:space="preserve"> IF(Sheet1[[#This Row],[Ad Spend]] &gt; 0, (Sheet1[[#This Row],[Profit]] / Sheet1[[#This Row],[Ad Spend]]), 0)</f>
        <v>3.0889577340119496</v>
      </c>
      <c r="K126">
        <f>Sheet1[[#This Row],[Revenue]]-Sheet1[[#This Row],[Ad Spend]]</f>
        <v>139.59</v>
      </c>
      <c r="L126" s="2" t="s">
        <v>22</v>
      </c>
      <c r="M126">
        <v>3</v>
      </c>
      <c r="N126" s="2" t="s">
        <v>19</v>
      </c>
      <c r="O126">
        <v>92.39</v>
      </c>
    </row>
    <row r="127" spans="1:15" x14ac:dyDescent="0.3">
      <c r="A127" s="1">
        <v>45308</v>
      </c>
      <c r="B127" s="2" t="s">
        <v>20</v>
      </c>
      <c r="C127" s="2" t="s">
        <v>12</v>
      </c>
      <c r="D127" s="2" t="s">
        <v>18</v>
      </c>
      <c r="E127">
        <v>75.95</v>
      </c>
      <c r="F127">
        <v>10.38</v>
      </c>
      <c r="G127">
        <v>1</v>
      </c>
      <c r="H127">
        <f t="shared" si="1"/>
        <v>61207.979999999989</v>
      </c>
      <c r="I127" t="str">
        <f>IF(Sheet1[[#This Row],[Month_Revenue]] &lt; AVERAGE(Sheet1[Month_Revenue]), "Off-Peak", "Peak")</f>
        <v>Peak</v>
      </c>
      <c r="J127">
        <f xml:space="preserve"> IF(Sheet1[[#This Row],[Ad Spend]] &gt; 0, (Sheet1[[#This Row],[Profit]] / Sheet1[[#This Row],[Ad Spend]]), 0)</f>
        <v>6.3169556840077075</v>
      </c>
      <c r="K127">
        <f>Sheet1[[#This Row],[Revenue]]-Sheet1[[#This Row],[Ad Spend]]</f>
        <v>65.570000000000007</v>
      </c>
      <c r="L127" s="2" t="s">
        <v>14</v>
      </c>
      <c r="M127">
        <v>1</v>
      </c>
      <c r="N127" s="2" t="s">
        <v>15</v>
      </c>
      <c r="O127">
        <v>75.95</v>
      </c>
    </row>
    <row r="128" spans="1:15" x14ac:dyDescent="0.3">
      <c r="A128" s="1">
        <v>45349</v>
      </c>
      <c r="B128" s="2" t="s">
        <v>23</v>
      </c>
      <c r="C128" s="2" t="s">
        <v>17</v>
      </c>
      <c r="D128" s="2" t="s">
        <v>18</v>
      </c>
      <c r="E128">
        <v>162.94</v>
      </c>
      <c r="F128">
        <v>48.23</v>
      </c>
      <c r="G128">
        <v>2</v>
      </c>
      <c r="H128">
        <f t="shared" si="1"/>
        <v>48675.899999999936</v>
      </c>
      <c r="I128" t="str">
        <f>IF(Sheet1[[#This Row],[Month_Revenue]] &lt; AVERAGE(Sheet1[Month_Revenue]), "Off-Peak", "Peak")</f>
        <v>Off-Peak</v>
      </c>
      <c r="J128">
        <f xml:space="preserve"> IF(Sheet1[[#This Row],[Ad Spend]] &gt; 0, (Sheet1[[#This Row],[Profit]] / Sheet1[[#This Row],[Ad Spend]]), 0)</f>
        <v>2.3783951897159445</v>
      </c>
      <c r="K128">
        <f>Sheet1[[#This Row],[Revenue]]-Sheet1[[#This Row],[Ad Spend]]</f>
        <v>114.71000000000001</v>
      </c>
      <c r="L128" s="2" t="s">
        <v>22</v>
      </c>
      <c r="M128">
        <v>2</v>
      </c>
      <c r="N128" s="2" t="s">
        <v>15</v>
      </c>
      <c r="O128">
        <v>81.47</v>
      </c>
    </row>
    <row r="129" spans="1:15" x14ac:dyDescent="0.3">
      <c r="A129" s="1">
        <v>45323</v>
      </c>
      <c r="B129" s="2" t="s">
        <v>24</v>
      </c>
      <c r="C129" s="2" t="s">
        <v>12</v>
      </c>
      <c r="D129" s="2" t="s">
        <v>18</v>
      </c>
      <c r="E129">
        <v>65.989999999999995</v>
      </c>
      <c r="F129">
        <v>34.61</v>
      </c>
      <c r="G129">
        <v>2</v>
      </c>
      <c r="H129">
        <f t="shared" si="1"/>
        <v>48675.899999999936</v>
      </c>
      <c r="I129" t="str">
        <f>IF(Sheet1[[#This Row],[Month_Revenue]] &lt; AVERAGE(Sheet1[Month_Revenue]), "Off-Peak", "Peak")</f>
        <v>Off-Peak</v>
      </c>
      <c r="J129">
        <f xml:space="preserve"> IF(Sheet1[[#This Row],[Ad Spend]] &gt; 0, (Sheet1[[#This Row],[Profit]] / Sheet1[[#This Row],[Ad Spend]]), 0)</f>
        <v>0.90667437156891062</v>
      </c>
      <c r="K129">
        <f>Sheet1[[#This Row],[Revenue]]-Sheet1[[#This Row],[Ad Spend]]</f>
        <v>31.379999999999995</v>
      </c>
      <c r="L129" s="2" t="s">
        <v>14</v>
      </c>
      <c r="M129">
        <v>2</v>
      </c>
      <c r="N129" s="2" t="s">
        <v>15</v>
      </c>
      <c r="O129">
        <v>32.994999999999997</v>
      </c>
    </row>
    <row r="130" spans="1:15" x14ac:dyDescent="0.3">
      <c r="A130" s="1">
        <v>45357</v>
      </c>
      <c r="B130" s="2" t="s">
        <v>16</v>
      </c>
      <c r="C130" s="2" t="s">
        <v>12</v>
      </c>
      <c r="D130" s="2" t="s">
        <v>18</v>
      </c>
      <c r="E130">
        <v>85.39</v>
      </c>
      <c r="F130">
        <v>4.58</v>
      </c>
      <c r="G130">
        <v>1</v>
      </c>
      <c r="H130">
        <f t="shared" ref="H130:H193" si="2">SUMIFS($E$2:$E$2001, $M$2:$M$2001, M130)</f>
        <v>54735.250000000029</v>
      </c>
      <c r="I130" t="str">
        <f>IF(Sheet1[[#This Row],[Month_Revenue]] &lt; AVERAGE(Sheet1[Month_Revenue]), "Off-Peak", "Peak")</f>
        <v>Off-Peak</v>
      </c>
      <c r="J130">
        <f xml:space="preserve"> IF(Sheet1[[#This Row],[Ad Spend]] &gt; 0, (Sheet1[[#This Row],[Profit]] / Sheet1[[#This Row],[Ad Spend]]), 0)</f>
        <v>17.644104803493448</v>
      </c>
      <c r="K130">
        <f>Sheet1[[#This Row],[Revenue]]-Sheet1[[#This Row],[Ad Spend]]</f>
        <v>80.81</v>
      </c>
      <c r="L130" s="2" t="s">
        <v>14</v>
      </c>
      <c r="M130">
        <v>3</v>
      </c>
      <c r="N130" s="2" t="s">
        <v>19</v>
      </c>
      <c r="O130">
        <v>85.39</v>
      </c>
    </row>
    <row r="131" spans="1:15" x14ac:dyDescent="0.3">
      <c r="A131" s="1">
        <v>45302</v>
      </c>
      <c r="B131" s="2" t="s">
        <v>24</v>
      </c>
      <c r="C131" s="2" t="s">
        <v>17</v>
      </c>
      <c r="D131" s="2" t="s">
        <v>18</v>
      </c>
      <c r="E131">
        <v>111.05</v>
      </c>
      <c r="F131">
        <v>19</v>
      </c>
      <c r="G131">
        <v>2</v>
      </c>
      <c r="H131">
        <f t="shared" si="2"/>
        <v>61207.979999999989</v>
      </c>
      <c r="I131" t="str">
        <f>IF(Sheet1[[#This Row],[Month_Revenue]] &lt; AVERAGE(Sheet1[Month_Revenue]), "Off-Peak", "Peak")</f>
        <v>Peak</v>
      </c>
      <c r="J131">
        <f xml:space="preserve"> IF(Sheet1[[#This Row],[Ad Spend]] &gt; 0, (Sheet1[[#This Row],[Profit]] / Sheet1[[#This Row],[Ad Spend]]), 0)</f>
        <v>4.844736842105263</v>
      </c>
      <c r="K131">
        <f>Sheet1[[#This Row],[Revenue]]-Sheet1[[#This Row],[Ad Spend]]</f>
        <v>92.05</v>
      </c>
      <c r="L131" s="2" t="s">
        <v>14</v>
      </c>
      <c r="M131">
        <v>1</v>
      </c>
      <c r="N131" s="2" t="s">
        <v>15</v>
      </c>
      <c r="O131">
        <v>55.524999999999999</v>
      </c>
    </row>
    <row r="132" spans="1:15" x14ac:dyDescent="0.3">
      <c r="A132" s="1">
        <v>45401</v>
      </c>
      <c r="B132" s="2" t="s">
        <v>24</v>
      </c>
      <c r="C132" s="2" t="s">
        <v>12</v>
      </c>
      <c r="D132" s="2" t="s">
        <v>18</v>
      </c>
      <c r="E132">
        <v>76.52</v>
      </c>
      <c r="F132">
        <v>41.84</v>
      </c>
      <c r="G132">
        <v>3</v>
      </c>
      <c r="H132">
        <f t="shared" si="2"/>
        <v>58562.910000000018</v>
      </c>
      <c r="I132" t="str">
        <f>IF(Sheet1[[#This Row],[Month_Revenue]] &lt; AVERAGE(Sheet1[Month_Revenue]), "Off-Peak", "Peak")</f>
        <v>Peak</v>
      </c>
      <c r="J132">
        <f xml:space="preserve"> IF(Sheet1[[#This Row],[Ad Spend]] &gt; 0, (Sheet1[[#This Row],[Profit]] / Sheet1[[#This Row],[Ad Spend]]), 0)</f>
        <v>0.82887189292542995</v>
      </c>
      <c r="K132">
        <f>Sheet1[[#This Row],[Revenue]]-Sheet1[[#This Row],[Ad Spend]]</f>
        <v>34.679999999999993</v>
      </c>
      <c r="L132" s="2" t="s">
        <v>22</v>
      </c>
      <c r="M132">
        <v>4</v>
      </c>
      <c r="N132" s="2" t="s">
        <v>19</v>
      </c>
      <c r="O132">
        <v>25.506666666666664</v>
      </c>
    </row>
    <row r="133" spans="1:15" x14ac:dyDescent="0.3">
      <c r="A133" s="1">
        <v>45315</v>
      </c>
      <c r="B133" s="2" t="s">
        <v>23</v>
      </c>
      <c r="C133" s="2" t="s">
        <v>12</v>
      </c>
      <c r="D133" s="2" t="s">
        <v>18</v>
      </c>
      <c r="E133">
        <v>198.69</v>
      </c>
      <c r="F133">
        <v>14.57</v>
      </c>
      <c r="G133">
        <v>3</v>
      </c>
      <c r="H133">
        <f t="shared" si="2"/>
        <v>61207.979999999989</v>
      </c>
      <c r="I133" t="str">
        <f>IF(Sheet1[[#This Row],[Month_Revenue]] &lt; AVERAGE(Sheet1[Month_Revenue]), "Off-Peak", "Peak")</f>
        <v>Peak</v>
      </c>
      <c r="J133">
        <f xml:space="preserve"> IF(Sheet1[[#This Row],[Ad Spend]] &gt; 0, (Sheet1[[#This Row],[Profit]] / Sheet1[[#This Row],[Ad Spend]]), 0)</f>
        <v>12.636925188743994</v>
      </c>
      <c r="K133">
        <f>Sheet1[[#This Row],[Revenue]]-Sheet1[[#This Row],[Ad Spend]]</f>
        <v>184.12</v>
      </c>
      <c r="L133" s="2" t="s">
        <v>14</v>
      </c>
      <c r="M133">
        <v>1</v>
      </c>
      <c r="N133" s="2" t="s">
        <v>15</v>
      </c>
      <c r="O133">
        <v>66.23</v>
      </c>
    </row>
    <row r="134" spans="1:15" x14ac:dyDescent="0.3">
      <c r="A134" s="1">
        <v>45325</v>
      </c>
      <c r="B134" s="2" t="s">
        <v>24</v>
      </c>
      <c r="C134" s="2" t="s">
        <v>12</v>
      </c>
      <c r="D134" s="2" t="s">
        <v>18</v>
      </c>
      <c r="E134">
        <v>46.08</v>
      </c>
      <c r="F134">
        <v>10.41</v>
      </c>
      <c r="G134">
        <v>2</v>
      </c>
      <c r="H134">
        <f t="shared" si="2"/>
        <v>48675.899999999936</v>
      </c>
      <c r="I134" t="str">
        <f>IF(Sheet1[[#This Row],[Month_Revenue]] &lt; AVERAGE(Sheet1[Month_Revenue]), "Off-Peak", "Peak")</f>
        <v>Off-Peak</v>
      </c>
      <c r="J134">
        <f xml:space="preserve"> IF(Sheet1[[#This Row],[Ad Spend]] &gt; 0, (Sheet1[[#This Row],[Profit]] / Sheet1[[#This Row],[Ad Spend]]), 0)</f>
        <v>3.4265129682997117</v>
      </c>
      <c r="K134">
        <f>Sheet1[[#This Row],[Revenue]]-Sheet1[[#This Row],[Ad Spend]]</f>
        <v>35.67</v>
      </c>
      <c r="L134" s="2" t="s">
        <v>22</v>
      </c>
      <c r="M134">
        <v>2</v>
      </c>
      <c r="N134" s="2" t="s">
        <v>15</v>
      </c>
      <c r="O134">
        <v>23.04</v>
      </c>
    </row>
    <row r="135" spans="1:15" x14ac:dyDescent="0.3">
      <c r="A135" s="1">
        <v>45344</v>
      </c>
      <c r="B135" s="2" t="s">
        <v>11</v>
      </c>
      <c r="C135" s="2" t="s">
        <v>21</v>
      </c>
      <c r="D135" s="2" t="s">
        <v>18</v>
      </c>
      <c r="E135">
        <v>148.28</v>
      </c>
      <c r="F135">
        <v>46.84</v>
      </c>
      <c r="G135">
        <v>3</v>
      </c>
      <c r="H135">
        <f t="shared" si="2"/>
        <v>48675.899999999936</v>
      </c>
      <c r="I135" t="str">
        <f>IF(Sheet1[[#This Row],[Month_Revenue]] &lt; AVERAGE(Sheet1[Month_Revenue]), "Off-Peak", "Peak")</f>
        <v>Off-Peak</v>
      </c>
      <c r="J135">
        <f xml:space="preserve"> IF(Sheet1[[#This Row],[Ad Spend]] &gt; 0, (Sheet1[[#This Row],[Profit]] / Sheet1[[#This Row],[Ad Spend]]), 0)</f>
        <v>2.1656703672075146</v>
      </c>
      <c r="K135">
        <f>Sheet1[[#This Row],[Revenue]]-Sheet1[[#This Row],[Ad Spend]]</f>
        <v>101.44</v>
      </c>
      <c r="L135" s="2" t="s">
        <v>14</v>
      </c>
      <c r="M135">
        <v>2</v>
      </c>
      <c r="N135" s="2" t="s">
        <v>15</v>
      </c>
      <c r="O135">
        <v>49.426666666666669</v>
      </c>
    </row>
    <row r="136" spans="1:15" x14ac:dyDescent="0.3">
      <c r="A136" s="1">
        <v>45339</v>
      </c>
      <c r="B136" s="2" t="s">
        <v>16</v>
      </c>
      <c r="C136" s="2" t="s">
        <v>21</v>
      </c>
      <c r="D136" s="2" t="s">
        <v>13</v>
      </c>
      <c r="E136">
        <v>89.07</v>
      </c>
      <c r="F136">
        <v>26.89</v>
      </c>
      <c r="G136">
        <v>3</v>
      </c>
      <c r="H136">
        <f t="shared" si="2"/>
        <v>48675.899999999936</v>
      </c>
      <c r="I136" t="str">
        <f>IF(Sheet1[[#This Row],[Month_Revenue]] &lt; AVERAGE(Sheet1[Month_Revenue]), "Off-Peak", "Peak")</f>
        <v>Off-Peak</v>
      </c>
      <c r="J136">
        <f xml:space="preserve"> IF(Sheet1[[#This Row],[Ad Spend]] &gt; 0, (Sheet1[[#This Row],[Profit]] / Sheet1[[#This Row],[Ad Spend]]), 0)</f>
        <v>2.3123837857939753</v>
      </c>
      <c r="K136">
        <f>Sheet1[[#This Row],[Revenue]]-Sheet1[[#This Row],[Ad Spend]]</f>
        <v>62.179999999999993</v>
      </c>
      <c r="L136" s="2" t="s">
        <v>14</v>
      </c>
      <c r="M136">
        <v>2</v>
      </c>
      <c r="N136" s="2" t="s">
        <v>15</v>
      </c>
      <c r="O136">
        <v>29.689999999999998</v>
      </c>
    </row>
    <row r="137" spans="1:15" x14ac:dyDescent="0.3">
      <c r="A137" s="1">
        <v>45310</v>
      </c>
      <c r="B137" s="2" t="s">
        <v>23</v>
      </c>
      <c r="C137" s="2" t="s">
        <v>17</v>
      </c>
      <c r="D137" s="2" t="s">
        <v>18</v>
      </c>
      <c r="E137">
        <v>92.53</v>
      </c>
      <c r="F137">
        <v>15.48</v>
      </c>
      <c r="G137">
        <v>0</v>
      </c>
      <c r="H137">
        <f t="shared" si="2"/>
        <v>61207.979999999989</v>
      </c>
      <c r="I137" t="str">
        <f>IF(Sheet1[[#This Row],[Month_Revenue]] &lt; AVERAGE(Sheet1[Month_Revenue]), "Off-Peak", "Peak")</f>
        <v>Peak</v>
      </c>
      <c r="J137">
        <f xml:space="preserve"> IF(Sheet1[[#This Row],[Ad Spend]] &gt; 0, (Sheet1[[#This Row],[Profit]] / Sheet1[[#This Row],[Ad Spend]]), 0)</f>
        <v>4.9773901808785528</v>
      </c>
      <c r="K137">
        <f>Sheet1[[#This Row],[Revenue]]-Sheet1[[#This Row],[Ad Spend]]</f>
        <v>77.05</v>
      </c>
      <c r="L137" s="2" t="s">
        <v>14</v>
      </c>
      <c r="M137">
        <v>1</v>
      </c>
      <c r="N137" s="2" t="s">
        <v>15</v>
      </c>
      <c r="O137">
        <v>0</v>
      </c>
    </row>
    <row r="138" spans="1:15" x14ac:dyDescent="0.3">
      <c r="A138" s="1">
        <v>45328</v>
      </c>
      <c r="B138" s="2" t="s">
        <v>23</v>
      </c>
      <c r="C138" s="2" t="s">
        <v>21</v>
      </c>
      <c r="D138" s="2" t="s">
        <v>13</v>
      </c>
      <c r="E138">
        <v>22.23</v>
      </c>
      <c r="F138">
        <v>2.38</v>
      </c>
      <c r="G138">
        <v>0</v>
      </c>
      <c r="H138">
        <f t="shared" si="2"/>
        <v>48675.899999999936</v>
      </c>
      <c r="I138" t="str">
        <f>IF(Sheet1[[#This Row],[Month_Revenue]] &lt; AVERAGE(Sheet1[Month_Revenue]), "Off-Peak", "Peak")</f>
        <v>Off-Peak</v>
      </c>
      <c r="J138">
        <f xml:space="preserve"> IF(Sheet1[[#This Row],[Ad Spend]] &gt; 0, (Sheet1[[#This Row],[Profit]] / Sheet1[[#This Row],[Ad Spend]]), 0)</f>
        <v>8.3403361344537821</v>
      </c>
      <c r="K138">
        <f>Sheet1[[#This Row],[Revenue]]-Sheet1[[#This Row],[Ad Spend]]</f>
        <v>19.850000000000001</v>
      </c>
      <c r="L138" s="2" t="s">
        <v>22</v>
      </c>
      <c r="M138">
        <v>2</v>
      </c>
      <c r="N138" s="2" t="s">
        <v>15</v>
      </c>
      <c r="O138">
        <v>0</v>
      </c>
    </row>
    <row r="139" spans="1:15" x14ac:dyDescent="0.3">
      <c r="A139" s="1">
        <v>45307</v>
      </c>
      <c r="B139" s="2" t="s">
        <v>16</v>
      </c>
      <c r="C139" s="2" t="s">
        <v>17</v>
      </c>
      <c r="D139" s="2" t="s">
        <v>18</v>
      </c>
      <c r="E139">
        <v>193.16</v>
      </c>
      <c r="F139">
        <v>30.41</v>
      </c>
      <c r="G139">
        <v>1</v>
      </c>
      <c r="H139">
        <f t="shared" si="2"/>
        <v>61207.979999999989</v>
      </c>
      <c r="I139" t="str">
        <f>IF(Sheet1[[#This Row],[Month_Revenue]] &lt; AVERAGE(Sheet1[Month_Revenue]), "Off-Peak", "Peak")</f>
        <v>Peak</v>
      </c>
      <c r="J139">
        <f xml:space="preserve"> IF(Sheet1[[#This Row],[Ad Spend]] &gt; 0, (Sheet1[[#This Row],[Profit]] / Sheet1[[#This Row],[Ad Spend]]), 0)</f>
        <v>5.3518579414666227</v>
      </c>
      <c r="K139">
        <f>Sheet1[[#This Row],[Revenue]]-Sheet1[[#This Row],[Ad Spend]]</f>
        <v>162.75</v>
      </c>
      <c r="L139" s="2" t="s">
        <v>22</v>
      </c>
      <c r="M139">
        <v>1</v>
      </c>
      <c r="N139" s="2" t="s">
        <v>15</v>
      </c>
      <c r="O139">
        <v>193.16</v>
      </c>
    </row>
    <row r="140" spans="1:15" x14ac:dyDescent="0.3">
      <c r="A140" s="1">
        <v>45363</v>
      </c>
      <c r="B140" s="2" t="s">
        <v>11</v>
      </c>
      <c r="C140" s="2" t="s">
        <v>17</v>
      </c>
      <c r="D140" s="2" t="s">
        <v>18</v>
      </c>
      <c r="E140">
        <v>170.11</v>
      </c>
      <c r="F140">
        <v>40.11</v>
      </c>
      <c r="G140">
        <v>2</v>
      </c>
      <c r="H140">
        <f t="shared" si="2"/>
        <v>54735.250000000029</v>
      </c>
      <c r="I140" t="str">
        <f>IF(Sheet1[[#This Row],[Month_Revenue]] &lt; AVERAGE(Sheet1[Month_Revenue]), "Off-Peak", "Peak")</f>
        <v>Off-Peak</v>
      </c>
      <c r="J140">
        <f xml:space="preserve"> IF(Sheet1[[#This Row],[Ad Spend]] &gt; 0, (Sheet1[[#This Row],[Profit]] / Sheet1[[#This Row],[Ad Spend]]), 0)</f>
        <v>3.2410870107205185</v>
      </c>
      <c r="K140">
        <f>Sheet1[[#This Row],[Revenue]]-Sheet1[[#This Row],[Ad Spend]]</f>
        <v>130</v>
      </c>
      <c r="L140" s="2" t="s">
        <v>14</v>
      </c>
      <c r="M140">
        <v>3</v>
      </c>
      <c r="N140" s="2" t="s">
        <v>19</v>
      </c>
      <c r="O140">
        <v>85.055000000000007</v>
      </c>
    </row>
    <row r="141" spans="1:15" x14ac:dyDescent="0.3">
      <c r="A141" s="1">
        <v>45404</v>
      </c>
      <c r="B141" s="2" t="s">
        <v>16</v>
      </c>
      <c r="C141" s="2" t="s">
        <v>21</v>
      </c>
      <c r="D141" s="2" t="s">
        <v>13</v>
      </c>
      <c r="E141">
        <v>57.75</v>
      </c>
      <c r="F141">
        <v>38.6</v>
      </c>
      <c r="G141">
        <v>2</v>
      </c>
      <c r="H141">
        <f t="shared" si="2"/>
        <v>58562.910000000018</v>
      </c>
      <c r="I141" t="str">
        <f>IF(Sheet1[[#This Row],[Month_Revenue]] &lt; AVERAGE(Sheet1[Month_Revenue]), "Off-Peak", "Peak")</f>
        <v>Peak</v>
      </c>
      <c r="J141">
        <f xml:space="preserve"> IF(Sheet1[[#This Row],[Ad Spend]] &gt; 0, (Sheet1[[#This Row],[Profit]] / Sheet1[[#This Row],[Ad Spend]]), 0)</f>
        <v>0.49611398963730563</v>
      </c>
      <c r="K141">
        <f>Sheet1[[#This Row],[Revenue]]-Sheet1[[#This Row],[Ad Spend]]</f>
        <v>19.149999999999999</v>
      </c>
      <c r="L141" s="2" t="s">
        <v>14</v>
      </c>
      <c r="M141">
        <v>4</v>
      </c>
      <c r="N141" s="2" t="s">
        <v>19</v>
      </c>
      <c r="O141">
        <v>28.875</v>
      </c>
    </row>
    <row r="142" spans="1:15" x14ac:dyDescent="0.3">
      <c r="A142" s="1">
        <v>45340</v>
      </c>
      <c r="B142" s="2" t="s">
        <v>20</v>
      </c>
      <c r="C142" s="2" t="s">
        <v>12</v>
      </c>
      <c r="D142" s="2" t="s">
        <v>18</v>
      </c>
      <c r="E142">
        <v>147.12</v>
      </c>
      <c r="F142">
        <v>16.420000000000002</v>
      </c>
      <c r="G142">
        <v>1</v>
      </c>
      <c r="H142">
        <f t="shared" si="2"/>
        <v>48675.899999999936</v>
      </c>
      <c r="I142" t="str">
        <f>IF(Sheet1[[#This Row],[Month_Revenue]] &lt; AVERAGE(Sheet1[Month_Revenue]), "Off-Peak", "Peak")</f>
        <v>Off-Peak</v>
      </c>
      <c r="J142">
        <f xml:space="preserve"> IF(Sheet1[[#This Row],[Ad Spend]] &gt; 0, (Sheet1[[#This Row],[Profit]] / Sheet1[[#This Row],[Ad Spend]]), 0)</f>
        <v>7.9598051157125438</v>
      </c>
      <c r="K142">
        <f>Sheet1[[#This Row],[Revenue]]-Sheet1[[#This Row],[Ad Spend]]</f>
        <v>130.69999999999999</v>
      </c>
      <c r="L142" s="2" t="s">
        <v>22</v>
      </c>
      <c r="M142">
        <v>2</v>
      </c>
      <c r="N142" s="2" t="s">
        <v>15</v>
      </c>
      <c r="O142">
        <v>147.12</v>
      </c>
    </row>
    <row r="143" spans="1:15" x14ac:dyDescent="0.3">
      <c r="A143" s="1">
        <v>45351</v>
      </c>
      <c r="B143" s="2" t="s">
        <v>16</v>
      </c>
      <c r="C143" s="2" t="s">
        <v>12</v>
      </c>
      <c r="D143" s="2" t="s">
        <v>18</v>
      </c>
      <c r="E143">
        <v>129.72999999999999</v>
      </c>
      <c r="F143">
        <v>6.89</v>
      </c>
      <c r="G143">
        <v>2</v>
      </c>
      <c r="H143">
        <f t="shared" si="2"/>
        <v>48675.899999999936</v>
      </c>
      <c r="I143" t="str">
        <f>IF(Sheet1[[#This Row],[Month_Revenue]] &lt; AVERAGE(Sheet1[Month_Revenue]), "Off-Peak", "Peak")</f>
        <v>Off-Peak</v>
      </c>
      <c r="J143">
        <f xml:space="preserve"> IF(Sheet1[[#This Row],[Ad Spend]] &gt; 0, (Sheet1[[#This Row],[Profit]] / Sheet1[[#This Row],[Ad Spend]]), 0)</f>
        <v>17.828737300435414</v>
      </c>
      <c r="K143">
        <f>Sheet1[[#This Row],[Revenue]]-Sheet1[[#This Row],[Ad Spend]]</f>
        <v>122.83999999999999</v>
      </c>
      <c r="L143" s="2" t="s">
        <v>14</v>
      </c>
      <c r="M143">
        <v>2</v>
      </c>
      <c r="N143" s="2" t="s">
        <v>15</v>
      </c>
      <c r="O143">
        <v>64.864999999999995</v>
      </c>
    </row>
    <row r="144" spans="1:15" x14ac:dyDescent="0.3">
      <c r="A144" s="1">
        <v>45382</v>
      </c>
      <c r="B144" s="2" t="s">
        <v>16</v>
      </c>
      <c r="C144" s="2" t="s">
        <v>21</v>
      </c>
      <c r="D144" s="2" t="s">
        <v>13</v>
      </c>
      <c r="E144">
        <v>38.29</v>
      </c>
      <c r="F144">
        <v>9.4</v>
      </c>
      <c r="G144">
        <v>1</v>
      </c>
      <c r="H144">
        <f t="shared" si="2"/>
        <v>54735.250000000029</v>
      </c>
      <c r="I144" t="str">
        <f>IF(Sheet1[[#This Row],[Month_Revenue]] &lt; AVERAGE(Sheet1[Month_Revenue]), "Off-Peak", "Peak")</f>
        <v>Off-Peak</v>
      </c>
      <c r="J144">
        <f xml:space="preserve"> IF(Sheet1[[#This Row],[Ad Spend]] &gt; 0, (Sheet1[[#This Row],[Profit]] / Sheet1[[#This Row],[Ad Spend]]), 0)</f>
        <v>3.073404255319149</v>
      </c>
      <c r="K144">
        <f>Sheet1[[#This Row],[Revenue]]-Sheet1[[#This Row],[Ad Spend]]</f>
        <v>28.89</v>
      </c>
      <c r="L144" s="2" t="s">
        <v>14</v>
      </c>
      <c r="M144">
        <v>3</v>
      </c>
      <c r="N144" s="2" t="s">
        <v>19</v>
      </c>
      <c r="O144">
        <v>38.29</v>
      </c>
    </row>
    <row r="145" spans="1:15" x14ac:dyDescent="0.3">
      <c r="A145" s="1">
        <v>45380</v>
      </c>
      <c r="B145" s="2" t="s">
        <v>16</v>
      </c>
      <c r="C145" s="2" t="s">
        <v>17</v>
      </c>
      <c r="D145" s="2" t="s">
        <v>13</v>
      </c>
      <c r="E145">
        <v>52.72</v>
      </c>
      <c r="F145">
        <v>23.21</v>
      </c>
      <c r="G145">
        <v>0</v>
      </c>
      <c r="H145">
        <f t="shared" si="2"/>
        <v>54735.250000000029</v>
      </c>
      <c r="I145" t="str">
        <f>IF(Sheet1[[#This Row],[Month_Revenue]] &lt; AVERAGE(Sheet1[Month_Revenue]), "Off-Peak", "Peak")</f>
        <v>Off-Peak</v>
      </c>
      <c r="J145">
        <f xml:space="preserve"> IF(Sheet1[[#This Row],[Ad Spend]] &gt; 0, (Sheet1[[#This Row],[Profit]] / Sheet1[[#This Row],[Ad Spend]]), 0)</f>
        <v>1.2714347264110295</v>
      </c>
      <c r="K145">
        <f>Sheet1[[#This Row],[Revenue]]-Sheet1[[#This Row],[Ad Spend]]</f>
        <v>29.509999999999998</v>
      </c>
      <c r="L145" s="2" t="s">
        <v>14</v>
      </c>
      <c r="M145">
        <v>3</v>
      </c>
      <c r="N145" s="2" t="s">
        <v>19</v>
      </c>
      <c r="O145">
        <v>0</v>
      </c>
    </row>
    <row r="146" spans="1:15" x14ac:dyDescent="0.3">
      <c r="A146" s="1">
        <v>45370</v>
      </c>
      <c r="B146" s="2" t="s">
        <v>11</v>
      </c>
      <c r="C146" s="2" t="s">
        <v>17</v>
      </c>
      <c r="D146" s="2" t="s">
        <v>18</v>
      </c>
      <c r="E146">
        <v>60.3</v>
      </c>
      <c r="F146">
        <v>34.49</v>
      </c>
      <c r="G146">
        <v>0</v>
      </c>
      <c r="H146">
        <f t="shared" si="2"/>
        <v>54735.250000000029</v>
      </c>
      <c r="I146" t="str">
        <f>IF(Sheet1[[#This Row],[Month_Revenue]] &lt; AVERAGE(Sheet1[Month_Revenue]), "Off-Peak", "Peak")</f>
        <v>Off-Peak</v>
      </c>
      <c r="J146">
        <f xml:space="preserve"> IF(Sheet1[[#This Row],[Ad Spend]] &gt; 0, (Sheet1[[#This Row],[Profit]] / Sheet1[[#This Row],[Ad Spend]]), 0)</f>
        <v>0.74833285010147854</v>
      </c>
      <c r="K146">
        <f>Sheet1[[#This Row],[Revenue]]-Sheet1[[#This Row],[Ad Spend]]</f>
        <v>25.809999999999995</v>
      </c>
      <c r="L146" s="2" t="s">
        <v>22</v>
      </c>
      <c r="M146">
        <v>3</v>
      </c>
      <c r="N146" s="2" t="s">
        <v>19</v>
      </c>
      <c r="O146">
        <v>0</v>
      </c>
    </row>
    <row r="147" spans="1:15" x14ac:dyDescent="0.3">
      <c r="A147" s="1">
        <v>45393</v>
      </c>
      <c r="B147" s="2" t="s">
        <v>23</v>
      </c>
      <c r="C147" s="2" t="s">
        <v>12</v>
      </c>
      <c r="D147" s="2" t="s">
        <v>18</v>
      </c>
      <c r="E147">
        <v>76.7</v>
      </c>
      <c r="F147">
        <v>38.06</v>
      </c>
      <c r="G147">
        <v>2</v>
      </c>
      <c r="H147">
        <f t="shared" si="2"/>
        <v>58562.910000000018</v>
      </c>
      <c r="I147" t="str">
        <f>IF(Sheet1[[#This Row],[Month_Revenue]] &lt; AVERAGE(Sheet1[Month_Revenue]), "Off-Peak", "Peak")</f>
        <v>Peak</v>
      </c>
      <c r="J147">
        <f xml:space="preserve"> IF(Sheet1[[#This Row],[Ad Spend]] &gt; 0, (Sheet1[[#This Row],[Profit]] / Sheet1[[#This Row],[Ad Spend]]), 0)</f>
        <v>1.0152390961639517</v>
      </c>
      <c r="K147">
        <f>Sheet1[[#This Row],[Revenue]]-Sheet1[[#This Row],[Ad Spend]]</f>
        <v>38.64</v>
      </c>
      <c r="L147" s="2" t="s">
        <v>14</v>
      </c>
      <c r="M147">
        <v>4</v>
      </c>
      <c r="N147" s="2" t="s">
        <v>19</v>
      </c>
      <c r="O147">
        <v>38.35</v>
      </c>
    </row>
    <row r="148" spans="1:15" x14ac:dyDescent="0.3">
      <c r="A148" s="1">
        <v>45316</v>
      </c>
      <c r="B148" s="2" t="s">
        <v>20</v>
      </c>
      <c r="C148" s="2" t="s">
        <v>12</v>
      </c>
      <c r="D148" s="2" t="s">
        <v>18</v>
      </c>
      <c r="E148">
        <v>55.68</v>
      </c>
      <c r="F148">
        <v>27.06</v>
      </c>
      <c r="G148">
        <v>3</v>
      </c>
      <c r="H148">
        <f t="shared" si="2"/>
        <v>61207.979999999989</v>
      </c>
      <c r="I148" t="str">
        <f>IF(Sheet1[[#This Row],[Month_Revenue]] &lt; AVERAGE(Sheet1[Month_Revenue]), "Off-Peak", "Peak")</f>
        <v>Peak</v>
      </c>
      <c r="J148">
        <f xml:space="preserve"> IF(Sheet1[[#This Row],[Ad Spend]] &gt; 0, (Sheet1[[#This Row],[Profit]] / Sheet1[[#This Row],[Ad Spend]]), 0)</f>
        <v>1.0576496674057652</v>
      </c>
      <c r="K148">
        <f>Sheet1[[#This Row],[Revenue]]-Sheet1[[#This Row],[Ad Spend]]</f>
        <v>28.62</v>
      </c>
      <c r="L148" s="2" t="s">
        <v>22</v>
      </c>
      <c r="M148">
        <v>1</v>
      </c>
      <c r="N148" s="2" t="s">
        <v>15</v>
      </c>
      <c r="O148">
        <v>18.559999999999999</v>
      </c>
    </row>
    <row r="149" spans="1:15" x14ac:dyDescent="0.3">
      <c r="A149" s="1">
        <v>45376</v>
      </c>
      <c r="B149" s="2" t="s">
        <v>24</v>
      </c>
      <c r="C149" s="2" t="s">
        <v>17</v>
      </c>
      <c r="D149" s="2" t="s">
        <v>13</v>
      </c>
      <c r="E149">
        <v>86.97</v>
      </c>
      <c r="F149">
        <v>2.33</v>
      </c>
      <c r="G149">
        <v>1</v>
      </c>
      <c r="H149">
        <f t="shared" si="2"/>
        <v>54735.250000000029</v>
      </c>
      <c r="I149" t="str">
        <f>IF(Sheet1[[#This Row],[Month_Revenue]] &lt; AVERAGE(Sheet1[Month_Revenue]), "Off-Peak", "Peak")</f>
        <v>Off-Peak</v>
      </c>
      <c r="J149">
        <f xml:space="preserve"> IF(Sheet1[[#This Row],[Ad Spend]] &gt; 0, (Sheet1[[#This Row],[Profit]] / Sheet1[[#This Row],[Ad Spend]]), 0)</f>
        <v>36.326180257510728</v>
      </c>
      <c r="K149">
        <f>Sheet1[[#This Row],[Revenue]]-Sheet1[[#This Row],[Ad Spend]]</f>
        <v>84.64</v>
      </c>
      <c r="L149" s="2" t="s">
        <v>22</v>
      </c>
      <c r="M149">
        <v>3</v>
      </c>
      <c r="N149" s="2" t="s">
        <v>19</v>
      </c>
      <c r="O149">
        <v>86.97</v>
      </c>
    </row>
    <row r="150" spans="1:15" x14ac:dyDescent="0.3">
      <c r="A150" s="1">
        <v>45320</v>
      </c>
      <c r="B150" s="2" t="s">
        <v>16</v>
      </c>
      <c r="C150" s="2" t="s">
        <v>12</v>
      </c>
      <c r="D150" s="2" t="s">
        <v>13</v>
      </c>
      <c r="E150">
        <v>55.47</v>
      </c>
      <c r="F150">
        <v>5.33</v>
      </c>
      <c r="G150">
        <v>1</v>
      </c>
      <c r="H150">
        <f t="shared" si="2"/>
        <v>61207.979999999989</v>
      </c>
      <c r="I150" t="str">
        <f>IF(Sheet1[[#This Row],[Month_Revenue]] &lt; AVERAGE(Sheet1[Month_Revenue]), "Off-Peak", "Peak")</f>
        <v>Peak</v>
      </c>
      <c r="J150">
        <f xml:space="preserve"> IF(Sheet1[[#This Row],[Ad Spend]] &gt; 0, (Sheet1[[#This Row],[Profit]] / Sheet1[[#This Row],[Ad Spend]]), 0)</f>
        <v>9.4071294559099439</v>
      </c>
      <c r="K150">
        <f>Sheet1[[#This Row],[Revenue]]-Sheet1[[#This Row],[Ad Spend]]</f>
        <v>50.14</v>
      </c>
      <c r="L150" s="2" t="s">
        <v>22</v>
      </c>
      <c r="M150">
        <v>1</v>
      </c>
      <c r="N150" s="2" t="s">
        <v>15</v>
      </c>
      <c r="O150">
        <v>55.47</v>
      </c>
    </row>
    <row r="151" spans="1:15" x14ac:dyDescent="0.3">
      <c r="A151" s="1">
        <v>45303</v>
      </c>
      <c r="B151" s="2" t="s">
        <v>11</v>
      </c>
      <c r="C151" s="2" t="s">
        <v>12</v>
      </c>
      <c r="D151" s="2" t="s">
        <v>18</v>
      </c>
      <c r="E151">
        <v>110.41</v>
      </c>
      <c r="F151">
        <v>10.85</v>
      </c>
      <c r="G151">
        <v>1</v>
      </c>
      <c r="H151">
        <f t="shared" si="2"/>
        <v>61207.979999999989</v>
      </c>
      <c r="I151" t="str">
        <f>IF(Sheet1[[#This Row],[Month_Revenue]] &lt; AVERAGE(Sheet1[Month_Revenue]), "Off-Peak", "Peak")</f>
        <v>Peak</v>
      </c>
      <c r="J151">
        <f xml:space="preserve"> IF(Sheet1[[#This Row],[Ad Spend]] &gt; 0, (Sheet1[[#This Row],[Profit]] / Sheet1[[#This Row],[Ad Spend]]), 0)</f>
        <v>9.176036866359448</v>
      </c>
      <c r="K151">
        <f>Sheet1[[#This Row],[Revenue]]-Sheet1[[#This Row],[Ad Spend]]</f>
        <v>99.56</v>
      </c>
      <c r="L151" s="2" t="s">
        <v>22</v>
      </c>
      <c r="M151">
        <v>1</v>
      </c>
      <c r="N151" s="2" t="s">
        <v>15</v>
      </c>
      <c r="O151">
        <v>110.41</v>
      </c>
    </row>
    <row r="152" spans="1:15" x14ac:dyDescent="0.3">
      <c r="A152" s="1">
        <v>45352</v>
      </c>
      <c r="B152" s="2" t="s">
        <v>23</v>
      </c>
      <c r="C152" s="2" t="s">
        <v>21</v>
      </c>
      <c r="D152" s="2" t="s">
        <v>18</v>
      </c>
      <c r="E152">
        <v>80.47</v>
      </c>
      <c r="F152">
        <v>38.799999999999997</v>
      </c>
      <c r="G152">
        <v>2</v>
      </c>
      <c r="H152">
        <f t="shared" si="2"/>
        <v>54735.250000000029</v>
      </c>
      <c r="I152" t="str">
        <f>IF(Sheet1[[#This Row],[Month_Revenue]] &lt; AVERAGE(Sheet1[Month_Revenue]), "Off-Peak", "Peak")</f>
        <v>Off-Peak</v>
      </c>
      <c r="J152">
        <f xml:space="preserve"> IF(Sheet1[[#This Row],[Ad Spend]] &gt; 0, (Sheet1[[#This Row],[Profit]] / Sheet1[[#This Row],[Ad Spend]]), 0)</f>
        <v>1.0739690721649486</v>
      </c>
      <c r="K152">
        <f>Sheet1[[#This Row],[Revenue]]-Sheet1[[#This Row],[Ad Spend]]</f>
        <v>41.67</v>
      </c>
      <c r="L152" s="2" t="s">
        <v>22</v>
      </c>
      <c r="M152">
        <v>3</v>
      </c>
      <c r="N152" s="2" t="s">
        <v>19</v>
      </c>
      <c r="O152">
        <v>40.234999999999999</v>
      </c>
    </row>
    <row r="153" spans="1:15" x14ac:dyDescent="0.3">
      <c r="A153" s="1">
        <v>45359</v>
      </c>
      <c r="B153" s="2" t="s">
        <v>11</v>
      </c>
      <c r="C153" s="2" t="s">
        <v>21</v>
      </c>
      <c r="D153" s="2" t="s">
        <v>18</v>
      </c>
      <c r="E153">
        <v>156.06</v>
      </c>
      <c r="F153">
        <v>35.409999999999997</v>
      </c>
      <c r="G153">
        <v>0</v>
      </c>
      <c r="H153">
        <f t="shared" si="2"/>
        <v>54735.250000000029</v>
      </c>
      <c r="I153" t="str">
        <f>IF(Sheet1[[#This Row],[Month_Revenue]] &lt; AVERAGE(Sheet1[Month_Revenue]), "Off-Peak", "Peak")</f>
        <v>Off-Peak</v>
      </c>
      <c r="J153">
        <f xml:space="preserve"> IF(Sheet1[[#This Row],[Ad Spend]] &gt; 0, (Sheet1[[#This Row],[Profit]] / Sheet1[[#This Row],[Ad Spend]]), 0)</f>
        <v>3.4072295961592776</v>
      </c>
      <c r="K153">
        <f>Sheet1[[#This Row],[Revenue]]-Sheet1[[#This Row],[Ad Spend]]</f>
        <v>120.65</v>
      </c>
      <c r="L153" s="2" t="s">
        <v>22</v>
      </c>
      <c r="M153">
        <v>3</v>
      </c>
      <c r="N153" s="2" t="s">
        <v>19</v>
      </c>
      <c r="O153">
        <v>0</v>
      </c>
    </row>
    <row r="154" spans="1:15" x14ac:dyDescent="0.3">
      <c r="A154" s="1">
        <v>45383</v>
      </c>
      <c r="B154" s="2" t="s">
        <v>23</v>
      </c>
      <c r="C154" s="2" t="s">
        <v>12</v>
      </c>
      <c r="D154" s="2" t="s">
        <v>18</v>
      </c>
      <c r="E154">
        <v>196.04</v>
      </c>
      <c r="F154">
        <v>44.18</v>
      </c>
      <c r="G154">
        <v>0</v>
      </c>
      <c r="H154">
        <f t="shared" si="2"/>
        <v>58562.910000000018</v>
      </c>
      <c r="I154" t="str">
        <f>IF(Sheet1[[#This Row],[Month_Revenue]] &lt; AVERAGE(Sheet1[Month_Revenue]), "Off-Peak", "Peak")</f>
        <v>Peak</v>
      </c>
      <c r="J154">
        <f xml:space="preserve"> IF(Sheet1[[#This Row],[Ad Spend]] &gt; 0, (Sheet1[[#This Row],[Profit]] / Sheet1[[#This Row],[Ad Spend]]), 0)</f>
        <v>3.4373019465821635</v>
      </c>
      <c r="K154">
        <f>Sheet1[[#This Row],[Revenue]]-Sheet1[[#This Row],[Ad Spend]]</f>
        <v>151.85999999999999</v>
      </c>
      <c r="L154" s="2" t="s">
        <v>14</v>
      </c>
      <c r="M154">
        <v>4</v>
      </c>
      <c r="N154" s="2" t="s">
        <v>19</v>
      </c>
      <c r="O154">
        <v>0</v>
      </c>
    </row>
    <row r="155" spans="1:15" x14ac:dyDescent="0.3">
      <c r="A155" s="1">
        <v>45342</v>
      </c>
      <c r="B155" s="2" t="s">
        <v>24</v>
      </c>
      <c r="C155" s="2" t="s">
        <v>12</v>
      </c>
      <c r="D155" s="2" t="s">
        <v>18</v>
      </c>
      <c r="E155">
        <v>171.67</v>
      </c>
      <c r="F155">
        <v>0.48</v>
      </c>
      <c r="G155">
        <v>2</v>
      </c>
      <c r="H155">
        <f t="shared" si="2"/>
        <v>48675.899999999936</v>
      </c>
      <c r="I155" t="str">
        <f>IF(Sheet1[[#This Row],[Month_Revenue]] &lt; AVERAGE(Sheet1[Month_Revenue]), "Off-Peak", "Peak")</f>
        <v>Off-Peak</v>
      </c>
      <c r="J155">
        <f xml:space="preserve"> IF(Sheet1[[#This Row],[Ad Spend]] &gt; 0, (Sheet1[[#This Row],[Profit]] / Sheet1[[#This Row],[Ad Spend]]), 0)</f>
        <v>356.64583333333331</v>
      </c>
      <c r="K155">
        <f>Sheet1[[#This Row],[Revenue]]-Sheet1[[#This Row],[Ad Spend]]</f>
        <v>171.19</v>
      </c>
      <c r="L155" s="2" t="s">
        <v>14</v>
      </c>
      <c r="M155">
        <v>2</v>
      </c>
      <c r="N155" s="2" t="s">
        <v>15</v>
      </c>
      <c r="O155">
        <v>85.834999999999994</v>
      </c>
    </row>
    <row r="156" spans="1:15" x14ac:dyDescent="0.3">
      <c r="A156" s="1">
        <v>45407</v>
      </c>
      <c r="B156" s="2" t="s">
        <v>24</v>
      </c>
      <c r="C156" s="2" t="s">
        <v>12</v>
      </c>
      <c r="D156" s="2" t="s">
        <v>18</v>
      </c>
      <c r="E156">
        <v>156.84</v>
      </c>
      <c r="F156">
        <v>7.54</v>
      </c>
      <c r="G156">
        <v>2</v>
      </c>
      <c r="H156">
        <f t="shared" si="2"/>
        <v>58562.910000000018</v>
      </c>
      <c r="I156" t="str">
        <f>IF(Sheet1[[#This Row],[Month_Revenue]] &lt; AVERAGE(Sheet1[Month_Revenue]), "Off-Peak", "Peak")</f>
        <v>Peak</v>
      </c>
      <c r="J156">
        <f xml:space="preserve"> IF(Sheet1[[#This Row],[Ad Spend]] &gt; 0, (Sheet1[[#This Row],[Profit]] / Sheet1[[#This Row],[Ad Spend]]), 0)</f>
        <v>19.801061007957561</v>
      </c>
      <c r="K156">
        <f>Sheet1[[#This Row],[Revenue]]-Sheet1[[#This Row],[Ad Spend]]</f>
        <v>149.30000000000001</v>
      </c>
      <c r="L156" s="2" t="s">
        <v>14</v>
      </c>
      <c r="M156">
        <v>4</v>
      </c>
      <c r="N156" s="2" t="s">
        <v>19</v>
      </c>
      <c r="O156">
        <v>78.42</v>
      </c>
    </row>
    <row r="157" spans="1:15" x14ac:dyDescent="0.3">
      <c r="A157" s="1">
        <v>45341</v>
      </c>
      <c r="B157" s="2" t="s">
        <v>20</v>
      </c>
      <c r="C157" s="2" t="s">
        <v>12</v>
      </c>
      <c r="D157" s="2" t="s">
        <v>13</v>
      </c>
      <c r="E157">
        <v>67.430000000000007</v>
      </c>
      <c r="F157">
        <v>31.15</v>
      </c>
      <c r="G157">
        <v>2</v>
      </c>
      <c r="H157">
        <f t="shared" si="2"/>
        <v>48675.899999999936</v>
      </c>
      <c r="I157" t="str">
        <f>IF(Sheet1[[#This Row],[Month_Revenue]] &lt; AVERAGE(Sheet1[Month_Revenue]), "Off-Peak", "Peak")</f>
        <v>Off-Peak</v>
      </c>
      <c r="J157">
        <f xml:space="preserve"> IF(Sheet1[[#This Row],[Ad Spend]] &gt; 0, (Sheet1[[#This Row],[Profit]] / Sheet1[[#This Row],[Ad Spend]]), 0)</f>
        <v>1.1646869983948638</v>
      </c>
      <c r="K157">
        <f>Sheet1[[#This Row],[Revenue]]-Sheet1[[#This Row],[Ad Spend]]</f>
        <v>36.280000000000008</v>
      </c>
      <c r="L157" s="2" t="s">
        <v>14</v>
      </c>
      <c r="M157">
        <v>2</v>
      </c>
      <c r="N157" s="2" t="s">
        <v>15</v>
      </c>
      <c r="O157">
        <v>33.715000000000003</v>
      </c>
    </row>
    <row r="158" spans="1:15" x14ac:dyDescent="0.3">
      <c r="A158" s="1">
        <v>45297</v>
      </c>
      <c r="B158" s="2" t="s">
        <v>23</v>
      </c>
      <c r="C158" s="2" t="s">
        <v>17</v>
      </c>
      <c r="D158" s="2" t="s">
        <v>13</v>
      </c>
      <c r="E158">
        <v>191.66</v>
      </c>
      <c r="F158">
        <v>24.46</v>
      </c>
      <c r="G158">
        <v>2</v>
      </c>
      <c r="H158">
        <f t="shared" si="2"/>
        <v>61207.979999999989</v>
      </c>
      <c r="I158" t="str">
        <f>IF(Sheet1[[#This Row],[Month_Revenue]] &lt; AVERAGE(Sheet1[Month_Revenue]), "Off-Peak", "Peak")</f>
        <v>Peak</v>
      </c>
      <c r="J158">
        <f xml:space="preserve"> IF(Sheet1[[#This Row],[Ad Spend]] &gt; 0, (Sheet1[[#This Row],[Profit]] / Sheet1[[#This Row],[Ad Spend]]), 0)</f>
        <v>6.835650040883074</v>
      </c>
      <c r="K158">
        <f>Sheet1[[#This Row],[Revenue]]-Sheet1[[#This Row],[Ad Spend]]</f>
        <v>167.2</v>
      </c>
      <c r="L158" s="2" t="s">
        <v>14</v>
      </c>
      <c r="M158">
        <v>1</v>
      </c>
      <c r="N158" s="2" t="s">
        <v>15</v>
      </c>
      <c r="O158">
        <v>95.83</v>
      </c>
    </row>
    <row r="159" spans="1:15" x14ac:dyDescent="0.3">
      <c r="A159" s="1">
        <v>45323</v>
      </c>
      <c r="B159" s="2" t="s">
        <v>20</v>
      </c>
      <c r="C159" s="2" t="s">
        <v>12</v>
      </c>
      <c r="D159" s="2" t="s">
        <v>18</v>
      </c>
      <c r="E159">
        <v>146.86000000000001</v>
      </c>
      <c r="F159">
        <v>20.76</v>
      </c>
      <c r="G159">
        <v>0</v>
      </c>
      <c r="H159">
        <f t="shared" si="2"/>
        <v>48675.899999999936</v>
      </c>
      <c r="I159" t="str">
        <f>IF(Sheet1[[#This Row],[Month_Revenue]] &lt; AVERAGE(Sheet1[Month_Revenue]), "Off-Peak", "Peak")</f>
        <v>Off-Peak</v>
      </c>
      <c r="J159">
        <f xml:space="preserve"> IF(Sheet1[[#This Row],[Ad Spend]] &gt; 0, (Sheet1[[#This Row],[Profit]] / Sheet1[[#This Row],[Ad Spend]]), 0)</f>
        <v>6.074181117533719</v>
      </c>
      <c r="K159">
        <f>Sheet1[[#This Row],[Revenue]]-Sheet1[[#This Row],[Ad Spend]]</f>
        <v>126.10000000000001</v>
      </c>
      <c r="L159" s="2" t="s">
        <v>22</v>
      </c>
      <c r="M159">
        <v>2</v>
      </c>
      <c r="N159" s="2" t="s">
        <v>15</v>
      </c>
      <c r="O159">
        <v>0</v>
      </c>
    </row>
    <row r="160" spans="1:15" x14ac:dyDescent="0.3">
      <c r="A160" s="1">
        <v>45374</v>
      </c>
      <c r="B160" s="2" t="s">
        <v>20</v>
      </c>
      <c r="C160" s="2" t="s">
        <v>12</v>
      </c>
      <c r="D160" s="2" t="s">
        <v>18</v>
      </c>
      <c r="E160">
        <v>84.97</v>
      </c>
      <c r="F160">
        <v>11.97</v>
      </c>
      <c r="G160">
        <v>1</v>
      </c>
      <c r="H160">
        <f t="shared" si="2"/>
        <v>54735.250000000029</v>
      </c>
      <c r="I160" t="str">
        <f>IF(Sheet1[[#This Row],[Month_Revenue]] &lt; AVERAGE(Sheet1[Month_Revenue]), "Off-Peak", "Peak")</f>
        <v>Off-Peak</v>
      </c>
      <c r="J160">
        <f xml:space="preserve"> IF(Sheet1[[#This Row],[Ad Spend]] &gt; 0, (Sheet1[[#This Row],[Profit]] / Sheet1[[#This Row],[Ad Spend]]), 0)</f>
        <v>6.098579782790309</v>
      </c>
      <c r="K160">
        <f>Sheet1[[#This Row],[Revenue]]-Sheet1[[#This Row],[Ad Spend]]</f>
        <v>73</v>
      </c>
      <c r="L160" s="2" t="s">
        <v>14</v>
      </c>
      <c r="M160">
        <v>3</v>
      </c>
      <c r="N160" s="2" t="s">
        <v>19</v>
      </c>
      <c r="O160">
        <v>84.97</v>
      </c>
    </row>
    <row r="161" spans="1:15" x14ac:dyDescent="0.3">
      <c r="A161" s="1">
        <v>45357</v>
      </c>
      <c r="B161" s="2" t="s">
        <v>23</v>
      </c>
      <c r="C161" s="2" t="s">
        <v>21</v>
      </c>
      <c r="D161" s="2" t="s">
        <v>18</v>
      </c>
      <c r="E161">
        <v>69.239999999999995</v>
      </c>
      <c r="F161">
        <v>39.46</v>
      </c>
      <c r="G161">
        <v>0</v>
      </c>
      <c r="H161">
        <f t="shared" si="2"/>
        <v>54735.250000000029</v>
      </c>
      <c r="I161" t="str">
        <f>IF(Sheet1[[#This Row],[Month_Revenue]] &lt; AVERAGE(Sheet1[Month_Revenue]), "Off-Peak", "Peak")</f>
        <v>Off-Peak</v>
      </c>
      <c r="J161">
        <f xml:space="preserve"> IF(Sheet1[[#This Row],[Ad Spend]] &gt; 0, (Sheet1[[#This Row],[Profit]] / Sheet1[[#This Row],[Ad Spend]]), 0)</f>
        <v>0.75468829194120612</v>
      </c>
      <c r="K161">
        <f>Sheet1[[#This Row],[Revenue]]-Sheet1[[#This Row],[Ad Spend]]</f>
        <v>29.779999999999994</v>
      </c>
      <c r="L161" s="2" t="s">
        <v>14</v>
      </c>
      <c r="M161">
        <v>3</v>
      </c>
      <c r="N161" s="2" t="s">
        <v>19</v>
      </c>
      <c r="O161">
        <v>0</v>
      </c>
    </row>
    <row r="162" spans="1:15" x14ac:dyDescent="0.3">
      <c r="A162" s="1">
        <v>45408</v>
      </c>
      <c r="B162" s="2" t="s">
        <v>23</v>
      </c>
      <c r="C162" s="2" t="s">
        <v>12</v>
      </c>
      <c r="D162" s="2" t="s">
        <v>18</v>
      </c>
      <c r="E162">
        <v>55.71</v>
      </c>
      <c r="F162">
        <v>29.36</v>
      </c>
      <c r="G162">
        <v>3</v>
      </c>
      <c r="H162">
        <f t="shared" si="2"/>
        <v>58562.910000000018</v>
      </c>
      <c r="I162" t="str">
        <f>IF(Sheet1[[#This Row],[Month_Revenue]] &lt; AVERAGE(Sheet1[Month_Revenue]), "Off-Peak", "Peak")</f>
        <v>Peak</v>
      </c>
      <c r="J162">
        <f xml:space="preserve"> IF(Sheet1[[#This Row],[Ad Spend]] &gt; 0, (Sheet1[[#This Row],[Profit]] / Sheet1[[#This Row],[Ad Spend]]), 0)</f>
        <v>0.89747956403269757</v>
      </c>
      <c r="K162">
        <f>Sheet1[[#This Row],[Revenue]]-Sheet1[[#This Row],[Ad Spend]]</f>
        <v>26.35</v>
      </c>
      <c r="L162" s="2" t="s">
        <v>14</v>
      </c>
      <c r="M162">
        <v>4</v>
      </c>
      <c r="N162" s="2" t="s">
        <v>19</v>
      </c>
      <c r="O162">
        <v>18.57</v>
      </c>
    </row>
    <row r="163" spans="1:15" x14ac:dyDescent="0.3">
      <c r="A163" s="1">
        <v>45299</v>
      </c>
      <c r="B163" s="2" t="s">
        <v>11</v>
      </c>
      <c r="C163" s="2" t="s">
        <v>12</v>
      </c>
      <c r="D163" s="2" t="s">
        <v>18</v>
      </c>
      <c r="E163">
        <v>87.79</v>
      </c>
      <c r="F163">
        <v>14.46</v>
      </c>
      <c r="G163">
        <v>2</v>
      </c>
      <c r="H163">
        <f t="shared" si="2"/>
        <v>61207.979999999989</v>
      </c>
      <c r="I163" t="str">
        <f>IF(Sheet1[[#This Row],[Month_Revenue]] &lt; AVERAGE(Sheet1[Month_Revenue]), "Off-Peak", "Peak")</f>
        <v>Peak</v>
      </c>
      <c r="J163">
        <f xml:space="preserve"> IF(Sheet1[[#This Row],[Ad Spend]] &gt; 0, (Sheet1[[#This Row],[Profit]] / Sheet1[[#This Row],[Ad Spend]]), 0)</f>
        <v>5.0712309820193644</v>
      </c>
      <c r="K163">
        <f>Sheet1[[#This Row],[Revenue]]-Sheet1[[#This Row],[Ad Spend]]</f>
        <v>73.330000000000013</v>
      </c>
      <c r="L163" s="2" t="s">
        <v>22</v>
      </c>
      <c r="M163">
        <v>1</v>
      </c>
      <c r="N163" s="2" t="s">
        <v>15</v>
      </c>
      <c r="O163">
        <v>43.895000000000003</v>
      </c>
    </row>
    <row r="164" spans="1:15" x14ac:dyDescent="0.3">
      <c r="A164" s="1">
        <v>45299</v>
      </c>
      <c r="B164" s="2" t="s">
        <v>20</v>
      </c>
      <c r="C164" s="2" t="s">
        <v>21</v>
      </c>
      <c r="D164" s="2" t="s">
        <v>18</v>
      </c>
      <c r="E164">
        <v>53.76</v>
      </c>
      <c r="F164">
        <v>17.29</v>
      </c>
      <c r="G164">
        <v>1</v>
      </c>
      <c r="H164">
        <f t="shared" si="2"/>
        <v>61207.979999999989</v>
      </c>
      <c r="I164" t="str">
        <f>IF(Sheet1[[#This Row],[Month_Revenue]] &lt; AVERAGE(Sheet1[Month_Revenue]), "Off-Peak", "Peak")</f>
        <v>Peak</v>
      </c>
      <c r="J164">
        <f xml:space="preserve"> IF(Sheet1[[#This Row],[Ad Spend]] &gt; 0, (Sheet1[[#This Row],[Profit]] / Sheet1[[#This Row],[Ad Spend]]), 0)</f>
        <v>2.1093117408906883</v>
      </c>
      <c r="K164">
        <f>Sheet1[[#This Row],[Revenue]]-Sheet1[[#This Row],[Ad Spend]]</f>
        <v>36.47</v>
      </c>
      <c r="L164" s="2" t="s">
        <v>22</v>
      </c>
      <c r="M164">
        <v>1</v>
      </c>
      <c r="N164" s="2" t="s">
        <v>15</v>
      </c>
      <c r="O164">
        <v>53.76</v>
      </c>
    </row>
    <row r="165" spans="1:15" x14ac:dyDescent="0.3">
      <c r="A165" s="1">
        <v>45366</v>
      </c>
      <c r="B165" s="2" t="s">
        <v>23</v>
      </c>
      <c r="C165" s="2" t="s">
        <v>17</v>
      </c>
      <c r="D165" s="2" t="s">
        <v>13</v>
      </c>
      <c r="E165">
        <v>76.180000000000007</v>
      </c>
      <c r="F165">
        <v>45.35</v>
      </c>
      <c r="G165">
        <v>1</v>
      </c>
      <c r="H165">
        <f t="shared" si="2"/>
        <v>54735.250000000029</v>
      </c>
      <c r="I165" t="str">
        <f>IF(Sheet1[[#This Row],[Month_Revenue]] &lt; AVERAGE(Sheet1[Month_Revenue]), "Off-Peak", "Peak")</f>
        <v>Off-Peak</v>
      </c>
      <c r="J165">
        <f xml:space="preserve"> IF(Sheet1[[#This Row],[Ad Spend]] &gt; 0, (Sheet1[[#This Row],[Profit]] / Sheet1[[#This Row],[Ad Spend]]), 0)</f>
        <v>0.67982359426681382</v>
      </c>
      <c r="K165">
        <f>Sheet1[[#This Row],[Revenue]]-Sheet1[[#This Row],[Ad Spend]]</f>
        <v>30.830000000000005</v>
      </c>
      <c r="L165" s="2" t="s">
        <v>14</v>
      </c>
      <c r="M165">
        <v>3</v>
      </c>
      <c r="N165" s="2" t="s">
        <v>19</v>
      </c>
      <c r="O165">
        <v>76.180000000000007</v>
      </c>
    </row>
    <row r="166" spans="1:15" x14ac:dyDescent="0.3">
      <c r="A166" s="1">
        <v>45370</v>
      </c>
      <c r="B166" s="2" t="s">
        <v>24</v>
      </c>
      <c r="C166" s="2" t="s">
        <v>12</v>
      </c>
      <c r="D166" s="2" t="s">
        <v>18</v>
      </c>
      <c r="E166">
        <v>38.99</v>
      </c>
      <c r="F166">
        <v>11.2</v>
      </c>
      <c r="G166">
        <v>0</v>
      </c>
      <c r="H166">
        <f t="shared" si="2"/>
        <v>54735.250000000029</v>
      </c>
      <c r="I166" t="str">
        <f>IF(Sheet1[[#This Row],[Month_Revenue]] &lt; AVERAGE(Sheet1[Month_Revenue]), "Off-Peak", "Peak")</f>
        <v>Off-Peak</v>
      </c>
      <c r="J166">
        <f xml:space="preserve"> IF(Sheet1[[#This Row],[Ad Spend]] &gt; 0, (Sheet1[[#This Row],[Profit]] / Sheet1[[#This Row],[Ad Spend]]), 0)</f>
        <v>2.4812500000000002</v>
      </c>
      <c r="K166">
        <f>Sheet1[[#This Row],[Revenue]]-Sheet1[[#This Row],[Ad Spend]]</f>
        <v>27.790000000000003</v>
      </c>
      <c r="L166" s="2" t="s">
        <v>14</v>
      </c>
      <c r="M166">
        <v>3</v>
      </c>
      <c r="N166" s="2" t="s">
        <v>19</v>
      </c>
      <c r="O166">
        <v>0</v>
      </c>
    </row>
    <row r="167" spans="1:15" x14ac:dyDescent="0.3">
      <c r="A167" s="1">
        <v>45321</v>
      </c>
      <c r="B167" s="2" t="s">
        <v>20</v>
      </c>
      <c r="C167" s="2" t="s">
        <v>21</v>
      </c>
      <c r="D167" s="2" t="s">
        <v>13</v>
      </c>
      <c r="E167">
        <v>153.69</v>
      </c>
      <c r="F167">
        <v>26.91</v>
      </c>
      <c r="G167">
        <v>0</v>
      </c>
      <c r="H167">
        <f t="shared" si="2"/>
        <v>61207.979999999989</v>
      </c>
      <c r="I167" t="str">
        <f>IF(Sheet1[[#This Row],[Month_Revenue]] &lt; AVERAGE(Sheet1[Month_Revenue]), "Off-Peak", "Peak")</f>
        <v>Peak</v>
      </c>
      <c r="J167">
        <f xml:space="preserve"> IF(Sheet1[[#This Row],[Ad Spend]] &gt; 0, (Sheet1[[#This Row],[Profit]] / Sheet1[[#This Row],[Ad Spend]]), 0)</f>
        <v>4.7112597547380153</v>
      </c>
      <c r="K167">
        <f>Sheet1[[#This Row],[Revenue]]-Sheet1[[#This Row],[Ad Spend]]</f>
        <v>126.78</v>
      </c>
      <c r="L167" s="2" t="s">
        <v>14</v>
      </c>
      <c r="M167">
        <v>1</v>
      </c>
      <c r="N167" s="2" t="s">
        <v>15</v>
      </c>
      <c r="O167">
        <v>0</v>
      </c>
    </row>
    <row r="168" spans="1:15" x14ac:dyDescent="0.3">
      <c r="A168" s="1">
        <v>45412</v>
      </c>
      <c r="B168" s="2" t="s">
        <v>16</v>
      </c>
      <c r="C168" s="2" t="s">
        <v>17</v>
      </c>
      <c r="D168" s="2" t="s">
        <v>18</v>
      </c>
      <c r="E168">
        <v>157.19999999999999</v>
      </c>
      <c r="F168">
        <v>27.71</v>
      </c>
      <c r="G168">
        <v>0</v>
      </c>
      <c r="H168">
        <f t="shared" si="2"/>
        <v>58562.910000000018</v>
      </c>
      <c r="I168" t="str">
        <f>IF(Sheet1[[#This Row],[Month_Revenue]] &lt; AVERAGE(Sheet1[Month_Revenue]), "Off-Peak", "Peak")</f>
        <v>Peak</v>
      </c>
      <c r="J168">
        <f xml:space="preserve"> IF(Sheet1[[#This Row],[Ad Spend]] &gt; 0, (Sheet1[[#This Row],[Profit]] / Sheet1[[#This Row],[Ad Spend]]), 0)</f>
        <v>4.6730422230241784</v>
      </c>
      <c r="K168">
        <f>Sheet1[[#This Row],[Revenue]]-Sheet1[[#This Row],[Ad Spend]]</f>
        <v>129.48999999999998</v>
      </c>
      <c r="L168" s="2" t="s">
        <v>22</v>
      </c>
      <c r="M168">
        <v>4</v>
      </c>
      <c r="N168" s="2" t="s">
        <v>19</v>
      </c>
      <c r="O168">
        <v>0</v>
      </c>
    </row>
    <row r="169" spans="1:15" x14ac:dyDescent="0.3">
      <c r="A169" s="1">
        <v>45297</v>
      </c>
      <c r="B169" s="2" t="s">
        <v>24</v>
      </c>
      <c r="C169" s="2" t="s">
        <v>21</v>
      </c>
      <c r="D169" s="2" t="s">
        <v>18</v>
      </c>
      <c r="E169">
        <v>26.23</v>
      </c>
      <c r="F169">
        <v>35.29</v>
      </c>
      <c r="G169">
        <v>1</v>
      </c>
      <c r="H169">
        <f t="shared" si="2"/>
        <v>61207.979999999989</v>
      </c>
      <c r="I169" t="str">
        <f>IF(Sheet1[[#This Row],[Month_Revenue]] &lt; AVERAGE(Sheet1[Month_Revenue]), "Off-Peak", "Peak")</f>
        <v>Peak</v>
      </c>
      <c r="J169">
        <f xml:space="preserve"> IF(Sheet1[[#This Row],[Ad Spend]] &gt; 0, (Sheet1[[#This Row],[Profit]] / Sheet1[[#This Row],[Ad Spend]]), 0)</f>
        <v>-0.25672995182771319</v>
      </c>
      <c r="K169">
        <f>Sheet1[[#This Row],[Revenue]]-Sheet1[[#This Row],[Ad Spend]]</f>
        <v>-9.0599999999999987</v>
      </c>
      <c r="L169" s="2" t="s">
        <v>14</v>
      </c>
      <c r="M169">
        <v>1</v>
      </c>
      <c r="N169" s="2" t="s">
        <v>15</v>
      </c>
      <c r="O169">
        <v>26.23</v>
      </c>
    </row>
    <row r="170" spans="1:15" x14ac:dyDescent="0.3">
      <c r="A170" s="1">
        <v>45377</v>
      </c>
      <c r="B170" s="2" t="s">
        <v>23</v>
      </c>
      <c r="C170" s="2" t="s">
        <v>21</v>
      </c>
      <c r="D170" s="2" t="s">
        <v>13</v>
      </c>
      <c r="E170">
        <v>35.729999999999997</v>
      </c>
      <c r="F170">
        <v>12.1</v>
      </c>
      <c r="G170">
        <v>1</v>
      </c>
      <c r="H170">
        <f t="shared" si="2"/>
        <v>54735.250000000029</v>
      </c>
      <c r="I170" t="str">
        <f>IF(Sheet1[[#This Row],[Month_Revenue]] &lt; AVERAGE(Sheet1[Month_Revenue]), "Off-Peak", "Peak")</f>
        <v>Off-Peak</v>
      </c>
      <c r="J170">
        <f xml:space="preserve"> IF(Sheet1[[#This Row],[Ad Spend]] &gt; 0, (Sheet1[[#This Row],[Profit]] / Sheet1[[#This Row],[Ad Spend]]), 0)</f>
        <v>1.9528925619834707</v>
      </c>
      <c r="K170">
        <f>Sheet1[[#This Row],[Revenue]]-Sheet1[[#This Row],[Ad Spend]]</f>
        <v>23.629999999999995</v>
      </c>
      <c r="L170" s="2" t="s">
        <v>14</v>
      </c>
      <c r="M170">
        <v>3</v>
      </c>
      <c r="N170" s="2" t="s">
        <v>19</v>
      </c>
      <c r="O170">
        <v>35.729999999999997</v>
      </c>
    </row>
    <row r="171" spans="1:15" x14ac:dyDescent="0.3">
      <c r="A171" s="1">
        <v>45387</v>
      </c>
      <c r="B171" s="2" t="s">
        <v>16</v>
      </c>
      <c r="C171" s="2" t="s">
        <v>21</v>
      </c>
      <c r="D171" s="2" t="s">
        <v>13</v>
      </c>
      <c r="E171">
        <v>154.27000000000001</v>
      </c>
      <c r="F171">
        <v>41.77</v>
      </c>
      <c r="G171">
        <v>0</v>
      </c>
      <c r="H171">
        <f t="shared" si="2"/>
        <v>58562.910000000018</v>
      </c>
      <c r="I171" t="str">
        <f>IF(Sheet1[[#This Row],[Month_Revenue]] &lt; AVERAGE(Sheet1[Month_Revenue]), "Off-Peak", "Peak")</f>
        <v>Peak</v>
      </c>
      <c r="J171">
        <f xml:space="preserve"> IF(Sheet1[[#This Row],[Ad Spend]] &gt; 0, (Sheet1[[#This Row],[Profit]] / Sheet1[[#This Row],[Ad Spend]]), 0)</f>
        <v>2.6933205649988028</v>
      </c>
      <c r="K171">
        <f>Sheet1[[#This Row],[Revenue]]-Sheet1[[#This Row],[Ad Spend]]</f>
        <v>112.5</v>
      </c>
      <c r="L171" s="2" t="s">
        <v>22</v>
      </c>
      <c r="M171">
        <v>4</v>
      </c>
      <c r="N171" s="2" t="s">
        <v>19</v>
      </c>
      <c r="O171">
        <v>0</v>
      </c>
    </row>
    <row r="172" spans="1:15" x14ac:dyDescent="0.3">
      <c r="A172" s="1">
        <v>45341</v>
      </c>
      <c r="B172" s="2" t="s">
        <v>16</v>
      </c>
      <c r="C172" s="2" t="s">
        <v>12</v>
      </c>
      <c r="D172" s="2" t="s">
        <v>18</v>
      </c>
      <c r="E172">
        <v>175.36</v>
      </c>
      <c r="F172">
        <v>5.95</v>
      </c>
      <c r="G172">
        <v>1</v>
      </c>
      <c r="H172">
        <f t="shared" si="2"/>
        <v>48675.899999999936</v>
      </c>
      <c r="I172" t="str">
        <f>IF(Sheet1[[#This Row],[Month_Revenue]] &lt; AVERAGE(Sheet1[Month_Revenue]), "Off-Peak", "Peak")</f>
        <v>Off-Peak</v>
      </c>
      <c r="J172">
        <f xml:space="preserve"> IF(Sheet1[[#This Row],[Ad Spend]] &gt; 0, (Sheet1[[#This Row],[Profit]] / Sheet1[[#This Row],[Ad Spend]]), 0)</f>
        <v>28.472268907563027</v>
      </c>
      <c r="K172">
        <f>Sheet1[[#This Row],[Revenue]]-Sheet1[[#This Row],[Ad Spend]]</f>
        <v>169.41000000000003</v>
      </c>
      <c r="L172" s="2" t="s">
        <v>14</v>
      </c>
      <c r="M172">
        <v>2</v>
      </c>
      <c r="N172" s="2" t="s">
        <v>15</v>
      </c>
      <c r="O172">
        <v>175.36</v>
      </c>
    </row>
    <row r="173" spans="1:15" x14ac:dyDescent="0.3">
      <c r="A173" s="1">
        <v>45298</v>
      </c>
      <c r="B173" s="2" t="s">
        <v>20</v>
      </c>
      <c r="C173" s="2" t="s">
        <v>12</v>
      </c>
      <c r="D173" s="2" t="s">
        <v>18</v>
      </c>
      <c r="E173">
        <v>67.14</v>
      </c>
      <c r="F173">
        <v>49.07</v>
      </c>
      <c r="G173">
        <v>3</v>
      </c>
      <c r="H173">
        <f t="shared" si="2"/>
        <v>61207.979999999989</v>
      </c>
      <c r="I173" t="str">
        <f>IF(Sheet1[[#This Row],[Month_Revenue]] &lt; AVERAGE(Sheet1[Month_Revenue]), "Off-Peak", "Peak")</f>
        <v>Peak</v>
      </c>
      <c r="J173">
        <f xml:space="preserve"> IF(Sheet1[[#This Row],[Ad Spend]] &gt; 0, (Sheet1[[#This Row],[Profit]] / Sheet1[[#This Row],[Ad Spend]]), 0)</f>
        <v>0.36824943957611578</v>
      </c>
      <c r="K173">
        <f>Sheet1[[#This Row],[Revenue]]-Sheet1[[#This Row],[Ad Spend]]</f>
        <v>18.07</v>
      </c>
      <c r="L173" s="2" t="s">
        <v>14</v>
      </c>
      <c r="M173">
        <v>1</v>
      </c>
      <c r="N173" s="2" t="s">
        <v>15</v>
      </c>
      <c r="O173">
        <v>22.38</v>
      </c>
    </row>
    <row r="174" spans="1:15" x14ac:dyDescent="0.3">
      <c r="A174" s="1">
        <v>45308</v>
      </c>
      <c r="B174" s="2" t="s">
        <v>23</v>
      </c>
      <c r="C174" s="2" t="s">
        <v>17</v>
      </c>
      <c r="D174" s="2" t="s">
        <v>13</v>
      </c>
      <c r="E174">
        <v>52.54</v>
      </c>
      <c r="F174">
        <v>12.91</v>
      </c>
      <c r="G174">
        <v>3</v>
      </c>
      <c r="H174">
        <f t="shared" si="2"/>
        <v>61207.979999999989</v>
      </c>
      <c r="I174" t="str">
        <f>IF(Sheet1[[#This Row],[Month_Revenue]] &lt; AVERAGE(Sheet1[Month_Revenue]), "Off-Peak", "Peak")</f>
        <v>Peak</v>
      </c>
      <c r="J174">
        <f xml:space="preserve"> IF(Sheet1[[#This Row],[Ad Spend]] &gt; 0, (Sheet1[[#This Row],[Profit]] / Sheet1[[#This Row],[Ad Spend]]), 0)</f>
        <v>3.0697134004647557</v>
      </c>
      <c r="K174">
        <f>Sheet1[[#This Row],[Revenue]]-Sheet1[[#This Row],[Ad Spend]]</f>
        <v>39.629999999999995</v>
      </c>
      <c r="L174" s="2" t="s">
        <v>22</v>
      </c>
      <c r="M174">
        <v>1</v>
      </c>
      <c r="N174" s="2" t="s">
        <v>15</v>
      </c>
      <c r="O174">
        <v>17.513333333333332</v>
      </c>
    </row>
    <row r="175" spans="1:15" x14ac:dyDescent="0.3">
      <c r="A175" s="1">
        <v>45298</v>
      </c>
      <c r="B175" s="2" t="s">
        <v>16</v>
      </c>
      <c r="C175" s="2" t="s">
        <v>17</v>
      </c>
      <c r="D175" s="2" t="s">
        <v>18</v>
      </c>
      <c r="E175">
        <v>73.47</v>
      </c>
      <c r="F175">
        <v>27.79</v>
      </c>
      <c r="G175">
        <v>0</v>
      </c>
      <c r="H175">
        <f t="shared" si="2"/>
        <v>61207.979999999989</v>
      </c>
      <c r="I175" t="str">
        <f>IF(Sheet1[[#This Row],[Month_Revenue]] &lt; AVERAGE(Sheet1[Month_Revenue]), "Off-Peak", "Peak")</f>
        <v>Peak</v>
      </c>
      <c r="J175">
        <f xml:space="preserve"> IF(Sheet1[[#This Row],[Ad Spend]] &gt; 0, (Sheet1[[#This Row],[Profit]] / Sheet1[[#This Row],[Ad Spend]]), 0)</f>
        <v>1.6437567470313064</v>
      </c>
      <c r="K175">
        <f>Sheet1[[#This Row],[Revenue]]-Sheet1[[#This Row],[Ad Spend]]</f>
        <v>45.68</v>
      </c>
      <c r="L175" s="2" t="s">
        <v>22</v>
      </c>
      <c r="M175">
        <v>1</v>
      </c>
      <c r="N175" s="2" t="s">
        <v>15</v>
      </c>
      <c r="O175">
        <v>0</v>
      </c>
    </row>
    <row r="176" spans="1:15" x14ac:dyDescent="0.3">
      <c r="A176" s="1">
        <v>45352</v>
      </c>
      <c r="B176" s="2" t="s">
        <v>11</v>
      </c>
      <c r="C176" s="2" t="s">
        <v>17</v>
      </c>
      <c r="D176" s="2" t="s">
        <v>18</v>
      </c>
      <c r="E176">
        <v>156.82</v>
      </c>
      <c r="F176">
        <v>4.5199999999999996</v>
      </c>
      <c r="G176">
        <v>3</v>
      </c>
      <c r="H176">
        <f t="shared" si="2"/>
        <v>54735.250000000029</v>
      </c>
      <c r="I176" t="str">
        <f>IF(Sheet1[[#This Row],[Month_Revenue]] &lt; AVERAGE(Sheet1[Month_Revenue]), "Off-Peak", "Peak")</f>
        <v>Off-Peak</v>
      </c>
      <c r="J176">
        <f xml:space="preserve"> IF(Sheet1[[#This Row],[Ad Spend]] &gt; 0, (Sheet1[[#This Row],[Profit]] / Sheet1[[#This Row],[Ad Spend]]), 0)</f>
        <v>33.694690265486727</v>
      </c>
      <c r="K176">
        <f>Sheet1[[#This Row],[Revenue]]-Sheet1[[#This Row],[Ad Spend]]</f>
        <v>152.29999999999998</v>
      </c>
      <c r="L176" s="2" t="s">
        <v>22</v>
      </c>
      <c r="M176">
        <v>3</v>
      </c>
      <c r="N176" s="2" t="s">
        <v>19</v>
      </c>
      <c r="O176">
        <v>52.273333333333333</v>
      </c>
    </row>
    <row r="177" spans="1:15" x14ac:dyDescent="0.3">
      <c r="A177" s="1">
        <v>45395</v>
      </c>
      <c r="B177" s="2" t="s">
        <v>16</v>
      </c>
      <c r="C177" s="2" t="s">
        <v>12</v>
      </c>
      <c r="D177" s="2" t="s">
        <v>13</v>
      </c>
      <c r="E177">
        <v>197.9</v>
      </c>
      <c r="F177">
        <v>47.11</v>
      </c>
      <c r="G177">
        <v>2</v>
      </c>
      <c r="H177">
        <f t="shared" si="2"/>
        <v>58562.910000000018</v>
      </c>
      <c r="I177" t="str">
        <f>IF(Sheet1[[#This Row],[Month_Revenue]] &lt; AVERAGE(Sheet1[Month_Revenue]), "Off-Peak", "Peak")</f>
        <v>Peak</v>
      </c>
      <c r="J177">
        <f xml:space="preserve"> IF(Sheet1[[#This Row],[Ad Spend]] &gt; 0, (Sheet1[[#This Row],[Profit]] / Sheet1[[#This Row],[Ad Spend]]), 0)</f>
        <v>3.2008066227977081</v>
      </c>
      <c r="K177">
        <f>Sheet1[[#This Row],[Revenue]]-Sheet1[[#This Row],[Ad Spend]]</f>
        <v>150.79000000000002</v>
      </c>
      <c r="L177" s="2" t="s">
        <v>14</v>
      </c>
      <c r="M177">
        <v>4</v>
      </c>
      <c r="N177" s="2" t="s">
        <v>19</v>
      </c>
      <c r="O177">
        <v>98.95</v>
      </c>
    </row>
    <row r="178" spans="1:15" x14ac:dyDescent="0.3">
      <c r="A178" s="1">
        <v>45360</v>
      </c>
      <c r="B178" s="2" t="s">
        <v>16</v>
      </c>
      <c r="C178" s="2" t="s">
        <v>17</v>
      </c>
      <c r="D178" s="2" t="s">
        <v>18</v>
      </c>
      <c r="E178">
        <v>40.68</v>
      </c>
      <c r="F178">
        <v>20.25</v>
      </c>
      <c r="G178">
        <v>0</v>
      </c>
      <c r="H178">
        <f t="shared" si="2"/>
        <v>54735.250000000029</v>
      </c>
      <c r="I178" t="str">
        <f>IF(Sheet1[[#This Row],[Month_Revenue]] &lt; AVERAGE(Sheet1[Month_Revenue]), "Off-Peak", "Peak")</f>
        <v>Off-Peak</v>
      </c>
      <c r="J178">
        <f xml:space="preserve"> IF(Sheet1[[#This Row],[Ad Spend]] &gt; 0, (Sheet1[[#This Row],[Profit]] / Sheet1[[#This Row],[Ad Spend]]), 0)</f>
        <v>1.0088888888888889</v>
      </c>
      <c r="K178">
        <f>Sheet1[[#This Row],[Revenue]]-Sheet1[[#This Row],[Ad Spend]]</f>
        <v>20.43</v>
      </c>
      <c r="L178" s="2" t="s">
        <v>22</v>
      </c>
      <c r="M178">
        <v>3</v>
      </c>
      <c r="N178" s="2" t="s">
        <v>19</v>
      </c>
      <c r="O178">
        <v>0</v>
      </c>
    </row>
    <row r="179" spans="1:15" x14ac:dyDescent="0.3">
      <c r="A179" s="1">
        <v>45412</v>
      </c>
      <c r="B179" s="2" t="s">
        <v>24</v>
      </c>
      <c r="C179" s="2" t="s">
        <v>21</v>
      </c>
      <c r="D179" s="2" t="s">
        <v>18</v>
      </c>
      <c r="E179">
        <v>131.44999999999999</v>
      </c>
      <c r="F179">
        <v>42.88</v>
      </c>
      <c r="G179">
        <v>2</v>
      </c>
      <c r="H179">
        <f t="shared" si="2"/>
        <v>58562.910000000018</v>
      </c>
      <c r="I179" t="str">
        <f>IF(Sheet1[[#This Row],[Month_Revenue]] &lt; AVERAGE(Sheet1[Month_Revenue]), "Off-Peak", "Peak")</f>
        <v>Peak</v>
      </c>
      <c r="J179">
        <f xml:space="preserve"> IF(Sheet1[[#This Row],[Ad Spend]] &gt; 0, (Sheet1[[#This Row],[Profit]] / Sheet1[[#This Row],[Ad Spend]]), 0)</f>
        <v>2.0655317164179103</v>
      </c>
      <c r="K179">
        <f>Sheet1[[#This Row],[Revenue]]-Sheet1[[#This Row],[Ad Spend]]</f>
        <v>88.57</v>
      </c>
      <c r="L179" s="2" t="s">
        <v>22</v>
      </c>
      <c r="M179">
        <v>4</v>
      </c>
      <c r="N179" s="2" t="s">
        <v>19</v>
      </c>
      <c r="O179">
        <v>65.724999999999994</v>
      </c>
    </row>
    <row r="180" spans="1:15" x14ac:dyDescent="0.3">
      <c r="A180" s="1">
        <v>45376</v>
      </c>
      <c r="B180" s="2" t="s">
        <v>23</v>
      </c>
      <c r="C180" s="2" t="s">
        <v>21</v>
      </c>
      <c r="D180" s="2" t="s">
        <v>18</v>
      </c>
      <c r="E180">
        <v>188.75</v>
      </c>
      <c r="F180">
        <v>11.48</v>
      </c>
      <c r="G180">
        <v>0</v>
      </c>
      <c r="H180">
        <f t="shared" si="2"/>
        <v>54735.250000000029</v>
      </c>
      <c r="I180" t="str">
        <f>IF(Sheet1[[#This Row],[Month_Revenue]] &lt; AVERAGE(Sheet1[Month_Revenue]), "Off-Peak", "Peak")</f>
        <v>Off-Peak</v>
      </c>
      <c r="J180">
        <f xml:space="preserve"> IF(Sheet1[[#This Row],[Ad Spend]] &gt; 0, (Sheet1[[#This Row],[Profit]] / Sheet1[[#This Row],[Ad Spend]]), 0)</f>
        <v>15.44163763066202</v>
      </c>
      <c r="K180">
        <f>Sheet1[[#This Row],[Revenue]]-Sheet1[[#This Row],[Ad Spend]]</f>
        <v>177.27</v>
      </c>
      <c r="L180" s="2" t="s">
        <v>14</v>
      </c>
      <c r="M180">
        <v>3</v>
      </c>
      <c r="N180" s="2" t="s">
        <v>19</v>
      </c>
      <c r="O180">
        <v>0</v>
      </c>
    </row>
    <row r="181" spans="1:15" x14ac:dyDescent="0.3">
      <c r="A181" s="1">
        <v>45393</v>
      </c>
      <c r="B181" s="2" t="s">
        <v>16</v>
      </c>
      <c r="C181" s="2" t="s">
        <v>17</v>
      </c>
      <c r="D181" s="2" t="s">
        <v>18</v>
      </c>
      <c r="E181">
        <v>40.31</v>
      </c>
      <c r="F181">
        <v>11.01</v>
      </c>
      <c r="G181">
        <v>2</v>
      </c>
      <c r="H181">
        <f t="shared" si="2"/>
        <v>58562.910000000018</v>
      </c>
      <c r="I181" t="str">
        <f>IF(Sheet1[[#This Row],[Month_Revenue]] &lt; AVERAGE(Sheet1[Month_Revenue]), "Off-Peak", "Peak")</f>
        <v>Peak</v>
      </c>
      <c r="J181">
        <f xml:space="preserve"> IF(Sheet1[[#This Row],[Ad Spend]] &gt; 0, (Sheet1[[#This Row],[Profit]] / Sheet1[[#This Row],[Ad Spend]]), 0)</f>
        <v>2.6612170753860132</v>
      </c>
      <c r="K181">
        <f>Sheet1[[#This Row],[Revenue]]-Sheet1[[#This Row],[Ad Spend]]</f>
        <v>29.300000000000004</v>
      </c>
      <c r="L181" s="2" t="s">
        <v>14</v>
      </c>
      <c r="M181">
        <v>4</v>
      </c>
      <c r="N181" s="2" t="s">
        <v>19</v>
      </c>
      <c r="O181">
        <v>20.155000000000001</v>
      </c>
    </row>
    <row r="182" spans="1:15" x14ac:dyDescent="0.3">
      <c r="A182" s="1">
        <v>45364</v>
      </c>
      <c r="B182" s="2" t="s">
        <v>20</v>
      </c>
      <c r="C182" s="2" t="s">
        <v>17</v>
      </c>
      <c r="D182" s="2" t="s">
        <v>13</v>
      </c>
      <c r="E182">
        <v>69.73</v>
      </c>
      <c r="F182">
        <v>13.79</v>
      </c>
      <c r="G182">
        <v>0</v>
      </c>
      <c r="H182">
        <f t="shared" si="2"/>
        <v>54735.250000000029</v>
      </c>
      <c r="I182" t="str">
        <f>IF(Sheet1[[#This Row],[Month_Revenue]] &lt; AVERAGE(Sheet1[Month_Revenue]), "Off-Peak", "Peak")</f>
        <v>Off-Peak</v>
      </c>
      <c r="J182">
        <f xml:space="preserve"> IF(Sheet1[[#This Row],[Ad Spend]] &gt; 0, (Sheet1[[#This Row],[Profit]] / Sheet1[[#This Row],[Ad Spend]]), 0)</f>
        <v>4.0565627266134889</v>
      </c>
      <c r="K182">
        <f>Sheet1[[#This Row],[Revenue]]-Sheet1[[#This Row],[Ad Spend]]</f>
        <v>55.940000000000005</v>
      </c>
      <c r="L182" s="2" t="s">
        <v>22</v>
      </c>
      <c r="M182">
        <v>3</v>
      </c>
      <c r="N182" s="2" t="s">
        <v>19</v>
      </c>
      <c r="O182">
        <v>0</v>
      </c>
    </row>
    <row r="183" spans="1:15" x14ac:dyDescent="0.3">
      <c r="A183" s="1">
        <v>45308</v>
      </c>
      <c r="B183" s="2" t="s">
        <v>11</v>
      </c>
      <c r="C183" s="2" t="s">
        <v>21</v>
      </c>
      <c r="D183" s="2" t="s">
        <v>13</v>
      </c>
      <c r="E183">
        <v>179.7</v>
      </c>
      <c r="F183">
        <v>5.79</v>
      </c>
      <c r="G183">
        <v>0</v>
      </c>
      <c r="H183">
        <f t="shared" si="2"/>
        <v>61207.979999999989</v>
      </c>
      <c r="I183" t="str">
        <f>IF(Sheet1[[#This Row],[Month_Revenue]] &lt; AVERAGE(Sheet1[Month_Revenue]), "Off-Peak", "Peak")</f>
        <v>Peak</v>
      </c>
      <c r="J183">
        <f xml:space="preserve"> IF(Sheet1[[#This Row],[Ad Spend]] &gt; 0, (Sheet1[[#This Row],[Profit]] / Sheet1[[#This Row],[Ad Spend]]), 0)</f>
        <v>30.036269430051814</v>
      </c>
      <c r="K183">
        <f>Sheet1[[#This Row],[Revenue]]-Sheet1[[#This Row],[Ad Spend]]</f>
        <v>173.91</v>
      </c>
      <c r="L183" s="2" t="s">
        <v>14</v>
      </c>
      <c r="M183">
        <v>1</v>
      </c>
      <c r="N183" s="2" t="s">
        <v>15</v>
      </c>
      <c r="O183">
        <v>0</v>
      </c>
    </row>
    <row r="184" spans="1:15" x14ac:dyDescent="0.3">
      <c r="A184" s="1">
        <v>45400</v>
      </c>
      <c r="B184" s="2" t="s">
        <v>23</v>
      </c>
      <c r="C184" s="2" t="s">
        <v>17</v>
      </c>
      <c r="D184" s="2" t="s">
        <v>18</v>
      </c>
      <c r="E184">
        <v>177.67</v>
      </c>
      <c r="F184">
        <v>15.93</v>
      </c>
      <c r="G184">
        <v>1</v>
      </c>
      <c r="H184">
        <f t="shared" si="2"/>
        <v>58562.910000000018</v>
      </c>
      <c r="I184" t="str">
        <f>IF(Sheet1[[#This Row],[Month_Revenue]] &lt; AVERAGE(Sheet1[Month_Revenue]), "Off-Peak", "Peak")</f>
        <v>Peak</v>
      </c>
      <c r="J184">
        <f xml:space="preserve"> IF(Sheet1[[#This Row],[Ad Spend]] &gt; 0, (Sheet1[[#This Row],[Profit]] / Sheet1[[#This Row],[Ad Spend]]), 0)</f>
        <v>10.153170119271813</v>
      </c>
      <c r="K184">
        <f>Sheet1[[#This Row],[Revenue]]-Sheet1[[#This Row],[Ad Spend]]</f>
        <v>161.73999999999998</v>
      </c>
      <c r="L184" s="2" t="s">
        <v>14</v>
      </c>
      <c r="M184">
        <v>4</v>
      </c>
      <c r="N184" s="2" t="s">
        <v>19</v>
      </c>
      <c r="O184">
        <v>177.67</v>
      </c>
    </row>
    <row r="185" spans="1:15" x14ac:dyDescent="0.3">
      <c r="A185" s="1">
        <v>45382</v>
      </c>
      <c r="B185" s="2" t="s">
        <v>24</v>
      </c>
      <c r="C185" s="2" t="s">
        <v>21</v>
      </c>
      <c r="D185" s="2" t="s">
        <v>13</v>
      </c>
      <c r="E185">
        <v>174.92</v>
      </c>
      <c r="F185">
        <v>21.1</v>
      </c>
      <c r="G185">
        <v>1</v>
      </c>
      <c r="H185">
        <f t="shared" si="2"/>
        <v>54735.250000000029</v>
      </c>
      <c r="I185" t="str">
        <f>IF(Sheet1[[#This Row],[Month_Revenue]] &lt; AVERAGE(Sheet1[Month_Revenue]), "Off-Peak", "Peak")</f>
        <v>Off-Peak</v>
      </c>
      <c r="J185">
        <f xml:space="preserve"> IF(Sheet1[[#This Row],[Ad Spend]] &gt; 0, (Sheet1[[#This Row],[Profit]] / Sheet1[[#This Row],[Ad Spend]]), 0)</f>
        <v>7.2900473933649277</v>
      </c>
      <c r="K185">
        <f>Sheet1[[#This Row],[Revenue]]-Sheet1[[#This Row],[Ad Spend]]</f>
        <v>153.82</v>
      </c>
      <c r="L185" s="2" t="s">
        <v>22</v>
      </c>
      <c r="M185">
        <v>3</v>
      </c>
      <c r="N185" s="2" t="s">
        <v>19</v>
      </c>
      <c r="O185">
        <v>174.92</v>
      </c>
    </row>
    <row r="186" spans="1:15" x14ac:dyDescent="0.3">
      <c r="A186" s="1">
        <v>45381</v>
      </c>
      <c r="B186" s="2" t="s">
        <v>11</v>
      </c>
      <c r="C186" s="2" t="s">
        <v>12</v>
      </c>
      <c r="D186" s="2" t="s">
        <v>13</v>
      </c>
      <c r="E186">
        <v>168.47</v>
      </c>
      <c r="F186">
        <v>17.7</v>
      </c>
      <c r="G186">
        <v>2</v>
      </c>
      <c r="H186">
        <f t="shared" si="2"/>
        <v>54735.250000000029</v>
      </c>
      <c r="I186" t="str">
        <f>IF(Sheet1[[#This Row],[Month_Revenue]] &lt; AVERAGE(Sheet1[Month_Revenue]), "Off-Peak", "Peak")</f>
        <v>Off-Peak</v>
      </c>
      <c r="J186">
        <f xml:space="preserve"> IF(Sheet1[[#This Row],[Ad Spend]] &gt; 0, (Sheet1[[#This Row],[Profit]] / Sheet1[[#This Row],[Ad Spend]]), 0)</f>
        <v>8.5180790960451986</v>
      </c>
      <c r="K186">
        <f>Sheet1[[#This Row],[Revenue]]-Sheet1[[#This Row],[Ad Spend]]</f>
        <v>150.77000000000001</v>
      </c>
      <c r="L186" s="2" t="s">
        <v>22</v>
      </c>
      <c r="M186">
        <v>3</v>
      </c>
      <c r="N186" s="2" t="s">
        <v>19</v>
      </c>
      <c r="O186">
        <v>84.234999999999999</v>
      </c>
    </row>
    <row r="187" spans="1:15" x14ac:dyDescent="0.3">
      <c r="A187" s="1">
        <v>45378</v>
      </c>
      <c r="B187" s="2" t="s">
        <v>16</v>
      </c>
      <c r="C187" s="2" t="s">
        <v>12</v>
      </c>
      <c r="D187" s="2" t="s">
        <v>18</v>
      </c>
      <c r="E187">
        <v>119.47</v>
      </c>
      <c r="F187">
        <v>37.299999999999997</v>
      </c>
      <c r="G187">
        <v>1</v>
      </c>
      <c r="H187">
        <f t="shared" si="2"/>
        <v>54735.250000000029</v>
      </c>
      <c r="I187" t="str">
        <f>IF(Sheet1[[#This Row],[Month_Revenue]] &lt; AVERAGE(Sheet1[Month_Revenue]), "Off-Peak", "Peak")</f>
        <v>Off-Peak</v>
      </c>
      <c r="J187">
        <f xml:space="preserve"> IF(Sheet1[[#This Row],[Ad Spend]] &gt; 0, (Sheet1[[#This Row],[Profit]] / Sheet1[[#This Row],[Ad Spend]]), 0)</f>
        <v>2.2029490616621987</v>
      </c>
      <c r="K187">
        <f>Sheet1[[#This Row],[Revenue]]-Sheet1[[#This Row],[Ad Spend]]</f>
        <v>82.17</v>
      </c>
      <c r="L187" s="2" t="s">
        <v>14</v>
      </c>
      <c r="M187">
        <v>3</v>
      </c>
      <c r="N187" s="2" t="s">
        <v>19</v>
      </c>
      <c r="O187">
        <v>119.47</v>
      </c>
    </row>
    <row r="188" spans="1:15" x14ac:dyDescent="0.3">
      <c r="A188" s="1">
        <v>45319</v>
      </c>
      <c r="B188" s="2" t="s">
        <v>11</v>
      </c>
      <c r="C188" s="2" t="s">
        <v>21</v>
      </c>
      <c r="D188" s="2" t="s">
        <v>18</v>
      </c>
      <c r="E188">
        <v>190.52</v>
      </c>
      <c r="F188">
        <v>35.25</v>
      </c>
      <c r="G188">
        <v>0</v>
      </c>
      <c r="H188">
        <f t="shared" si="2"/>
        <v>61207.979999999989</v>
      </c>
      <c r="I188" t="str">
        <f>IF(Sheet1[[#This Row],[Month_Revenue]] &lt; AVERAGE(Sheet1[Month_Revenue]), "Off-Peak", "Peak")</f>
        <v>Peak</v>
      </c>
      <c r="J188">
        <f xml:space="preserve"> IF(Sheet1[[#This Row],[Ad Spend]] &gt; 0, (Sheet1[[#This Row],[Profit]] / Sheet1[[#This Row],[Ad Spend]]), 0)</f>
        <v>4.4048226950354614</v>
      </c>
      <c r="K188">
        <f>Sheet1[[#This Row],[Revenue]]-Sheet1[[#This Row],[Ad Spend]]</f>
        <v>155.27000000000001</v>
      </c>
      <c r="L188" s="2" t="s">
        <v>14</v>
      </c>
      <c r="M188">
        <v>1</v>
      </c>
      <c r="N188" s="2" t="s">
        <v>15</v>
      </c>
      <c r="O188">
        <v>0</v>
      </c>
    </row>
    <row r="189" spans="1:15" x14ac:dyDescent="0.3">
      <c r="A189" s="1">
        <v>45373</v>
      </c>
      <c r="B189" s="2" t="s">
        <v>11</v>
      </c>
      <c r="C189" s="2" t="s">
        <v>12</v>
      </c>
      <c r="D189" s="2" t="s">
        <v>13</v>
      </c>
      <c r="E189">
        <v>63.23</v>
      </c>
      <c r="F189">
        <v>46.74</v>
      </c>
      <c r="G189">
        <v>3</v>
      </c>
      <c r="H189">
        <f t="shared" si="2"/>
        <v>54735.250000000029</v>
      </c>
      <c r="I189" t="str">
        <f>IF(Sheet1[[#This Row],[Month_Revenue]] &lt; AVERAGE(Sheet1[Month_Revenue]), "Off-Peak", "Peak")</f>
        <v>Off-Peak</v>
      </c>
      <c r="J189">
        <f xml:space="preserve"> IF(Sheet1[[#This Row],[Ad Spend]] &gt; 0, (Sheet1[[#This Row],[Profit]] / Sheet1[[#This Row],[Ad Spend]]), 0)</f>
        <v>0.3528027385537012</v>
      </c>
      <c r="K189">
        <f>Sheet1[[#This Row],[Revenue]]-Sheet1[[#This Row],[Ad Spend]]</f>
        <v>16.489999999999995</v>
      </c>
      <c r="L189" s="2" t="s">
        <v>14</v>
      </c>
      <c r="M189">
        <v>3</v>
      </c>
      <c r="N189" s="2" t="s">
        <v>19</v>
      </c>
      <c r="O189">
        <v>21.076666666666664</v>
      </c>
    </row>
    <row r="190" spans="1:15" x14ac:dyDescent="0.3">
      <c r="A190" s="1">
        <v>45406</v>
      </c>
      <c r="B190" s="2" t="s">
        <v>20</v>
      </c>
      <c r="C190" s="2" t="s">
        <v>12</v>
      </c>
      <c r="D190" s="2" t="s">
        <v>13</v>
      </c>
      <c r="E190">
        <v>141.16</v>
      </c>
      <c r="F190">
        <v>3.68</v>
      </c>
      <c r="G190">
        <v>1</v>
      </c>
      <c r="H190">
        <f t="shared" si="2"/>
        <v>58562.910000000018</v>
      </c>
      <c r="I190" t="str">
        <f>IF(Sheet1[[#This Row],[Month_Revenue]] &lt; AVERAGE(Sheet1[Month_Revenue]), "Off-Peak", "Peak")</f>
        <v>Peak</v>
      </c>
      <c r="J190">
        <f xml:space="preserve"> IF(Sheet1[[#This Row],[Ad Spend]] &gt; 0, (Sheet1[[#This Row],[Profit]] / Sheet1[[#This Row],[Ad Spend]]), 0)</f>
        <v>37.358695652173907</v>
      </c>
      <c r="K190">
        <f>Sheet1[[#This Row],[Revenue]]-Sheet1[[#This Row],[Ad Spend]]</f>
        <v>137.47999999999999</v>
      </c>
      <c r="L190" s="2" t="s">
        <v>22</v>
      </c>
      <c r="M190">
        <v>4</v>
      </c>
      <c r="N190" s="2" t="s">
        <v>19</v>
      </c>
      <c r="O190">
        <v>141.16</v>
      </c>
    </row>
    <row r="191" spans="1:15" x14ac:dyDescent="0.3">
      <c r="A191" s="1">
        <v>45393</v>
      </c>
      <c r="B191" s="2" t="s">
        <v>11</v>
      </c>
      <c r="C191" s="2" t="s">
        <v>21</v>
      </c>
      <c r="D191" s="2" t="s">
        <v>13</v>
      </c>
      <c r="E191">
        <v>151.01</v>
      </c>
      <c r="F191">
        <v>45.67</v>
      </c>
      <c r="G191">
        <v>1</v>
      </c>
      <c r="H191">
        <f t="shared" si="2"/>
        <v>58562.910000000018</v>
      </c>
      <c r="I191" t="str">
        <f>IF(Sheet1[[#This Row],[Month_Revenue]] &lt; AVERAGE(Sheet1[Month_Revenue]), "Off-Peak", "Peak")</f>
        <v>Peak</v>
      </c>
      <c r="J191">
        <f xml:space="preserve"> IF(Sheet1[[#This Row],[Ad Spend]] &gt; 0, (Sheet1[[#This Row],[Profit]] / Sheet1[[#This Row],[Ad Spend]]), 0)</f>
        <v>2.3065469673746439</v>
      </c>
      <c r="K191">
        <f>Sheet1[[#This Row],[Revenue]]-Sheet1[[#This Row],[Ad Spend]]</f>
        <v>105.33999999999999</v>
      </c>
      <c r="L191" s="2" t="s">
        <v>14</v>
      </c>
      <c r="M191">
        <v>4</v>
      </c>
      <c r="N191" s="2" t="s">
        <v>19</v>
      </c>
      <c r="O191">
        <v>151.01</v>
      </c>
    </row>
    <row r="192" spans="1:15" x14ac:dyDescent="0.3">
      <c r="A192" s="1">
        <v>45307</v>
      </c>
      <c r="B192" s="2" t="s">
        <v>23</v>
      </c>
      <c r="C192" s="2" t="s">
        <v>12</v>
      </c>
      <c r="D192" s="2" t="s">
        <v>13</v>
      </c>
      <c r="E192">
        <v>132.01</v>
      </c>
      <c r="F192">
        <v>44.22</v>
      </c>
      <c r="G192">
        <v>0</v>
      </c>
      <c r="H192">
        <f t="shared" si="2"/>
        <v>61207.979999999989</v>
      </c>
      <c r="I192" t="str">
        <f>IF(Sheet1[[#This Row],[Month_Revenue]] &lt; AVERAGE(Sheet1[Month_Revenue]), "Off-Peak", "Peak")</f>
        <v>Peak</v>
      </c>
      <c r="J192">
        <f xml:space="preserve"> IF(Sheet1[[#This Row],[Ad Spend]] &gt; 0, (Sheet1[[#This Row],[Profit]] / Sheet1[[#This Row],[Ad Spend]]), 0)</f>
        <v>1.9853007688828583</v>
      </c>
      <c r="K192">
        <f>Sheet1[[#This Row],[Revenue]]-Sheet1[[#This Row],[Ad Spend]]</f>
        <v>87.789999999999992</v>
      </c>
      <c r="L192" s="2" t="s">
        <v>14</v>
      </c>
      <c r="M192">
        <v>1</v>
      </c>
      <c r="N192" s="2" t="s">
        <v>15</v>
      </c>
      <c r="O192">
        <v>0</v>
      </c>
    </row>
    <row r="193" spans="1:15" x14ac:dyDescent="0.3">
      <c r="A193" s="1">
        <v>45333</v>
      </c>
      <c r="B193" s="2" t="s">
        <v>16</v>
      </c>
      <c r="C193" s="2" t="s">
        <v>17</v>
      </c>
      <c r="D193" s="2" t="s">
        <v>18</v>
      </c>
      <c r="E193">
        <v>149.36000000000001</v>
      </c>
      <c r="F193">
        <v>2.5499999999999998</v>
      </c>
      <c r="G193">
        <v>2</v>
      </c>
      <c r="H193">
        <f t="shared" si="2"/>
        <v>48675.899999999936</v>
      </c>
      <c r="I193" t="str">
        <f>IF(Sheet1[[#This Row],[Month_Revenue]] &lt; AVERAGE(Sheet1[Month_Revenue]), "Off-Peak", "Peak")</f>
        <v>Off-Peak</v>
      </c>
      <c r="J193">
        <f xml:space="preserve"> IF(Sheet1[[#This Row],[Ad Spend]] &gt; 0, (Sheet1[[#This Row],[Profit]] / Sheet1[[#This Row],[Ad Spend]]), 0)</f>
        <v>57.572549019607848</v>
      </c>
      <c r="K193">
        <f>Sheet1[[#This Row],[Revenue]]-Sheet1[[#This Row],[Ad Spend]]</f>
        <v>146.81</v>
      </c>
      <c r="L193" s="2" t="s">
        <v>14</v>
      </c>
      <c r="M193">
        <v>2</v>
      </c>
      <c r="N193" s="2" t="s">
        <v>15</v>
      </c>
      <c r="O193">
        <v>74.680000000000007</v>
      </c>
    </row>
    <row r="194" spans="1:15" x14ac:dyDescent="0.3">
      <c r="A194" s="1">
        <v>45314</v>
      </c>
      <c r="B194" s="2" t="s">
        <v>24</v>
      </c>
      <c r="C194" s="2" t="s">
        <v>12</v>
      </c>
      <c r="D194" s="2" t="s">
        <v>18</v>
      </c>
      <c r="E194">
        <v>33.89</v>
      </c>
      <c r="F194">
        <v>23.62</v>
      </c>
      <c r="G194">
        <v>2</v>
      </c>
      <c r="H194">
        <f t="shared" ref="H194:H257" si="3">SUMIFS($E$2:$E$2001, $M$2:$M$2001, M194)</f>
        <v>61207.979999999989</v>
      </c>
      <c r="I194" t="str">
        <f>IF(Sheet1[[#This Row],[Month_Revenue]] &lt; AVERAGE(Sheet1[Month_Revenue]), "Off-Peak", "Peak")</f>
        <v>Peak</v>
      </c>
      <c r="J194">
        <f xml:space="preserve"> IF(Sheet1[[#This Row],[Ad Spend]] &gt; 0, (Sheet1[[#This Row],[Profit]] / Sheet1[[#This Row],[Ad Spend]]), 0)</f>
        <v>0.43480101608806093</v>
      </c>
      <c r="K194">
        <f>Sheet1[[#This Row],[Revenue]]-Sheet1[[#This Row],[Ad Spend]]</f>
        <v>10.27</v>
      </c>
      <c r="L194" s="2" t="s">
        <v>22</v>
      </c>
      <c r="M194">
        <v>1</v>
      </c>
      <c r="N194" s="2" t="s">
        <v>15</v>
      </c>
      <c r="O194">
        <v>16.945</v>
      </c>
    </row>
    <row r="195" spans="1:15" x14ac:dyDescent="0.3">
      <c r="A195" s="1">
        <v>45294</v>
      </c>
      <c r="B195" s="2" t="s">
        <v>23</v>
      </c>
      <c r="C195" s="2" t="s">
        <v>17</v>
      </c>
      <c r="D195" s="2" t="s">
        <v>13</v>
      </c>
      <c r="E195">
        <v>124.32</v>
      </c>
      <c r="F195">
        <v>35.65</v>
      </c>
      <c r="G195">
        <v>2</v>
      </c>
      <c r="H195">
        <f t="shared" si="3"/>
        <v>61207.979999999989</v>
      </c>
      <c r="I195" t="str">
        <f>IF(Sheet1[[#This Row],[Month_Revenue]] &lt; AVERAGE(Sheet1[Month_Revenue]), "Off-Peak", "Peak")</f>
        <v>Peak</v>
      </c>
      <c r="J195">
        <f xml:space="preserve"> IF(Sheet1[[#This Row],[Ad Spend]] &gt; 0, (Sheet1[[#This Row],[Profit]] / Sheet1[[#This Row],[Ad Spend]]), 0)</f>
        <v>2.487237026647966</v>
      </c>
      <c r="K195">
        <f>Sheet1[[#This Row],[Revenue]]-Sheet1[[#This Row],[Ad Spend]]</f>
        <v>88.669999999999987</v>
      </c>
      <c r="L195" s="2" t="s">
        <v>22</v>
      </c>
      <c r="M195">
        <v>1</v>
      </c>
      <c r="N195" s="2" t="s">
        <v>15</v>
      </c>
      <c r="O195">
        <v>62.16</v>
      </c>
    </row>
    <row r="196" spans="1:15" x14ac:dyDescent="0.3">
      <c r="A196" s="1">
        <v>45313</v>
      </c>
      <c r="B196" s="2" t="s">
        <v>11</v>
      </c>
      <c r="C196" s="2" t="s">
        <v>21</v>
      </c>
      <c r="D196" s="2" t="s">
        <v>13</v>
      </c>
      <c r="E196">
        <v>59.48</v>
      </c>
      <c r="F196">
        <v>24.08</v>
      </c>
      <c r="G196">
        <v>0</v>
      </c>
      <c r="H196">
        <f t="shared" si="3"/>
        <v>61207.979999999989</v>
      </c>
      <c r="I196" t="str">
        <f>IF(Sheet1[[#This Row],[Month_Revenue]] &lt; AVERAGE(Sheet1[Month_Revenue]), "Off-Peak", "Peak")</f>
        <v>Peak</v>
      </c>
      <c r="J196">
        <f xml:space="preserve"> IF(Sheet1[[#This Row],[Ad Spend]] &gt; 0, (Sheet1[[#This Row],[Profit]] / Sheet1[[#This Row],[Ad Spend]]), 0)</f>
        <v>1.4700996677740865</v>
      </c>
      <c r="K196">
        <f>Sheet1[[#This Row],[Revenue]]-Sheet1[[#This Row],[Ad Spend]]</f>
        <v>35.4</v>
      </c>
      <c r="L196" s="2" t="s">
        <v>22</v>
      </c>
      <c r="M196">
        <v>1</v>
      </c>
      <c r="N196" s="2" t="s">
        <v>15</v>
      </c>
      <c r="O196">
        <v>0</v>
      </c>
    </row>
    <row r="197" spans="1:15" x14ac:dyDescent="0.3">
      <c r="A197" s="1">
        <v>45354</v>
      </c>
      <c r="B197" s="2" t="s">
        <v>16</v>
      </c>
      <c r="C197" s="2" t="s">
        <v>21</v>
      </c>
      <c r="D197" s="2" t="s">
        <v>13</v>
      </c>
      <c r="E197">
        <v>110.72</v>
      </c>
      <c r="F197">
        <v>48.94</v>
      </c>
      <c r="G197">
        <v>1</v>
      </c>
      <c r="H197">
        <f t="shared" si="3"/>
        <v>54735.250000000029</v>
      </c>
      <c r="I197" t="str">
        <f>IF(Sheet1[[#This Row],[Month_Revenue]] &lt; AVERAGE(Sheet1[Month_Revenue]), "Off-Peak", "Peak")</f>
        <v>Off-Peak</v>
      </c>
      <c r="J197">
        <f xml:space="preserve"> IF(Sheet1[[#This Row],[Ad Spend]] &gt; 0, (Sheet1[[#This Row],[Profit]] / Sheet1[[#This Row],[Ad Spend]]), 0)</f>
        <v>1.2623620760114427</v>
      </c>
      <c r="K197">
        <f>Sheet1[[#This Row],[Revenue]]-Sheet1[[#This Row],[Ad Spend]]</f>
        <v>61.78</v>
      </c>
      <c r="L197" s="2" t="s">
        <v>14</v>
      </c>
      <c r="M197">
        <v>3</v>
      </c>
      <c r="N197" s="2" t="s">
        <v>19</v>
      </c>
      <c r="O197">
        <v>110.72</v>
      </c>
    </row>
    <row r="198" spans="1:15" x14ac:dyDescent="0.3">
      <c r="A198" s="1">
        <v>45317</v>
      </c>
      <c r="B198" s="2" t="s">
        <v>20</v>
      </c>
      <c r="C198" s="2" t="s">
        <v>21</v>
      </c>
      <c r="D198" s="2" t="s">
        <v>13</v>
      </c>
      <c r="E198">
        <v>100.53</v>
      </c>
      <c r="F198">
        <v>31.83</v>
      </c>
      <c r="G198">
        <v>1</v>
      </c>
      <c r="H198">
        <f t="shared" si="3"/>
        <v>61207.979999999989</v>
      </c>
      <c r="I198" t="str">
        <f>IF(Sheet1[[#This Row],[Month_Revenue]] &lt; AVERAGE(Sheet1[Month_Revenue]), "Off-Peak", "Peak")</f>
        <v>Peak</v>
      </c>
      <c r="J198">
        <f xml:space="preserve"> IF(Sheet1[[#This Row],[Ad Spend]] &gt; 0, (Sheet1[[#This Row],[Profit]] / Sheet1[[#This Row],[Ad Spend]]), 0)</f>
        <v>2.1583411875589067</v>
      </c>
      <c r="K198">
        <f>Sheet1[[#This Row],[Revenue]]-Sheet1[[#This Row],[Ad Spend]]</f>
        <v>68.7</v>
      </c>
      <c r="L198" s="2" t="s">
        <v>14</v>
      </c>
      <c r="M198">
        <v>1</v>
      </c>
      <c r="N198" s="2" t="s">
        <v>15</v>
      </c>
      <c r="O198">
        <v>100.53</v>
      </c>
    </row>
    <row r="199" spans="1:15" x14ac:dyDescent="0.3">
      <c r="A199" s="1">
        <v>45296</v>
      </c>
      <c r="B199" s="2" t="s">
        <v>24</v>
      </c>
      <c r="C199" s="2" t="s">
        <v>12</v>
      </c>
      <c r="D199" s="2" t="s">
        <v>18</v>
      </c>
      <c r="E199">
        <v>76.55</v>
      </c>
      <c r="F199">
        <v>21.65</v>
      </c>
      <c r="G199">
        <v>3</v>
      </c>
      <c r="H199">
        <f t="shared" si="3"/>
        <v>61207.979999999989</v>
      </c>
      <c r="I199" t="str">
        <f>IF(Sheet1[[#This Row],[Month_Revenue]] &lt; AVERAGE(Sheet1[Month_Revenue]), "Off-Peak", "Peak")</f>
        <v>Peak</v>
      </c>
      <c r="J199">
        <f xml:space="preserve"> IF(Sheet1[[#This Row],[Ad Spend]] &gt; 0, (Sheet1[[#This Row],[Profit]] / Sheet1[[#This Row],[Ad Spend]]), 0)</f>
        <v>2.535796766743649</v>
      </c>
      <c r="K199">
        <f>Sheet1[[#This Row],[Revenue]]-Sheet1[[#This Row],[Ad Spend]]</f>
        <v>54.9</v>
      </c>
      <c r="L199" s="2" t="s">
        <v>14</v>
      </c>
      <c r="M199">
        <v>1</v>
      </c>
      <c r="N199" s="2" t="s">
        <v>15</v>
      </c>
      <c r="O199">
        <v>25.516666666666666</v>
      </c>
    </row>
    <row r="200" spans="1:15" x14ac:dyDescent="0.3">
      <c r="A200" s="1">
        <v>45412</v>
      </c>
      <c r="B200" s="2" t="s">
        <v>11</v>
      </c>
      <c r="C200" s="2" t="s">
        <v>17</v>
      </c>
      <c r="D200" s="2" t="s">
        <v>18</v>
      </c>
      <c r="E200">
        <v>66.25</v>
      </c>
      <c r="F200">
        <v>16.78</v>
      </c>
      <c r="G200">
        <v>2</v>
      </c>
      <c r="H200">
        <f t="shared" si="3"/>
        <v>58562.910000000018</v>
      </c>
      <c r="I200" t="str">
        <f>IF(Sheet1[[#This Row],[Month_Revenue]] &lt; AVERAGE(Sheet1[Month_Revenue]), "Off-Peak", "Peak")</f>
        <v>Peak</v>
      </c>
      <c r="J200">
        <f xml:space="preserve"> IF(Sheet1[[#This Row],[Ad Spend]] &gt; 0, (Sheet1[[#This Row],[Profit]] / Sheet1[[#This Row],[Ad Spend]]), 0)</f>
        <v>2.9481525625744931</v>
      </c>
      <c r="K200">
        <f>Sheet1[[#This Row],[Revenue]]-Sheet1[[#This Row],[Ad Spend]]</f>
        <v>49.47</v>
      </c>
      <c r="L200" s="2" t="s">
        <v>14</v>
      </c>
      <c r="M200">
        <v>4</v>
      </c>
      <c r="N200" s="2" t="s">
        <v>19</v>
      </c>
      <c r="O200">
        <v>33.125</v>
      </c>
    </row>
    <row r="201" spans="1:15" x14ac:dyDescent="0.3">
      <c r="A201" s="1">
        <v>45375</v>
      </c>
      <c r="B201" s="2" t="s">
        <v>11</v>
      </c>
      <c r="C201" s="2" t="s">
        <v>12</v>
      </c>
      <c r="D201" s="2" t="s">
        <v>18</v>
      </c>
      <c r="E201">
        <v>197.49</v>
      </c>
      <c r="F201">
        <v>41.41</v>
      </c>
      <c r="G201">
        <v>0</v>
      </c>
      <c r="H201">
        <f t="shared" si="3"/>
        <v>54735.250000000029</v>
      </c>
      <c r="I201" t="str">
        <f>IF(Sheet1[[#This Row],[Month_Revenue]] &lt; AVERAGE(Sheet1[Month_Revenue]), "Off-Peak", "Peak")</f>
        <v>Off-Peak</v>
      </c>
      <c r="J201">
        <f xml:space="preserve"> IF(Sheet1[[#This Row],[Ad Spend]] &gt; 0, (Sheet1[[#This Row],[Profit]] / Sheet1[[#This Row],[Ad Spend]]), 0)</f>
        <v>3.7691378893986967</v>
      </c>
      <c r="K201">
        <f>Sheet1[[#This Row],[Revenue]]-Sheet1[[#This Row],[Ad Spend]]</f>
        <v>156.08000000000001</v>
      </c>
      <c r="L201" s="2" t="s">
        <v>14</v>
      </c>
      <c r="M201">
        <v>3</v>
      </c>
      <c r="N201" s="2" t="s">
        <v>19</v>
      </c>
      <c r="O201">
        <v>0</v>
      </c>
    </row>
    <row r="202" spans="1:15" x14ac:dyDescent="0.3">
      <c r="A202" s="1">
        <v>45297</v>
      </c>
      <c r="B202" s="2" t="s">
        <v>23</v>
      </c>
      <c r="C202" s="2" t="s">
        <v>12</v>
      </c>
      <c r="D202" s="2" t="s">
        <v>18</v>
      </c>
      <c r="E202">
        <v>150.49</v>
      </c>
      <c r="F202">
        <v>20.399999999999999</v>
      </c>
      <c r="G202">
        <v>3</v>
      </c>
      <c r="H202">
        <f t="shared" si="3"/>
        <v>61207.979999999989</v>
      </c>
      <c r="I202" t="str">
        <f>IF(Sheet1[[#This Row],[Month_Revenue]] &lt; AVERAGE(Sheet1[Month_Revenue]), "Off-Peak", "Peak")</f>
        <v>Peak</v>
      </c>
      <c r="J202">
        <f xml:space="preserve"> IF(Sheet1[[#This Row],[Ad Spend]] &gt; 0, (Sheet1[[#This Row],[Profit]] / Sheet1[[#This Row],[Ad Spend]]), 0)</f>
        <v>6.3769607843137264</v>
      </c>
      <c r="K202">
        <f>Sheet1[[#This Row],[Revenue]]-Sheet1[[#This Row],[Ad Spend]]</f>
        <v>130.09</v>
      </c>
      <c r="L202" s="2" t="s">
        <v>14</v>
      </c>
      <c r="M202">
        <v>1</v>
      </c>
      <c r="N202" s="2" t="s">
        <v>15</v>
      </c>
      <c r="O202">
        <v>50.163333333333334</v>
      </c>
    </row>
    <row r="203" spans="1:15" x14ac:dyDescent="0.3">
      <c r="A203" s="1">
        <v>45354</v>
      </c>
      <c r="B203" s="2" t="s">
        <v>24</v>
      </c>
      <c r="C203" s="2" t="s">
        <v>17</v>
      </c>
      <c r="D203" s="2" t="s">
        <v>18</v>
      </c>
      <c r="E203">
        <v>31.72</v>
      </c>
      <c r="F203">
        <v>26.19</v>
      </c>
      <c r="G203">
        <v>1</v>
      </c>
      <c r="H203">
        <f t="shared" si="3"/>
        <v>54735.250000000029</v>
      </c>
      <c r="I203" t="str">
        <f>IF(Sheet1[[#This Row],[Month_Revenue]] &lt; AVERAGE(Sheet1[Month_Revenue]), "Off-Peak", "Peak")</f>
        <v>Off-Peak</v>
      </c>
      <c r="J203">
        <f xml:space="preserve"> IF(Sheet1[[#This Row],[Ad Spend]] &gt; 0, (Sheet1[[#This Row],[Profit]] / Sheet1[[#This Row],[Ad Spend]]), 0)</f>
        <v>0.21114929362352033</v>
      </c>
      <c r="K203">
        <f>Sheet1[[#This Row],[Revenue]]-Sheet1[[#This Row],[Ad Spend]]</f>
        <v>5.5299999999999976</v>
      </c>
      <c r="L203" s="2" t="s">
        <v>22</v>
      </c>
      <c r="M203">
        <v>3</v>
      </c>
      <c r="N203" s="2" t="s">
        <v>19</v>
      </c>
      <c r="O203">
        <v>31.72</v>
      </c>
    </row>
    <row r="204" spans="1:15" x14ac:dyDescent="0.3">
      <c r="A204" s="1">
        <v>45321</v>
      </c>
      <c r="B204" s="2" t="s">
        <v>16</v>
      </c>
      <c r="C204" s="2" t="s">
        <v>21</v>
      </c>
      <c r="D204" s="2" t="s">
        <v>18</v>
      </c>
      <c r="E204">
        <v>192.91</v>
      </c>
      <c r="F204">
        <v>28.12</v>
      </c>
      <c r="G204">
        <v>0</v>
      </c>
      <c r="H204">
        <f t="shared" si="3"/>
        <v>61207.979999999989</v>
      </c>
      <c r="I204" t="str">
        <f>IF(Sheet1[[#This Row],[Month_Revenue]] &lt; AVERAGE(Sheet1[Month_Revenue]), "Off-Peak", "Peak")</f>
        <v>Peak</v>
      </c>
      <c r="J204">
        <f xml:space="preserve"> IF(Sheet1[[#This Row],[Ad Spend]] &gt; 0, (Sheet1[[#This Row],[Profit]] / Sheet1[[#This Row],[Ad Spend]]), 0)</f>
        <v>5.8602418207681364</v>
      </c>
      <c r="K204">
        <f>Sheet1[[#This Row],[Revenue]]-Sheet1[[#This Row],[Ad Spend]]</f>
        <v>164.79</v>
      </c>
      <c r="L204" s="2" t="s">
        <v>14</v>
      </c>
      <c r="M204">
        <v>1</v>
      </c>
      <c r="N204" s="2" t="s">
        <v>15</v>
      </c>
      <c r="O204">
        <v>0</v>
      </c>
    </row>
    <row r="205" spans="1:15" x14ac:dyDescent="0.3">
      <c r="A205" s="1">
        <v>45404</v>
      </c>
      <c r="B205" s="2" t="s">
        <v>20</v>
      </c>
      <c r="C205" s="2" t="s">
        <v>21</v>
      </c>
      <c r="D205" s="2" t="s">
        <v>13</v>
      </c>
      <c r="E205">
        <v>145.93</v>
      </c>
      <c r="F205">
        <v>0.61</v>
      </c>
      <c r="G205">
        <v>3</v>
      </c>
      <c r="H205">
        <f t="shared" si="3"/>
        <v>58562.910000000018</v>
      </c>
      <c r="I205" t="str">
        <f>IF(Sheet1[[#This Row],[Month_Revenue]] &lt; AVERAGE(Sheet1[Month_Revenue]), "Off-Peak", "Peak")</f>
        <v>Peak</v>
      </c>
      <c r="J205">
        <f xml:space="preserve"> IF(Sheet1[[#This Row],[Ad Spend]] &gt; 0, (Sheet1[[#This Row],[Profit]] / Sheet1[[#This Row],[Ad Spend]]), 0)</f>
        <v>238.2295081967213</v>
      </c>
      <c r="K205">
        <f>Sheet1[[#This Row],[Revenue]]-Sheet1[[#This Row],[Ad Spend]]</f>
        <v>145.32</v>
      </c>
      <c r="L205" s="2" t="s">
        <v>22</v>
      </c>
      <c r="M205">
        <v>4</v>
      </c>
      <c r="N205" s="2" t="s">
        <v>19</v>
      </c>
      <c r="O205">
        <v>48.643333333333338</v>
      </c>
    </row>
    <row r="206" spans="1:15" x14ac:dyDescent="0.3">
      <c r="A206" s="1">
        <v>45386</v>
      </c>
      <c r="B206" s="2" t="s">
        <v>11</v>
      </c>
      <c r="C206" s="2" t="s">
        <v>17</v>
      </c>
      <c r="D206" s="2" t="s">
        <v>18</v>
      </c>
      <c r="E206">
        <v>79.73</v>
      </c>
      <c r="F206">
        <v>49.63</v>
      </c>
      <c r="G206">
        <v>2</v>
      </c>
      <c r="H206">
        <f t="shared" si="3"/>
        <v>58562.910000000018</v>
      </c>
      <c r="I206" t="str">
        <f>IF(Sheet1[[#This Row],[Month_Revenue]] &lt; AVERAGE(Sheet1[Month_Revenue]), "Off-Peak", "Peak")</f>
        <v>Peak</v>
      </c>
      <c r="J206">
        <f xml:space="preserve"> IF(Sheet1[[#This Row],[Ad Spend]] &gt; 0, (Sheet1[[#This Row],[Profit]] / Sheet1[[#This Row],[Ad Spend]]), 0)</f>
        <v>0.60648801128349783</v>
      </c>
      <c r="K206">
        <f>Sheet1[[#This Row],[Revenue]]-Sheet1[[#This Row],[Ad Spend]]</f>
        <v>30.1</v>
      </c>
      <c r="L206" s="2" t="s">
        <v>14</v>
      </c>
      <c r="M206">
        <v>4</v>
      </c>
      <c r="N206" s="2" t="s">
        <v>19</v>
      </c>
      <c r="O206">
        <v>39.865000000000002</v>
      </c>
    </row>
    <row r="207" spans="1:15" x14ac:dyDescent="0.3">
      <c r="A207" s="1">
        <v>45314</v>
      </c>
      <c r="B207" s="2" t="s">
        <v>23</v>
      </c>
      <c r="C207" s="2" t="s">
        <v>21</v>
      </c>
      <c r="D207" s="2" t="s">
        <v>18</v>
      </c>
      <c r="E207">
        <v>165.98</v>
      </c>
      <c r="F207">
        <v>36.76</v>
      </c>
      <c r="G207">
        <v>3</v>
      </c>
      <c r="H207">
        <f t="shared" si="3"/>
        <v>61207.979999999989</v>
      </c>
      <c r="I207" t="str">
        <f>IF(Sheet1[[#This Row],[Month_Revenue]] &lt; AVERAGE(Sheet1[Month_Revenue]), "Off-Peak", "Peak")</f>
        <v>Peak</v>
      </c>
      <c r="J207">
        <f xml:space="preserve"> IF(Sheet1[[#This Row],[Ad Spend]] &gt; 0, (Sheet1[[#This Row],[Profit]] / Sheet1[[#This Row],[Ad Spend]]), 0)</f>
        <v>3.5152339499455931</v>
      </c>
      <c r="K207">
        <f>Sheet1[[#This Row],[Revenue]]-Sheet1[[#This Row],[Ad Spend]]</f>
        <v>129.22</v>
      </c>
      <c r="L207" s="2" t="s">
        <v>14</v>
      </c>
      <c r="M207">
        <v>1</v>
      </c>
      <c r="N207" s="2" t="s">
        <v>15</v>
      </c>
      <c r="O207">
        <v>55.326666666666661</v>
      </c>
    </row>
    <row r="208" spans="1:15" x14ac:dyDescent="0.3">
      <c r="A208" s="1">
        <v>45403</v>
      </c>
      <c r="B208" s="2" t="s">
        <v>16</v>
      </c>
      <c r="C208" s="2" t="s">
        <v>12</v>
      </c>
      <c r="D208" s="2" t="s">
        <v>13</v>
      </c>
      <c r="E208">
        <v>97.63</v>
      </c>
      <c r="F208">
        <v>45.7</v>
      </c>
      <c r="G208">
        <v>3</v>
      </c>
      <c r="H208">
        <f t="shared" si="3"/>
        <v>58562.910000000018</v>
      </c>
      <c r="I208" t="str">
        <f>IF(Sheet1[[#This Row],[Month_Revenue]] &lt; AVERAGE(Sheet1[Month_Revenue]), "Off-Peak", "Peak")</f>
        <v>Peak</v>
      </c>
      <c r="J208">
        <f xml:space="preserve"> IF(Sheet1[[#This Row],[Ad Spend]] &gt; 0, (Sheet1[[#This Row],[Profit]] / Sheet1[[#This Row],[Ad Spend]]), 0)</f>
        <v>1.1363238512035008</v>
      </c>
      <c r="K208">
        <f>Sheet1[[#This Row],[Revenue]]-Sheet1[[#This Row],[Ad Spend]]</f>
        <v>51.929999999999993</v>
      </c>
      <c r="L208" s="2" t="s">
        <v>22</v>
      </c>
      <c r="M208">
        <v>4</v>
      </c>
      <c r="N208" s="2" t="s">
        <v>19</v>
      </c>
      <c r="O208">
        <v>32.543333333333329</v>
      </c>
    </row>
    <row r="209" spans="1:15" x14ac:dyDescent="0.3">
      <c r="A209" s="1">
        <v>45397</v>
      </c>
      <c r="B209" s="2" t="s">
        <v>16</v>
      </c>
      <c r="C209" s="2" t="s">
        <v>17</v>
      </c>
      <c r="D209" s="2" t="s">
        <v>13</v>
      </c>
      <c r="E209">
        <v>163.32</v>
      </c>
      <c r="F209">
        <v>26.39</v>
      </c>
      <c r="G209">
        <v>0</v>
      </c>
      <c r="H209">
        <f t="shared" si="3"/>
        <v>58562.910000000018</v>
      </c>
      <c r="I209" t="str">
        <f>IF(Sheet1[[#This Row],[Month_Revenue]] &lt; AVERAGE(Sheet1[Month_Revenue]), "Off-Peak", "Peak")</f>
        <v>Peak</v>
      </c>
      <c r="J209">
        <f xml:space="preserve"> IF(Sheet1[[#This Row],[Ad Spend]] &gt; 0, (Sheet1[[#This Row],[Profit]] / Sheet1[[#This Row],[Ad Spend]]), 0)</f>
        <v>5.1887078438802581</v>
      </c>
      <c r="K209">
        <f>Sheet1[[#This Row],[Revenue]]-Sheet1[[#This Row],[Ad Spend]]</f>
        <v>136.93</v>
      </c>
      <c r="L209" s="2" t="s">
        <v>22</v>
      </c>
      <c r="M209">
        <v>4</v>
      </c>
      <c r="N209" s="2" t="s">
        <v>19</v>
      </c>
      <c r="O209">
        <v>0</v>
      </c>
    </row>
    <row r="210" spans="1:15" x14ac:dyDescent="0.3">
      <c r="A210" s="1">
        <v>45347</v>
      </c>
      <c r="B210" s="2" t="s">
        <v>23</v>
      </c>
      <c r="C210" s="2" t="s">
        <v>17</v>
      </c>
      <c r="D210" s="2" t="s">
        <v>13</v>
      </c>
      <c r="E210">
        <v>27.86</v>
      </c>
      <c r="F210">
        <v>1.86</v>
      </c>
      <c r="G210">
        <v>1</v>
      </c>
      <c r="H210">
        <f t="shared" si="3"/>
        <v>48675.899999999936</v>
      </c>
      <c r="I210" t="str">
        <f>IF(Sheet1[[#This Row],[Month_Revenue]] &lt; AVERAGE(Sheet1[Month_Revenue]), "Off-Peak", "Peak")</f>
        <v>Off-Peak</v>
      </c>
      <c r="J210">
        <f xml:space="preserve"> IF(Sheet1[[#This Row],[Ad Spend]] &gt; 0, (Sheet1[[#This Row],[Profit]] / Sheet1[[#This Row],[Ad Spend]]), 0)</f>
        <v>13.978494623655914</v>
      </c>
      <c r="K210">
        <f>Sheet1[[#This Row],[Revenue]]-Sheet1[[#This Row],[Ad Spend]]</f>
        <v>26</v>
      </c>
      <c r="L210" s="2" t="s">
        <v>14</v>
      </c>
      <c r="M210">
        <v>2</v>
      </c>
      <c r="N210" s="2" t="s">
        <v>15</v>
      </c>
      <c r="O210">
        <v>27.86</v>
      </c>
    </row>
    <row r="211" spans="1:15" x14ac:dyDescent="0.3">
      <c r="A211" s="1">
        <v>45303</v>
      </c>
      <c r="B211" s="2" t="s">
        <v>16</v>
      </c>
      <c r="C211" s="2" t="s">
        <v>12</v>
      </c>
      <c r="D211" s="2" t="s">
        <v>13</v>
      </c>
      <c r="E211">
        <v>158.16999999999999</v>
      </c>
      <c r="F211">
        <v>25.96</v>
      </c>
      <c r="G211">
        <v>1</v>
      </c>
      <c r="H211">
        <f t="shared" si="3"/>
        <v>61207.979999999989</v>
      </c>
      <c r="I211" t="str">
        <f>IF(Sheet1[[#This Row],[Month_Revenue]] &lt; AVERAGE(Sheet1[Month_Revenue]), "Off-Peak", "Peak")</f>
        <v>Peak</v>
      </c>
      <c r="J211">
        <f xml:space="preserve"> IF(Sheet1[[#This Row],[Ad Spend]] &gt; 0, (Sheet1[[#This Row],[Profit]] / Sheet1[[#This Row],[Ad Spend]]), 0)</f>
        <v>5.0928351309707232</v>
      </c>
      <c r="K211">
        <f>Sheet1[[#This Row],[Revenue]]-Sheet1[[#This Row],[Ad Spend]]</f>
        <v>132.20999999999998</v>
      </c>
      <c r="L211" s="2" t="s">
        <v>22</v>
      </c>
      <c r="M211">
        <v>1</v>
      </c>
      <c r="N211" s="2" t="s">
        <v>15</v>
      </c>
      <c r="O211">
        <v>158.16999999999999</v>
      </c>
    </row>
    <row r="212" spans="1:15" x14ac:dyDescent="0.3">
      <c r="A212" s="1">
        <v>45370</v>
      </c>
      <c r="B212" s="2" t="s">
        <v>16</v>
      </c>
      <c r="C212" s="2" t="s">
        <v>17</v>
      </c>
      <c r="D212" s="2" t="s">
        <v>18</v>
      </c>
      <c r="E212">
        <v>77.86</v>
      </c>
      <c r="F212">
        <v>17.46</v>
      </c>
      <c r="G212">
        <v>3</v>
      </c>
      <c r="H212">
        <f t="shared" si="3"/>
        <v>54735.250000000029</v>
      </c>
      <c r="I212" t="str">
        <f>IF(Sheet1[[#This Row],[Month_Revenue]] &lt; AVERAGE(Sheet1[Month_Revenue]), "Off-Peak", "Peak")</f>
        <v>Off-Peak</v>
      </c>
      <c r="J212">
        <f xml:space="preserve"> IF(Sheet1[[#This Row],[Ad Spend]] &gt; 0, (Sheet1[[#This Row],[Profit]] / Sheet1[[#This Row],[Ad Spend]]), 0)</f>
        <v>3.4593356242840776</v>
      </c>
      <c r="K212">
        <f>Sheet1[[#This Row],[Revenue]]-Sheet1[[#This Row],[Ad Spend]]</f>
        <v>60.4</v>
      </c>
      <c r="L212" s="2" t="s">
        <v>22</v>
      </c>
      <c r="M212">
        <v>3</v>
      </c>
      <c r="N212" s="2" t="s">
        <v>19</v>
      </c>
      <c r="O212">
        <v>25.953333333333333</v>
      </c>
    </row>
    <row r="213" spans="1:15" x14ac:dyDescent="0.3">
      <c r="A213" s="1">
        <v>45373</v>
      </c>
      <c r="B213" s="2" t="s">
        <v>24</v>
      </c>
      <c r="C213" s="2" t="s">
        <v>21</v>
      </c>
      <c r="D213" s="2" t="s">
        <v>18</v>
      </c>
      <c r="E213">
        <v>197.08</v>
      </c>
      <c r="F213">
        <v>16.100000000000001</v>
      </c>
      <c r="G213">
        <v>0</v>
      </c>
      <c r="H213">
        <f t="shared" si="3"/>
        <v>54735.250000000029</v>
      </c>
      <c r="I213" t="str">
        <f>IF(Sheet1[[#This Row],[Month_Revenue]] &lt; AVERAGE(Sheet1[Month_Revenue]), "Off-Peak", "Peak")</f>
        <v>Off-Peak</v>
      </c>
      <c r="J213">
        <f xml:space="preserve"> IF(Sheet1[[#This Row],[Ad Spend]] &gt; 0, (Sheet1[[#This Row],[Profit]] / Sheet1[[#This Row],[Ad Spend]]), 0)</f>
        <v>11.240993788819877</v>
      </c>
      <c r="K213">
        <f>Sheet1[[#This Row],[Revenue]]-Sheet1[[#This Row],[Ad Spend]]</f>
        <v>180.98000000000002</v>
      </c>
      <c r="L213" s="2" t="s">
        <v>22</v>
      </c>
      <c r="M213">
        <v>3</v>
      </c>
      <c r="N213" s="2" t="s">
        <v>19</v>
      </c>
      <c r="O213">
        <v>0</v>
      </c>
    </row>
    <row r="214" spans="1:15" x14ac:dyDescent="0.3">
      <c r="A214" s="1">
        <v>45378</v>
      </c>
      <c r="B214" s="2" t="s">
        <v>23</v>
      </c>
      <c r="C214" s="2" t="s">
        <v>17</v>
      </c>
      <c r="D214" s="2" t="s">
        <v>18</v>
      </c>
      <c r="E214">
        <v>71.81</v>
      </c>
      <c r="F214">
        <v>15.32</v>
      </c>
      <c r="G214">
        <v>2</v>
      </c>
      <c r="H214">
        <f t="shared" si="3"/>
        <v>54735.250000000029</v>
      </c>
      <c r="I214" t="str">
        <f>IF(Sheet1[[#This Row],[Month_Revenue]] &lt; AVERAGE(Sheet1[Month_Revenue]), "Off-Peak", "Peak")</f>
        <v>Off-Peak</v>
      </c>
      <c r="J214">
        <f xml:space="preserve"> IF(Sheet1[[#This Row],[Ad Spend]] &gt; 0, (Sheet1[[#This Row],[Profit]] / Sheet1[[#This Row],[Ad Spend]]), 0)</f>
        <v>3.6873368146214101</v>
      </c>
      <c r="K214">
        <f>Sheet1[[#This Row],[Revenue]]-Sheet1[[#This Row],[Ad Spend]]</f>
        <v>56.49</v>
      </c>
      <c r="L214" s="2" t="s">
        <v>22</v>
      </c>
      <c r="M214">
        <v>3</v>
      </c>
      <c r="N214" s="2" t="s">
        <v>19</v>
      </c>
      <c r="O214">
        <v>35.905000000000001</v>
      </c>
    </row>
    <row r="215" spans="1:15" x14ac:dyDescent="0.3">
      <c r="A215" s="1">
        <v>45352</v>
      </c>
      <c r="B215" s="2" t="s">
        <v>16</v>
      </c>
      <c r="C215" s="2" t="s">
        <v>17</v>
      </c>
      <c r="D215" s="2" t="s">
        <v>13</v>
      </c>
      <c r="E215">
        <v>56.05</v>
      </c>
      <c r="F215">
        <v>40.21</v>
      </c>
      <c r="G215">
        <v>3</v>
      </c>
      <c r="H215">
        <f t="shared" si="3"/>
        <v>54735.250000000029</v>
      </c>
      <c r="I215" t="str">
        <f>IF(Sheet1[[#This Row],[Month_Revenue]] &lt; AVERAGE(Sheet1[Month_Revenue]), "Off-Peak", "Peak")</f>
        <v>Off-Peak</v>
      </c>
      <c r="J215">
        <f xml:space="preserve"> IF(Sheet1[[#This Row],[Ad Spend]] &gt; 0, (Sheet1[[#This Row],[Profit]] / Sheet1[[#This Row],[Ad Spend]]), 0)</f>
        <v>0.39393185774682904</v>
      </c>
      <c r="K215">
        <f>Sheet1[[#This Row],[Revenue]]-Sheet1[[#This Row],[Ad Spend]]</f>
        <v>15.839999999999996</v>
      </c>
      <c r="L215" s="2" t="s">
        <v>22</v>
      </c>
      <c r="M215">
        <v>3</v>
      </c>
      <c r="N215" s="2" t="s">
        <v>19</v>
      </c>
      <c r="O215">
        <v>18.683333333333334</v>
      </c>
    </row>
    <row r="216" spans="1:15" x14ac:dyDescent="0.3">
      <c r="A216" s="1">
        <v>45332</v>
      </c>
      <c r="B216" s="2" t="s">
        <v>23</v>
      </c>
      <c r="C216" s="2" t="s">
        <v>21</v>
      </c>
      <c r="D216" s="2" t="s">
        <v>18</v>
      </c>
      <c r="E216">
        <v>78.27</v>
      </c>
      <c r="F216">
        <v>27.6</v>
      </c>
      <c r="G216">
        <v>0</v>
      </c>
      <c r="H216">
        <f t="shared" si="3"/>
        <v>48675.899999999936</v>
      </c>
      <c r="I216" t="str">
        <f>IF(Sheet1[[#This Row],[Month_Revenue]] &lt; AVERAGE(Sheet1[Month_Revenue]), "Off-Peak", "Peak")</f>
        <v>Off-Peak</v>
      </c>
      <c r="J216">
        <f xml:space="preserve"> IF(Sheet1[[#This Row],[Ad Spend]] &gt; 0, (Sheet1[[#This Row],[Profit]] / Sheet1[[#This Row],[Ad Spend]]), 0)</f>
        <v>1.8358695652173911</v>
      </c>
      <c r="K216">
        <f>Sheet1[[#This Row],[Revenue]]-Sheet1[[#This Row],[Ad Spend]]</f>
        <v>50.669999999999995</v>
      </c>
      <c r="L216" s="2" t="s">
        <v>14</v>
      </c>
      <c r="M216">
        <v>2</v>
      </c>
      <c r="N216" s="2" t="s">
        <v>15</v>
      </c>
      <c r="O216">
        <v>0</v>
      </c>
    </row>
    <row r="217" spans="1:15" x14ac:dyDescent="0.3">
      <c r="A217" s="1">
        <v>45294</v>
      </c>
      <c r="B217" s="2" t="s">
        <v>11</v>
      </c>
      <c r="C217" s="2" t="s">
        <v>12</v>
      </c>
      <c r="D217" s="2" t="s">
        <v>18</v>
      </c>
      <c r="E217">
        <v>123.06</v>
      </c>
      <c r="F217">
        <v>13.91</v>
      </c>
      <c r="G217">
        <v>2</v>
      </c>
      <c r="H217">
        <f t="shared" si="3"/>
        <v>61207.979999999989</v>
      </c>
      <c r="I217" t="str">
        <f>IF(Sheet1[[#This Row],[Month_Revenue]] &lt; AVERAGE(Sheet1[Month_Revenue]), "Off-Peak", "Peak")</f>
        <v>Peak</v>
      </c>
      <c r="J217">
        <f xml:space="preserve"> IF(Sheet1[[#This Row],[Ad Spend]] &gt; 0, (Sheet1[[#This Row],[Profit]] / Sheet1[[#This Row],[Ad Spend]]), 0)</f>
        <v>7.8468727534148099</v>
      </c>
      <c r="K217">
        <f>Sheet1[[#This Row],[Revenue]]-Sheet1[[#This Row],[Ad Spend]]</f>
        <v>109.15</v>
      </c>
      <c r="L217" s="2" t="s">
        <v>14</v>
      </c>
      <c r="M217">
        <v>1</v>
      </c>
      <c r="N217" s="2" t="s">
        <v>15</v>
      </c>
      <c r="O217">
        <v>61.53</v>
      </c>
    </row>
    <row r="218" spans="1:15" x14ac:dyDescent="0.3">
      <c r="A218" s="1">
        <v>45365</v>
      </c>
      <c r="B218" s="2" t="s">
        <v>23</v>
      </c>
      <c r="C218" s="2" t="s">
        <v>12</v>
      </c>
      <c r="D218" s="2" t="s">
        <v>18</v>
      </c>
      <c r="E218">
        <v>162.82</v>
      </c>
      <c r="F218">
        <v>43.63</v>
      </c>
      <c r="G218">
        <v>1</v>
      </c>
      <c r="H218">
        <f t="shared" si="3"/>
        <v>54735.250000000029</v>
      </c>
      <c r="I218" t="str">
        <f>IF(Sheet1[[#This Row],[Month_Revenue]] &lt; AVERAGE(Sheet1[Month_Revenue]), "Off-Peak", "Peak")</f>
        <v>Off-Peak</v>
      </c>
      <c r="J218">
        <f xml:space="preserve"> IF(Sheet1[[#This Row],[Ad Spend]] &gt; 0, (Sheet1[[#This Row],[Profit]] / Sheet1[[#This Row],[Ad Spend]]), 0)</f>
        <v>2.7318358927343569</v>
      </c>
      <c r="K218">
        <f>Sheet1[[#This Row],[Revenue]]-Sheet1[[#This Row],[Ad Spend]]</f>
        <v>119.19</v>
      </c>
      <c r="L218" s="2" t="s">
        <v>22</v>
      </c>
      <c r="M218">
        <v>3</v>
      </c>
      <c r="N218" s="2" t="s">
        <v>19</v>
      </c>
      <c r="O218">
        <v>162.82</v>
      </c>
    </row>
    <row r="219" spans="1:15" x14ac:dyDescent="0.3">
      <c r="A219" s="1">
        <v>45359</v>
      </c>
      <c r="B219" s="2" t="s">
        <v>23</v>
      </c>
      <c r="C219" s="2" t="s">
        <v>21</v>
      </c>
      <c r="D219" s="2" t="s">
        <v>18</v>
      </c>
      <c r="E219">
        <v>34.520000000000003</v>
      </c>
      <c r="F219">
        <v>44.72</v>
      </c>
      <c r="G219">
        <v>0</v>
      </c>
      <c r="H219">
        <f t="shared" si="3"/>
        <v>54735.250000000029</v>
      </c>
      <c r="I219" t="str">
        <f>IF(Sheet1[[#This Row],[Month_Revenue]] &lt; AVERAGE(Sheet1[Month_Revenue]), "Off-Peak", "Peak")</f>
        <v>Off-Peak</v>
      </c>
      <c r="J219">
        <f xml:space="preserve"> IF(Sheet1[[#This Row],[Ad Spend]] &gt; 0, (Sheet1[[#This Row],[Profit]] / Sheet1[[#This Row],[Ad Spend]]), 0)</f>
        <v>-0.22808586762075125</v>
      </c>
      <c r="K219">
        <f>Sheet1[[#This Row],[Revenue]]-Sheet1[[#This Row],[Ad Spend]]</f>
        <v>-10.199999999999996</v>
      </c>
      <c r="L219" s="2" t="s">
        <v>22</v>
      </c>
      <c r="M219">
        <v>3</v>
      </c>
      <c r="N219" s="2" t="s">
        <v>19</v>
      </c>
      <c r="O219">
        <v>0</v>
      </c>
    </row>
    <row r="220" spans="1:15" x14ac:dyDescent="0.3">
      <c r="A220" s="1">
        <v>45326</v>
      </c>
      <c r="B220" s="2" t="s">
        <v>11</v>
      </c>
      <c r="C220" s="2" t="s">
        <v>17</v>
      </c>
      <c r="D220" s="2" t="s">
        <v>13</v>
      </c>
      <c r="E220">
        <v>169.43</v>
      </c>
      <c r="F220">
        <v>26.42</v>
      </c>
      <c r="G220">
        <v>3</v>
      </c>
      <c r="H220">
        <f t="shared" si="3"/>
        <v>48675.899999999936</v>
      </c>
      <c r="I220" t="str">
        <f>IF(Sheet1[[#This Row],[Month_Revenue]] &lt; AVERAGE(Sheet1[Month_Revenue]), "Off-Peak", "Peak")</f>
        <v>Off-Peak</v>
      </c>
      <c r="J220">
        <f xml:space="preserve"> IF(Sheet1[[#This Row],[Ad Spend]] &gt; 0, (Sheet1[[#This Row],[Profit]] / Sheet1[[#This Row],[Ad Spend]]), 0)</f>
        <v>5.4129447388342156</v>
      </c>
      <c r="K220">
        <f>Sheet1[[#This Row],[Revenue]]-Sheet1[[#This Row],[Ad Spend]]</f>
        <v>143.01</v>
      </c>
      <c r="L220" s="2" t="s">
        <v>14</v>
      </c>
      <c r="M220">
        <v>2</v>
      </c>
      <c r="N220" s="2" t="s">
        <v>15</v>
      </c>
      <c r="O220">
        <v>56.476666666666667</v>
      </c>
    </row>
    <row r="221" spans="1:15" x14ac:dyDescent="0.3">
      <c r="A221" s="1">
        <v>45356</v>
      </c>
      <c r="B221" s="2" t="s">
        <v>11</v>
      </c>
      <c r="C221" s="2" t="s">
        <v>17</v>
      </c>
      <c r="D221" s="2" t="s">
        <v>13</v>
      </c>
      <c r="E221">
        <v>26.63</v>
      </c>
      <c r="F221">
        <v>45.86</v>
      </c>
      <c r="G221">
        <v>3</v>
      </c>
      <c r="H221">
        <f t="shared" si="3"/>
        <v>54735.250000000029</v>
      </c>
      <c r="I221" t="str">
        <f>IF(Sheet1[[#This Row],[Month_Revenue]] &lt; AVERAGE(Sheet1[Month_Revenue]), "Off-Peak", "Peak")</f>
        <v>Off-Peak</v>
      </c>
      <c r="J221">
        <f xml:space="preserve"> IF(Sheet1[[#This Row],[Ad Spend]] &gt; 0, (Sheet1[[#This Row],[Profit]] / Sheet1[[#This Row],[Ad Spend]]), 0)</f>
        <v>-0.41931966855647623</v>
      </c>
      <c r="K221">
        <f>Sheet1[[#This Row],[Revenue]]-Sheet1[[#This Row],[Ad Spend]]</f>
        <v>-19.23</v>
      </c>
      <c r="L221" s="2" t="s">
        <v>14</v>
      </c>
      <c r="M221">
        <v>3</v>
      </c>
      <c r="N221" s="2" t="s">
        <v>19</v>
      </c>
      <c r="O221">
        <v>8.8766666666666669</v>
      </c>
    </row>
    <row r="222" spans="1:15" x14ac:dyDescent="0.3">
      <c r="A222" s="1">
        <v>45366</v>
      </c>
      <c r="B222" s="2" t="s">
        <v>24</v>
      </c>
      <c r="C222" s="2" t="s">
        <v>21</v>
      </c>
      <c r="D222" s="2" t="s">
        <v>18</v>
      </c>
      <c r="E222">
        <v>150.53</v>
      </c>
      <c r="F222">
        <v>30.13</v>
      </c>
      <c r="G222">
        <v>1</v>
      </c>
      <c r="H222">
        <f t="shared" si="3"/>
        <v>54735.250000000029</v>
      </c>
      <c r="I222" t="str">
        <f>IF(Sheet1[[#This Row],[Month_Revenue]] &lt; AVERAGE(Sheet1[Month_Revenue]), "Off-Peak", "Peak")</f>
        <v>Off-Peak</v>
      </c>
      <c r="J222">
        <f xml:space="preserve"> IF(Sheet1[[#This Row],[Ad Spend]] &gt; 0, (Sheet1[[#This Row],[Profit]] / Sheet1[[#This Row],[Ad Spend]]), 0)</f>
        <v>3.9960172585462996</v>
      </c>
      <c r="K222">
        <f>Sheet1[[#This Row],[Revenue]]-Sheet1[[#This Row],[Ad Spend]]</f>
        <v>120.4</v>
      </c>
      <c r="L222" s="2" t="s">
        <v>22</v>
      </c>
      <c r="M222">
        <v>3</v>
      </c>
      <c r="N222" s="2" t="s">
        <v>19</v>
      </c>
      <c r="O222">
        <v>150.53</v>
      </c>
    </row>
    <row r="223" spans="1:15" x14ac:dyDescent="0.3">
      <c r="A223" s="1">
        <v>45315</v>
      </c>
      <c r="B223" s="2" t="s">
        <v>20</v>
      </c>
      <c r="C223" s="2" t="s">
        <v>12</v>
      </c>
      <c r="D223" s="2" t="s">
        <v>13</v>
      </c>
      <c r="E223">
        <v>168.13</v>
      </c>
      <c r="F223">
        <v>28.91</v>
      </c>
      <c r="G223">
        <v>3</v>
      </c>
      <c r="H223">
        <f t="shared" si="3"/>
        <v>61207.979999999989</v>
      </c>
      <c r="I223" t="str">
        <f>IF(Sheet1[[#This Row],[Month_Revenue]] &lt; AVERAGE(Sheet1[Month_Revenue]), "Off-Peak", "Peak")</f>
        <v>Peak</v>
      </c>
      <c r="J223">
        <f xml:space="preserve"> IF(Sheet1[[#This Row],[Ad Spend]] &gt; 0, (Sheet1[[#This Row],[Profit]] / Sheet1[[#This Row],[Ad Spend]]), 0)</f>
        <v>4.8156347284676579</v>
      </c>
      <c r="K223">
        <f>Sheet1[[#This Row],[Revenue]]-Sheet1[[#This Row],[Ad Spend]]</f>
        <v>139.22</v>
      </c>
      <c r="L223" s="2" t="s">
        <v>22</v>
      </c>
      <c r="M223">
        <v>1</v>
      </c>
      <c r="N223" s="2" t="s">
        <v>15</v>
      </c>
      <c r="O223">
        <v>56.043333333333329</v>
      </c>
    </row>
    <row r="224" spans="1:15" x14ac:dyDescent="0.3">
      <c r="A224" s="1">
        <v>45360</v>
      </c>
      <c r="B224" s="2" t="s">
        <v>24</v>
      </c>
      <c r="C224" s="2" t="s">
        <v>17</v>
      </c>
      <c r="D224" s="2" t="s">
        <v>13</v>
      </c>
      <c r="E224">
        <v>179.72</v>
      </c>
      <c r="F224">
        <v>16.46</v>
      </c>
      <c r="G224">
        <v>3</v>
      </c>
      <c r="H224">
        <f t="shared" si="3"/>
        <v>54735.250000000029</v>
      </c>
      <c r="I224" t="str">
        <f>IF(Sheet1[[#This Row],[Month_Revenue]] &lt; AVERAGE(Sheet1[Month_Revenue]), "Off-Peak", "Peak")</f>
        <v>Off-Peak</v>
      </c>
      <c r="J224">
        <f xml:space="preserve"> IF(Sheet1[[#This Row],[Ad Spend]] &gt; 0, (Sheet1[[#This Row],[Profit]] / Sheet1[[#This Row],[Ad Spend]]), 0)</f>
        <v>9.9185905224787358</v>
      </c>
      <c r="K224">
        <f>Sheet1[[#This Row],[Revenue]]-Sheet1[[#This Row],[Ad Spend]]</f>
        <v>163.26</v>
      </c>
      <c r="L224" s="2" t="s">
        <v>14</v>
      </c>
      <c r="M224">
        <v>3</v>
      </c>
      <c r="N224" s="2" t="s">
        <v>19</v>
      </c>
      <c r="O224">
        <v>59.906666666666666</v>
      </c>
    </row>
    <row r="225" spans="1:15" x14ac:dyDescent="0.3">
      <c r="A225" s="1">
        <v>45406</v>
      </c>
      <c r="B225" s="2" t="s">
        <v>16</v>
      </c>
      <c r="C225" s="2" t="s">
        <v>21</v>
      </c>
      <c r="D225" s="2" t="s">
        <v>13</v>
      </c>
      <c r="E225">
        <v>67.959999999999994</v>
      </c>
      <c r="F225">
        <v>6.44</v>
      </c>
      <c r="G225">
        <v>3</v>
      </c>
      <c r="H225">
        <f t="shared" si="3"/>
        <v>58562.910000000018</v>
      </c>
      <c r="I225" t="str">
        <f>IF(Sheet1[[#This Row],[Month_Revenue]] &lt; AVERAGE(Sheet1[Month_Revenue]), "Off-Peak", "Peak")</f>
        <v>Peak</v>
      </c>
      <c r="J225">
        <f xml:space="preserve"> IF(Sheet1[[#This Row],[Ad Spend]] &gt; 0, (Sheet1[[#This Row],[Profit]] / Sheet1[[#This Row],[Ad Spend]]), 0)</f>
        <v>9.5527950310558989</v>
      </c>
      <c r="K225">
        <f>Sheet1[[#This Row],[Revenue]]-Sheet1[[#This Row],[Ad Spend]]</f>
        <v>61.519999999999996</v>
      </c>
      <c r="L225" s="2" t="s">
        <v>22</v>
      </c>
      <c r="M225">
        <v>4</v>
      </c>
      <c r="N225" s="2" t="s">
        <v>19</v>
      </c>
      <c r="O225">
        <v>22.653333333333332</v>
      </c>
    </row>
    <row r="226" spans="1:15" x14ac:dyDescent="0.3">
      <c r="A226" s="1">
        <v>45298</v>
      </c>
      <c r="B226" s="2" t="s">
        <v>23</v>
      </c>
      <c r="C226" s="2" t="s">
        <v>17</v>
      </c>
      <c r="D226" s="2" t="s">
        <v>13</v>
      </c>
      <c r="E226">
        <v>145.06</v>
      </c>
      <c r="F226">
        <v>21.11</v>
      </c>
      <c r="G226">
        <v>0</v>
      </c>
      <c r="H226">
        <f t="shared" si="3"/>
        <v>61207.979999999989</v>
      </c>
      <c r="I226" t="str">
        <f>IF(Sheet1[[#This Row],[Month_Revenue]] &lt; AVERAGE(Sheet1[Month_Revenue]), "Off-Peak", "Peak")</f>
        <v>Peak</v>
      </c>
      <c r="J226">
        <f xml:space="preserve"> IF(Sheet1[[#This Row],[Ad Spend]] &gt; 0, (Sheet1[[#This Row],[Profit]] / Sheet1[[#This Row],[Ad Spend]]), 0)</f>
        <v>5.8716248223590721</v>
      </c>
      <c r="K226">
        <f>Sheet1[[#This Row],[Revenue]]-Sheet1[[#This Row],[Ad Spend]]</f>
        <v>123.95</v>
      </c>
      <c r="L226" s="2" t="s">
        <v>22</v>
      </c>
      <c r="M226">
        <v>1</v>
      </c>
      <c r="N226" s="2" t="s">
        <v>15</v>
      </c>
      <c r="O226">
        <v>0</v>
      </c>
    </row>
    <row r="227" spans="1:15" x14ac:dyDescent="0.3">
      <c r="A227" s="1">
        <v>45306</v>
      </c>
      <c r="B227" s="2" t="s">
        <v>24</v>
      </c>
      <c r="C227" s="2" t="s">
        <v>17</v>
      </c>
      <c r="D227" s="2" t="s">
        <v>18</v>
      </c>
      <c r="E227">
        <v>193.51</v>
      </c>
      <c r="F227">
        <v>32.83</v>
      </c>
      <c r="G227">
        <v>1</v>
      </c>
      <c r="H227">
        <f t="shared" si="3"/>
        <v>61207.979999999989</v>
      </c>
      <c r="I227" t="str">
        <f>IF(Sheet1[[#This Row],[Month_Revenue]] &lt; AVERAGE(Sheet1[Month_Revenue]), "Off-Peak", "Peak")</f>
        <v>Peak</v>
      </c>
      <c r="J227">
        <f xml:space="preserve"> IF(Sheet1[[#This Row],[Ad Spend]] &gt; 0, (Sheet1[[#This Row],[Profit]] / Sheet1[[#This Row],[Ad Spend]]), 0)</f>
        <v>4.8943039902528183</v>
      </c>
      <c r="K227">
        <f>Sheet1[[#This Row],[Revenue]]-Sheet1[[#This Row],[Ad Spend]]</f>
        <v>160.68</v>
      </c>
      <c r="L227" s="2" t="s">
        <v>22</v>
      </c>
      <c r="M227">
        <v>1</v>
      </c>
      <c r="N227" s="2" t="s">
        <v>15</v>
      </c>
      <c r="O227">
        <v>193.51</v>
      </c>
    </row>
    <row r="228" spans="1:15" x14ac:dyDescent="0.3">
      <c r="A228" s="1">
        <v>45388</v>
      </c>
      <c r="B228" s="2" t="s">
        <v>23</v>
      </c>
      <c r="C228" s="2" t="s">
        <v>21</v>
      </c>
      <c r="D228" s="2" t="s">
        <v>13</v>
      </c>
      <c r="E228">
        <v>37.51</v>
      </c>
      <c r="F228">
        <v>32.26</v>
      </c>
      <c r="G228">
        <v>1</v>
      </c>
      <c r="H228">
        <f t="shared" si="3"/>
        <v>58562.910000000018</v>
      </c>
      <c r="I228" t="str">
        <f>IF(Sheet1[[#This Row],[Month_Revenue]] &lt; AVERAGE(Sheet1[Month_Revenue]), "Off-Peak", "Peak")</f>
        <v>Peak</v>
      </c>
      <c r="J228">
        <f xml:space="preserve"> IF(Sheet1[[#This Row],[Ad Spend]] &gt; 0, (Sheet1[[#This Row],[Profit]] / Sheet1[[#This Row],[Ad Spend]]), 0)</f>
        <v>0.16274023558586487</v>
      </c>
      <c r="K228">
        <f>Sheet1[[#This Row],[Revenue]]-Sheet1[[#This Row],[Ad Spend]]</f>
        <v>5.25</v>
      </c>
      <c r="L228" s="2" t="s">
        <v>14</v>
      </c>
      <c r="M228">
        <v>4</v>
      </c>
      <c r="N228" s="2" t="s">
        <v>19</v>
      </c>
      <c r="O228">
        <v>37.51</v>
      </c>
    </row>
    <row r="229" spans="1:15" x14ac:dyDescent="0.3">
      <c r="A229" s="1">
        <v>45373</v>
      </c>
      <c r="B229" s="2" t="s">
        <v>11</v>
      </c>
      <c r="C229" s="2" t="s">
        <v>21</v>
      </c>
      <c r="D229" s="2" t="s">
        <v>13</v>
      </c>
      <c r="E229">
        <v>91.22</v>
      </c>
      <c r="F229">
        <v>46.99</v>
      </c>
      <c r="G229">
        <v>3</v>
      </c>
      <c r="H229">
        <f t="shared" si="3"/>
        <v>54735.250000000029</v>
      </c>
      <c r="I229" t="str">
        <f>IF(Sheet1[[#This Row],[Month_Revenue]] &lt; AVERAGE(Sheet1[Month_Revenue]), "Off-Peak", "Peak")</f>
        <v>Off-Peak</v>
      </c>
      <c r="J229">
        <f xml:space="preserve"> IF(Sheet1[[#This Row],[Ad Spend]] &gt; 0, (Sheet1[[#This Row],[Profit]] / Sheet1[[#This Row],[Ad Spend]]), 0)</f>
        <v>0.94126409874441364</v>
      </c>
      <c r="K229">
        <f>Sheet1[[#This Row],[Revenue]]-Sheet1[[#This Row],[Ad Spend]]</f>
        <v>44.23</v>
      </c>
      <c r="L229" s="2" t="s">
        <v>14</v>
      </c>
      <c r="M229">
        <v>3</v>
      </c>
      <c r="N229" s="2" t="s">
        <v>19</v>
      </c>
      <c r="O229">
        <v>30.406666666666666</v>
      </c>
    </row>
    <row r="230" spans="1:15" x14ac:dyDescent="0.3">
      <c r="A230" s="1">
        <v>45296</v>
      </c>
      <c r="B230" s="2" t="s">
        <v>23</v>
      </c>
      <c r="C230" s="2" t="s">
        <v>21</v>
      </c>
      <c r="D230" s="2" t="s">
        <v>18</v>
      </c>
      <c r="E230">
        <v>112.48</v>
      </c>
      <c r="F230">
        <v>30.42</v>
      </c>
      <c r="G230">
        <v>3</v>
      </c>
      <c r="H230">
        <f t="shared" si="3"/>
        <v>61207.979999999989</v>
      </c>
      <c r="I230" t="str">
        <f>IF(Sheet1[[#This Row],[Month_Revenue]] &lt; AVERAGE(Sheet1[Month_Revenue]), "Off-Peak", "Peak")</f>
        <v>Peak</v>
      </c>
      <c r="J230">
        <f xml:space="preserve"> IF(Sheet1[[#This Row],[Ad Spend]] &gt; 0, (Sheet1[[#This Row],[Profit]] / Sheet1[[#This Row],[Ad Spend]]), 0)</f>
        <v>2.6975673898750823</v>
      </c>
      <c r="K230">
        <f>Sheet1[[#This Row],[Revenue]]-Sheet1[[#This Row],[Ad Spend]]</f>
        <v>82.06</v>
      </c>
      <c r="L230" s="2" t="s">
        <v>22</v>
      </c>
      <c r="M230">
        <v>1</v>
      </c>
      <c r="N230" s="2" t="s">
        <v>15</v>
      </c>
      <c r="O230">
        <v>37.493333333333332</v>
      </c>
    </row>
    <row r="231" spans="1:15" x14ac:dyDescent="0.3">
      <c r="A231" s="1">
        <v>45386</v>
      </c>
      <c r="B231" s="2" t="s">
        <v>24</v>
      </c>
      <c r="C231" s="2" t="s">
        <v>12</v>
      </c>
      <c r="D231" s="2" t="s">
        <v>13</v>
      </c>
      <c r="E231">
        <v>40.479999999999997</v>
      </c>
      <c r="F231">
        <v>11.33</v>
      </c>
      <c r="G231">
        <v>3</v>
      </c>
      <c r="H231">
        <f t="shared" si="3"/>
        <v>58562.910000000018</v>
      </c>
      <c r="I231" t="str">
        <f>IF(Sheet1[[#This Row],[Month_Revenue]] &lt; AVERAGE(Sheet1[Month_Revenue]), "Off-Peak", "Peak")</f>
        <v>Peak</v>
      </c>
      <c r="J231">
        <f xml:space="preserve"> IF(Sheet1[[#This Row],[Ad Spend]] &gt; 0, (Sheet1[[#This Row],[Profit]] / Sheet1[[#This Row],[Ad Spend]]), 0)</f>
        <v>2.5728155339805823</v>
      </c>
      <c r="K231">
        <f>Sheet1[[#This Row],[Revenue]]-Sheet1[[#This Row],[Ad Spend]]</f>
        <v>29.15</v>
      </c>
      <c r="L231" s="2" t="s">
        <v>14</v>
      </c>
      <c r="M231">
        <v>4</v>
      </c>
      <c r="N231" s="2" t="s">
        <v>19</v>
      </c>
      <c r="O231">
        <v>13.493333333333332</v>
      </c>
    </row>
    <row r="232" spans="1:15" x14ac:dyDescent="0.3">
      <c r="A232" s="1">
        <v>45406</v>
      </c>
      <c r="B232" s="2" t="s">
        <v>20</v>
      </c>
      <c r="C232" s="2" t="s">
        <v>17</v>
      </c>
      <c r="D232" s="2" t="s">
        <v>18</v>
      </c>
      <c r="E232">
        <v>101.34</v>
      </c>
      <c r="F232">
        <v>17.8</v>
      </c>
      <c r="G232">
        <v>3</v>
      </c>
      <c r="H232">
        <f t="shared" si="3"/>
        <v>58562.910000000018</v>
      </c>
      <c r="I232" t="str">
        <f>IF(Sheet1[[#This Row],[Month_Revenue]] &lt; AVERAGE(Sheet1[Month_Revenue]), "Off-Peak", "Peak")</f>
        <v>Peak</v>
      </c>
      <c r="J232">
        <f xml:space="preserve"> IF(Sheet1[[#This Row],[Ad Spend]] &gt; 0, (Sheet1[[#This Row],[Profit]] / Sheet1[[#This Row],[Ad Spend]]), 0)</f>
        <v>4.6932584269662927</v>
      </c>
      <c r="K232">
        <f>Sheet1[[#This Row],[Revenue]]-Sheet1[[#This Row],[Ad Spend]]</f>
        <v>83.54</v>
      </c>
      <c r="L232" s="2" t="s">
        <v>22</v>
      </c>
      <c r="M232">
        <v>4</v>
      </c>
      <c r="N232" s="2" t="s">
        <v>19</v>
      </c>
      <c r="O232">
        <v>33.78</v>
      </c>
    </row>
    <row r="233" spans="1:15" x14ac:dyDescent="0.3">
      <c r="A233" s="1">
        <v>45399</v>
      </c>
      <c r="B233" s="2" t="s">
        <v>20</v>
      </c>
      <c r="C233" s="2" t="s">
        <v>17</v>
      </c>
      <c r="D233" s="2" t="s">
        <v>18</v>
      </c>
      <c r="E233">
        <v>136.91999999999999</v>
      </c>
      <c r="F233">
        <v>10.050000000000001</v>
      </c>
      <c r="G233">
        <v>1</v>
      </c>
      <c r="H233">
        <f t="shared" si="3"/>
        <v>58562.910000000018</v>
      </c>
      <c r="I233" t="str">
        <f>IF(Sheet1[[#This Row],[Month_Revenue]] &lt; AVERAGE(Sheet1[Month_Revenue]), "Off-Peak", "Peak")</f>
        <v>Peak</v>
      </c>
      <c r="J233">
        <f xml:space="preserve"> IF(Sheet1[[#This Row],[Ad Spend]] &gt; 0, (Sheet1[[#This Row],[Profit]] / Sheet1[[#This Row],[Ad Spend]]), 0)</f>
        <v>12.623880597014924</v>
      </c>
      <c r="K233">
        <f>Sheet1[[#This Row],[Revenue]]-Sheet1[[#This Row],[Ad Spend]]</f>
        <v>126.86999999999999</v>
      </c>
      <c r="L233" s="2" t="s">
        <v>14</v>
      </c>
      <c r="M233">
        <v>4</v>
      </c>
      <c r="N233" s="2" t="s">
        <v>19</v>
      </c>
      <c r="O233">
        <v>136.91999999999999</v>
      </c>
    </row>
    <row r="234" spans="1:15" x14ac:dyDescent="0.3">
      <c r="A234" s="1">
        <v>45297</v>
      </c>
      <c r="B234" s="2" t="s">
        <v>11</v>
      </c>
      <c r="C234" s="2" t="s">
        <v>21</v>
      </c>
      <c r="D234" s="2" t="s">
        <v>18</v>
      </c>
      <c r="E234">
        <v>123.37</v>
      </c>
      <c r="F234">
        <v>21.53</v>
      </c>
      <c r="G234">
        <v>0</v>
      </c>
      <c r="H234">
        <f t="shared" si="3"/>
        <v>61207.979999999989</v>
      </c>
      <c r="I234" t="str">
        <f>IF(Sheet1[[#This Row],[Month_Revenue]] &lt; AVERAGE(Sheet1[Month_Revenue]), "Off-Peak", "Peak")</f>
        <v>Peak</v>
      </c>
      <c r="J234">
        <f xml:space="preserve"> IF(Sheet1[[#This Row],[Ad Spend]] &gt; 0, (Sheet1[[#This Row],[Profit]] / Sheet1[[#This Row],[Ad Spend]]), 0)</f>
        <v>4.7301439851370182</v>
      </c>
      <c r="K234">
        <f>Sheet1[[#This Row],[Revenue]]-Sheet1[[#This Row],[Ad Spend]]</f>
        <v>101.84</v>
      </c>
      <c r="L234" s="2" t="s">
        <v>14</v>
      </c>
      <c r="M234">
        <v>1</v>
      </c>
      <c r="N234" s="2" t="s">
        <v>15</v>
      </c>
      <c r="O234">
        <v>0</v>
      </c>
    </row>
    <row r="235" spans="1:15" x14ac:dyDescent="0.3">
      <c r="A235" s="1">
        <v>45293</v>
      </c>
      <c r="B235" s="2" t="s">
        <v>24</v>
      </c>
      <c r="C235" s="2" t="s">
        <v>21</v>
      </c>
      <c r="D235" s="2" t="s">
        <v>18</v>
      </c>
      <c r="E235">
        <v>109.22</v>
      </c>
      <c r="F235">
        <v>44.99</v>
      </c>
      <c r="G235">
        <v>1</v>
      </c>
      <c r="H235">
        <f t="shared" si="3"/>
        <v>61207.979999999989</v>
      </c>
      <c r="I235" t="str">
        <f>IF(Sheet1[[#This Row],[Month_Revenue]] &lt; AVERAGE(Sheet1[Month_Revenue]), "Off-Peak", "Peak")</f>
        <v>Peak</v>
      </c>
      <c r="J235">
        <f xml:space="preserve"> IF(Sheet1[[#This Row],[Ad Spend]] &gt; 0, (Sheet1[[#This Row],[Profit]] / Sheet1[[#This Row],[Ad Spend]]), 0)</f>
        <v>1.4276505890197819</v>
      </c>
      <c r="K235">
        <f>Sheet1[[#This Row],[Revenue]]-Sheet1[[#This Row],[Ad Spend]]</f>
        <v>64.22999999999999</v>
      </c>
      <c r="L235" s="2" t="s">
        <v>14</v>
      </c>
      <c r="M235">
        <v>1</v>
      </c>
      <c r="N235" s="2" t="s">
        <v>15</v>
      </c>
      <c r="O235">
        <v>109.22</v>
      </c>
    </row>
    <row r="236" spans="1:15" x14ac:dyDescent="0.3">
      <c r="A236" s="1">
        <v>45393</v>
      </c>
      <c r="B236" s="2" t="s">
        <v>24</v>
      </c>
      <c r="C236" s="2" t="s">
        <v>21</v>
      </c>
      <c r="D236" s="2" t="s">
        <v>18</v>
      </c>
      <c r="E236">
        <v>197.91</v>
      </c>
      <c r="F236">
        <v>21.54</v>
      </c>
      <c r="G236">
        <v>2</v>
      </c>
      <c r="H236">
        <f t="shared" si="3"/>
        <v>58562.910000000018</v>
      </c>
      <c r="I236" t="str">
        <f>IF(Sheet1[[#This Row],[Month_Revenue]] &lt; AVERAGE(Sheet1[Month_Revenue]), "Off-Peak", "Peak")</f>
        <v>Peak</v>
      </c>
      <c r="J236">
        <f xml:space="preserve"> IF(Sheet1[[#This Row],[Ad Spend]] &gt; 0, (Sheet1[[#This Row],[Profit]] / Sheet1[[#This Row],[Ad Spend]]), 0)</f>
        <v>8.1880222841225638</v>
      </c>
      <c r="K236">
        <f>Sheet1[[#This Row],[Revenue]]-Sheet1[[#This Row],[Ad Spend]]</f>
        <v>176.37</v>
      </c>
      <c r="L236" s="2" t="s">
        <v>14</v>
      </c>
      <c r="M236">
        <v>4</v>
      </c>
      <c r="N236" s="2" t="s">
        <v>19</v>
      </c>
      <c r="O236">
        <v>98.954999999999998</v>
      </c>
    </row>
    <row r="237" spans="1:15" x14ac:dyDescent="0.3">
      <c r="A237" s="1">
        <v>45336</v>
      </c>
      <c r="B237" s="2" t="s">
        <v>23</v>
      </c>
      <c r="C237" s="2" t="s">
        <v>17</v>
      </c>
      <c r="D237" s="2" t="s">
        <v>18</v>
      </c>
      <c r="E237">
        <v>94.62</v>
      </c>
      <c r="F237">
        <v>7.34</v>
      </c>
      <c r="G237">
        <v>0</v>
      </c>
      <c r="H237">
        <f t="shared" si="3"/>
        <v>48675.899999999936</v>
      </c>
      <c r="I237" t="str">
        <f>IF(Sheet1[[#This Row],[Month_Revenue]] &lt; AVERAGE(Sheet1[Month_Revenue]), "Off-Peak", "Peak")</f>
        <v>Off-Peak</v>
      </c>
      <c r="J237">
        <f xml:space="preserve"> IF(Sheet1[[#This Row],[Ad Spend]] &gt; 0, (Sheet1[[#This Row],[Profit]] / Sheet1[[#This Row],[Ad Spend]]), 0)</f>
        <v>11.891008174386922</v>
      </c>
      <c r="K237">
        <f>Sheet1[[#This Row],[Revenue]]-Sheet1[[#This Row],[Ad Spend]]</f>
        <v>87.28</v>
      </c>
      <c r="L237" s="2" t="s">
        <v>22</v>
      </c>
      <c r="M237">
        <v>2</v>
      </c>
      <c r="N237" s="2" t="s">
        <v>15</v>
      </c>
      <c r="O237">
        <v>0</v>
      </c>
    </row>
    <row r="238" spans="1:15" x14ac:dyDescent="0.3">
      <c r="A238" s="1">
        <v>45310</v>
      </c>
      <c r="B238" s="2" t="s">
        <v>16</v>
      </c>
      <c r="C238" s="2" t="s">
        <v>21</v>
      </c>
      <c r="D238" s="2" t="s">
        <v>13</v>
      </c>
      <c r="E238">
        <v>104.7</v>
      </c>
      <c r="F238">
        <v>5.3</v>
      </c>
      <c r="G238">
        <v>0</v>
      </c>
      <c r="H238">
        <f t="shared" si="3"/>
        <v>61207.979999999989</v>
      </c>
      <c r="I238" t="str">
        <f>IF(Sheet1[[#This Row],[Month_Revenue]] &lt; AVERAGE(Sheet1[Month_Revenue]), "Off-Peak", "Peak")</f>
        <v>Peak</v>
      </c>
      <c r="J238">
        <f xml:space="preserve"> IF(Sheet1[[#This Row],[Ad Spend]] &gt; 0, (Sheet1[[#This Row],[Profit]] / Sheet1[[#This Row],[Ad Spend]]), 0)</f>
        <v>18.754716981132077</v>
      </c>
      <c r="K238">
        <f>Sheet1[[#This Row],[Revenue]]-Sheet1[[#This Row],[Ad Spend]]</f>
        <v>99.4</v>
      </c>
      <c r="L238" s="2" t="s">
        <v>22</v>
      </c>
      <c r="M238">
        <v>1</v>
      </c>
      <c r="N238" s="2" t="s">
        <v>15</v>
      </c>
      <c r="O238">
        <v>0</v>
      </c>
    </row>
    <row r="239" spans="1:15" x14ac:dyDescent="0.3">
      <c r="A239" s="1">
        <v>45308</v>
      </c>
      <c r="B239" s="2" t="s">
        <v>20</v>
      </c>
      <c r="C239" s="2" t="s">
        <v>12</v>
      </c>
      <c r="D239" s="2" t="s">
        <v>18</v>
      </c>
      <c r="E239">
        <v>95.71</v>
      </c>
      <c r="F239">
        <v>38.549999999999997</v>
      </c>
      <c r="G239">
        <v>1</v>
      </c>
      <c r="H239">
        <f t="shared" si="3"/>
        <v>61207.979999999989</v>
      </c>
      <c r="I239" t="str">
        <f>IF(Sheet1[[#This Row],[Month_Revenue]] &lt; AVERAGE(Sheet1[Month_Revenue]), "Off-Peak", "Peak")</f>
        <v>Peak</v>
      </c>
      <c r="J239">
        <f xml:space="preserve"> IF(Sheet1[[#This Row],[Ad Spend]] &gt; 0, (Sheet1[[#This Row],[Profit]] / Sheet1[[#This Row],[Ad Spend]]), 0)</f>
        <v>1.4827496757457848</v>
      </c>
      <c r="K239">
        <f>Sheet1[[#This Row],[Revenue]]-Sheet1[[#This Row],[Ad Spend]]</f>
        <v>57.16</v>
      </c>
      <c r="L239" s="2" t="s">
        <v>22</v>
      </c>
      <c r="M239">
        <v>1</v>
      </c>
      <c r="N239" s="2" t="s">
        <v>15</v>
      </c>
      <c r="O239">
        <v>95.71</v>
      </c>
    </row>
    <row r="240" spans="1:15" x14ac:dyDescent="0.3">
      <c r="A240" s="1">
        <v>45405</v>
      </c>
      <c r="B240" s="2" t="s">
        <v>16</v>
      </c>
      <c r="C240" s="2" t="s">
        <v>21</v>
      </c>
      <c r="D240" s="2" t="s">
        <v>13</v>
      </c>
      <c r="E240">
        <v>28.13</v>
      </c>
      <c r="F240">
        <v>37.409999999999997</v>
      </c>
      <c r="G240">
        <v>1</v>
      </c>
      <c r="H240">
        <f t="shared" si="3"/>
        <v>58562.910000000018</v>
      </c>
      <c r="I240" t="str">
        <f>IF(Sheet1[[#This Row],[Month_Revenue]] &lt; AVERAGE(Sheet1[Month_Revenue]), "Off-Peak", "Peak")</f>
        <v>Peak</v>
      </c>
      <c r="J240">
        <f xml:space="preserve"> IF(Sheet1[[#This Row],[Ad Spend]] &gt; 0, (Sheet1[[#This Row],[Profit]] / Sheet1[[#This Row],[Ad Spend]]), 0)</f>
        <v>-0.24806201550387594</v>
      </c>
      <c r="K240">
        <f>Sheet1[[#This Row],[Revenue]]-Sheet1[[#This Row],[Ad Spend]]</f>
        <v>-9.2799999999999976</v>
      </c>
      <c r="L240" s="2" t="s">
        <v>22</v>
      </c>
      <c r="M240">
        <v>4</v>
      </c>
      <c r="N240" s="2" t="s">
        <v>19</v>
      </c>
      <c r="O240">
        <v>28.13</v>
      </c>
    </row>
    <row r="241" spans="1:15" x14ac:dyDescent="0.3">
      <c r="A241" s="1">
        <v>45408</v>
      </c>
      <c r="B241" s="2" t="s">
        <v>24</v>
      </c>
      <c r="C241" s="2" t="s">
        <v>21</v>
      </c>
      <c r="D241" s="2" t="s">
        <v>18</v>
      </c>
      <c r="E241">
        <v>97.15</v>
      </c>
      <c r="F241">
        <v>33.89</v>
      </c>
      <c r="G241">
        <v>3</v>
      </c>
      <c r="H241">
        <f t="shared" si="3"/>
        <v>58562.910000000018</v>
      </c>
      <c r="I241" t="str">
        <f>IF(Sheet1[[#This Row],[Month_Revenue]] &lt; AVERAGE(Sheet1[Month_Revenue]), "Off-Peak", "Peak")</f>
        <v>Peak</v>
      </c>
      <c r="J241">
        <f xml:space="preserve"> IF(Sheet1[[#This Row],[Ad Spend]] &gt; 0, (Sheet1[[#This Row],[Profit]] / Sheet1[[#This Row],[Ad Spend]]), 0)</f>
        <v>1.8666273236943052</v>
      </c>
      <c r="K241">
        <f>Sheet1[[#This Row],[Revenue]]-Sheet1[[#This Row],[Ad Spend]]</f>
        <v>63.260000000000005</v>
      </c>
      <c r="L241" s="2" t="s">
        <v>14</v>
      </c>
      <c r="M241">
        <v>4</v>
      </c>
      <c r="N241" s="2" t="s">
        <v>19</v>
      </c>
      <c r="O241">
        <v>32.383333333333333</v>
      </c>
    </row>
    <row r="242" spans="1:15" x14ac:dyDescent="0.3">
      <c r="A242" s="1">
        <v>45321</v>
      </c>
      <c r="B242" s="2" t="s">
        <v>11</v>
      </c>
      <c r="C242" s="2" t="s">
        <v>17</v>
      </c>
      <c r="D242" s="2" t="s">
        <v>13</v>
      </c>
      <c r="E242">
        <v>174.02</v>
      </c>
      <c r="F242">
        <v>27.78</v>
      </c>
      <c r="G242">
        <v>1</v>
      </c>
      <c r="H242">
        <f t="shared" si="3"/>
        <v>61207.979999999989</v>
      </c>
      <c r="I242" t="str">
        <f>IF(Sheet1[[#This Row],[Month_Revenue]] &lt; AVERAGE(Sheet1[Month_Revenue]), "Off-Peak", "Peak")</f>
        <v>Peak</v>
      </c>
      <c r="J242">
        <f xml:space="preserve"> IF(Sheet1[[#This Row],[Ad Spend]] &gt; 0, (Sheet1[[#This Row],[Profit]] / Sheet1[[#This Row],[Ad Spend]]), 0)</f>
        <v>5.2642188624910009</v>
      </c>
      <c r="K242">
        <f>Sheet1[[#This Row],[Revenue]]-Sheet1[[#This Row],[Ad Spend]]</f>
        <v>146.24</v>
      </c>
      <c r="L242" s="2" t="s">
        <v>14</v>
      </c>
      <c r="M242">
        <v>1</v>
      </c>
      <c r="N242" s="2" t="s">
        <v>15</v>
      </c>
      <c r="O242">
        <v>174.02</v>
      </c>
    </row>
    <row r="243" spans="1:15" x14ac:dyDescent="0.3">
      <c r="A243" s="1">
        <v>45317</v>
      </c>
      <c r="B243" s="2" t="s">
        <v>20</v>
      </c>
      <c r="C243" s="2" t="s">
        <v>12</v>
      </c>
      <c r="D243" s="2" t="s">
        <v>18</v>
      </c>
      <c r="E243">
        <v>130.96</v>
      </c>
      <c r="F243">
        <v>47.29</v>
      </c>
      <c r="G243">
        <v>3</v>
      </c>
      <c r="H243">
        <f t="shared" si="3"/>
        <v>61207.979999999989</v>
      </c>
      <c r="I243" t="str">
        <f>IF(Sheet1[[#This Row],[Month_Revenue]] &lt; AVERAGE(Sheet1[Month_Revenue]), "Off-Peak", "Peak")</f>
        <v>Peak</v>
      </c>
      <c r="J243">
        <f xml:space="preserve"> IF(Sheet1[[#This Row],[Ad Spend]] &gt; 0, (Sheet1[[#This Row],[Profit]] / Sheet1[[#This Row],[Ad Spend]]), 0)</f>
        <v>1.769295834214422</v>
      </c>
      <c r="K243">
        <f>Sheet1[[#This Row],[Revenue]]-Sheet1[[#This Row],[Ad Spend]]</f>
        <v>83.670000000000016</v>
      </c>
      <c r="L243" s="2" t="s">
        <v>22</v>
      </c>
      <c r="M243">
        <v>1</v>
      </c>
      <c r="N243" s="2" t="s">
        <v>15</v>
      </c>
      <c r="O243">
        <v>43.653333333333336</v>
      </c>
    </row>
    <row r="244" spans="1:15" x14ac:dyDescent="0.3">
      <c r="A244" s="1">
        <v>45395</v>
      </c>
      <c r="B244" s="2" t="s">
        <v>23</v>
      </c>
      <c r="C244" s="2" t="s">
        <v>12</v>
      </c>
      <c r="D244" s="2" t="s">
        <v>18</v>
      </c>
      <c r="E244">
        <v>68.790000000000006</v>
      </c>
      <c r="F244">
        <v>23.06</v>
      </c>
      <c r="G244">
        <v>1</v>
      </c>
      <c r="H244">
        <f t="shared" si="3"/>
        <v>58562.910000000018</v>
      </c>
      <c r="I244" t="str">
        <f>IF(Sheet1[[#This Row],[Month_Revenue]] &lt; AVERAGE(Sheet1[Month_Revenue]), "Off-Peak", "Peak")</f>
        <v>Peak</v>
      </c>
      <c r="J244">
        <f xml:space="preserve"> IF(Sheet1[[#This Row],[Ad Spend]] &gt; 0, (Sheet1[[#This Row],[Profit]] / Sheet1[[#This Row],[Ad Spend]]), 0)</f>
        <v>1.9830875975715527</v>
      </c>
      <c r="K244">
        <f>Sheet1[[#This Row],[Revenue]]-Sheet1[[#This Row],[Ad Spend]]</f>
        <v>45.730000000000004</v>
      </c>
      <c r="L244" s="2" t="s">
        <v>14</v>
      </c>
      <c r="M244">
        <v>4</v>
      </c>
      <c r="N244" s="2" t="s">
        <v>19</v>
      </c>
      <c r="O244">
        <v>68.790000000000006</v>
      </c>
    </row>
    <row r="245" spans="1:15" x14ac:dyDescent="0.3">
      <c r="A245" s="1">
        <v>45302</v>
      </c>
      <c r="B245" s="2" t="s">
        <v>16</v>
      </c>
      <c r="C245" s="2" t="s">
        <v>12</v>
      </c>
      <c r="D245" s="2" t="s">
        <v>13</v>
      </c>
      <c r="E245">
        <v>185.97</v>
      </c>
      <c r="F245">
        <v>7.6</v>
      </c>
      <c r="G245">
        <v>1</v>
      </c>
      <c r="H245">
        <f t="shared" si="3"/>
        <v>61207.979999999989</v>
      </c>
      <c r="I245" t="str">
        <f>IF(Sheet1[[#This Row],[Month_Revenue]] &lt; AVERAGE(Sheet1[Month_Revenue]), "Off-Peak", "Peak")</f>
        <v>Peak</v>
      </c>
      <c r="J245">
        <f xml:space="preserve"> IF(Sheet1[[#This Row],[Ad Spend]] &gt; 0, (Sheet1[[#This Row],[Profit]] / Sheet1[[#This Row],[Ad Spend]]), 0)</f>
        <v>23.469736842105267</v>
      </c>
      <c r="K245">
        <f>Sheet1[[#This Row],[Revenue]]-Sheet1[[#This Row],[Ad Spend]]</f>
        <v>178.37</v>
      </c>
      <c r="L245" s="2" t="s">
        <v>14</v>
      </c>
      <c r="M245">
        <v>1</v>
      </c>
      <c r="N245" s="2" t="s">
        <v>15</v>
      </c>
      <c r="O245">
        <v>185.97</v>
      </c>
    </row>
    <row r="246" spans="1:15" x14ac:dyDescent="0.3">
      <c r="A246" s="1">
        <v>45408</v>
      </c>
      <c r="B246" s="2" t="s">
        <v>24</v>
      </c>
      <c r="C246" s="2" t="s">
        <v>17</v>
      </c>
      <c r="D246" s="2" t="s">
        <v>18</v>
      </c>
      <c r="E246">
        <v>104.85</v>
      </c>
      <c r="F246">
        <v>40.56</v>
      </c>
      <c r="G246">
        <v>2</v>
      </c>
      <c r="H246">
        <f t="shared" si="3"/>
        <v>58562.910000000018</v>
      </c>
      <c r="I246" t="str">
        <f>IF(Sheet1[[#This Row],[Month_Revenue]] &lt; AVERAGE(Sheet1[Month_Revenue]), "Off-Peak", "Peak")</f>
        <v>Peak</v>
      </c>
      <c r="J246">
        <f xml:space="preserve"> IF(Sheet1[[#This Row],[Ad Spend]] &gt; 0, (Sheet1[[#This Row],[Profit]] / Sheet1[[#This Row],[Ad Spend]]), 0)</f>
        <v>1.5850591715976328</v>
      </c>
      <c r="K246">
        <f>Sheet1[[#This Row],[Revenue]]-Sheet1[[#This Row],[Ad Spend]]</f>
        <v>64.289999999999992</v>
      </c>
      <c r="L246" s="2" t="s">
        <v>22</v>
      </c>
      <c r="M246">
        <v>4</v>
      </c>
      <c r="N246" s="2" t="s">
        <v>19</v>
      </c>
      <c r="O246">
        <v>52.424999999999997</v>
      </c>
    </row>
    <row r="247" spans="1:15" x14ac:dyDescent="0.3">
      <c r="A247" s="1">
        <v>45325</v>
      </c>
      <c r="B247" s="2" t="s">
        <v>23</v>
      </c>
      <c r="C247" s="2" t="s">
        <v>21</v>
      </c>
      <c r="D247" s="2" t="s">
        <v>18</v>
      </c>
      <c r="E247">
        <v>130.16999999999999</v>
      </c>
      <c r="F247">
        <v>0.51</v>
      </c>
      <c r="G247">
        <v>2</v>
      </c>
      <c r="H247">
        <f t="shared" si="3"/>
        <v>48675.899999999936</v>
      </c>
      <c r="I247" t="str">
        <f>IF(Sheet1[[#This Row],[Month_Revenue]] &lt; AVERAGE(Sheet1[Month_Revenue]), "Off-Peak", "Peak")</f>
        <v>Off-Peak</v>
      </c>
      <c r="J247">
        <f xml:space="preserve"> IF(Sheet1[[#This Row],[Ad Spend]] &gt; 0, (Sheet1[[#This Row],[Profit]] / Sheet1[[#This Row],[Ad Spend]]), 0)</f>
        <v>254.23529411764704</v>
      </c>
      <c r="K247">
        <f>Sheet1[[#This Row],[Revenue]]-Sheet1[[#This Row],[Ad Spend]]</f>
        <v>129.66</v>
      </c>
      <c r="L247" s="2" t="s">
        <v>14</v>
      </c>
      <c r="M247">
        <v>2</v>
      </c>
      <c r="N247" s="2" t="s">
        <v>15</v>
      </c>
      <c r="O247">
        <v>65.084999999999994</v>
      </c>
    </row>
    <row r="248" spans="1:15" x14ac:dyDescent="0.3">
      <c r="A248" s="1">
        <v>45386</v>
      </c>
      <c r="B248" s="2" t="s">
        <v>23</v>
      </c>
      <c r="C248" s="2" t="s">
        <v>17</v>
      </c>
      <c r="D248" s="2" t="s">
        <v>18</v>
      </c>
      <c r="E248">
        <v>121.2</v>
      </c>
      <c r="F248">
        <v>37.4</v>
      </c>
      <c r="G248">
        <v>1</v>
      </c>
      <c r="H248">
        <f t="shared" si="3"/>
        <v>58562.910000000018</v>
      </c>
      <c r="I248" t="str">
        <f>IF(Sheet1[[#This Row],[Month_Revenue]] &lt; AVERAGE(Sheet1[Month_Revenue]), "Off-Peak", "Peak")</f>
        <v>Peak</v>
      </c>
      <c r="J248">
        <f xml:space="preserve"> IF(Sheet1[[#This Row],[Ad Spend]] &gt; 0, (Sheet1[[#This Row],[Profit]] / Sheet1[[#This Row],[Ad Spend]]), 0)</f>
        <v>2.240641711229947</v>
      </c>
      <c r="K248">
        <f>Sheet1[[#This Row],[Revenue]]-Sheet1[[#This Row],[Ad Spend]]</f>
        <v>83.800000000000011</v>
      </c>
      <c r="L248" s="2" t="s">
        <v>22</v>
      </c>
      <c r="M248">
        <v>4</v>
      </c>
      <c r="N248" s="2" t="s">
        <v>19</v>
      </c>
      <c r="O248">
        <v>121.2</v>
      </c>
    </row>
    <row r="249" spans="1:15" x14ac:dyDescent="0.3">
      <c r="A249" s="1">
        <v>45368</v>
      </c>
      <c r="B249" s="2" t="s">
        <v>20</v>
      </c>
      <c r="C249" s="2" t="s">
        <v>12</v>
      </c>
      <c r="D249" s="2" t="s">
        <v>18</v>
      </c>
      <c r="E249">
        <v>53.02</v>
      </c>
      <c r="F249">
        <v>34.880000000000003</v>
      </c>
      <c r="G249">
        <v>3</v>
      </c>
      <c r="H249">
        <f t="shared" si="3"/>
        <v>54735.250000000029</v>
      </c>
      <c r="I249" t="str">
        <f>IF(Sheet1[[#This Row],[Month_Revenue]] &lt; AVERAGE(Sheet1[Month_Revenue]), "Off-Peak", "Peak")</f>
        <v>Off-Peak</v>
      </c>
      <c r="J249">
        <f xml:space="preserve"> IF(Sheet1[[#This Row],[Ad Spend]] &gt; 0, (Sheet1[[#This Row],[Profit]] / Sheet1[[#This Row],[Ad Spend]]), 0)</f>
        <v>0.52006880733944949</v>
      </c>
      <c r="K249">
        <f>Sheet1[[#This Row],[Revenue]]-Sheet1[[#This Row],[Ad Spend]]</f>
        <v>18.14</v>
      </c>
      <c r="L249" s="2" t="s">
        <v>14</v>
      </c>
      <c r="M249">
        <v>3</v>
      </c>
      <c r="N249" s="2" t="s">
        <v>19</v>
      </c>
      <c r="O249">
        <v>17.673333333333336</v>
      </c>
    </row>
    <row r="250" spans="1:15" x14ac:dyDescent="0.3">
      <c r="A250" s="1">
        <v>45319</v>
      </c>
      <c r="B250" s="2" t="s">
        <v>11</v>
      </c>
      <c r="C250" s="2" t="s">
        <v>17</v>
      </c>
      <c r="D250" s="2" t="s">
        <v>13</v>
      </c>
      <c r="E250">
        <v>35.06</v>
      </c>
      <c r="F250">
        <v>23.15</v>
      </c>
      <c r="G250">
        <v>3</v>
      </c>
      <c r="H250">
        <f t="shared" si="3"/>
        <v>61207.979999999989</v>
      </c>
      <c r="I250" t="str">
        <f>IF(Sheet1[[#This Row],[Month_Revenue]] &lt; AVERAGE(Sheet1[Month_Revenue]), "Off-Peak", "Peak")</f>
        <v>Peak</v>
      </c>
      <c r="J250">
        <f xml:space="preserve"> IF(Sheet1[[#This Row],[Ad Spend]] &gt; 0, (Sheet1[[#This Row],[Profit]] / Sheet1[[#This Row],[Ad Spend]]), 0)</f>
        <v>0.51447084233261353</v>
      </c>
      <c r="K250">
        <f>Sheet1[[#This Row],[Revenue]]-Sheet1[[#This Row],[Ad Spend]]</f>
        <v>11.910000000000004</v>
      </c>
      <c r="L250" s="2" t="s">
        <v>14</v>
      </c>
      <c r="M250">
        <v>1</v>
      </c>
      <c r="N250" s="2" t="s">
        <v>15</v>
      </c>
      <c r="O250">
        <v>11.686666666666667</v>
      </c>
    </row>
    <row r="251" spans="1:15" x14ac:dyDescent="0.3">
      <c r="A251" s="1">
        <v>45388</v>
      </c>
      <c r="B251" s="2" t="s">
        <v>16</v>
      </c>
      <c r="C251" s="2" t="s">
        <v>17</v>
      </c>
      <c r="D251" s="2" t="s">
        <v>13</v>
      </c>
      <c r="E251">
        <v>108.65</v>
      </c>
      <c r="F251">
        <v>3.66</v>
      </c>
      <c r="G251">
        <v>3</v>
      </c>
      <c r="H251">
        <f t="shared" si="3"/>
        <v>58562.910000000018</v>
      </c>
      <c r="I251" t="str">
        <f>IF(Sheet1[[#This Row],[Month_Revenue]] &lt; AVERAGE(Sheet1[Month_Revenue]), "Off-Peak", "Peak")</f>
        <v>Peak</v>
      </c>
      <c r="J251">
        <f xml:space="preserve"> IF(Sheet1[[#This Row],[Ad Spend]] &gt; 0, (Sheet1[[#This Row],[Profit]] / Sheet1[[#This Row],[Ad Spend]]), 0)</f>
        <v>28.685792349726778</v>
      </c>
      <c r="K251">
        <f>Sheet1[[#This Row],[Revenue]]-Sheet1[[#This Row],[Ad Spend]]</f>
        <v>104.99000000000001</v>
      </c>
      <c r="L251" s="2" t="s">
        <v>22</v>
      </c>
      <c r="M251">
        <v>4</v>
      </c>
      <c r="N251" s="2" t="s">
        <v>19</v>
      </c>
      <c r="O251">
        <v>36.216666666666669</v>
      </c>
    </row>
    <row r="252" spans="1:15" x14ac:dyDescent="0.3">
      <c r="A252" s="1">
        <v>45399</v>
      </c>
      <c r="B252" s="2" t="s">
        <v>23</v>
      </c>
      <c r="C252" s="2" t="s">
        <v>12</v>
      </c>
      <c r="D252" s="2" t="s">
        <v>18</v>
      </c>
      <c r="E252">
        <v>107.16</v>
      </c>
      <c r="F252">
        <v>33.549999999999997</v>
      </c>
      <c r="G252">
        <v>3</v>
      </c>
      <c r="H252">
        <f t="shared" si="3"/>
        <v>58562.910000000018</v>
      </c>
      <c r="I252" t="str">
        <f>IF(Sheet1[[#This Row],[Month_Revenue]] &lt; AVERAGE(Sheet1[Month_Revenue]), "Off-Peak", "Peak")</f>
        <v>Peak</v>
      </c>
      <c r="J252">
        <f xml:space="preserve"> IF(Sheet1[[#This Row],[Ad Spend]] &gt; 0, (Sheet1[[#This Row],[Profit]] / Sheet1[[#This Row],[Ad Spend]]), 0)</f>
        <v>2.1940387481371091</v>
      </c>
      <c r="K252">
        <f>Sheet1[[#This Row],[Revenue]]-Sheet1[[#This Row],[Ad Spend]]</f>
        <v>73.61</v>
      </c>
      <c r="L252" s="2" t="s">
        <v>22</v>
      </c>
      <c r="M252">
        <v>4</v>
      </c>
      <c r="N252" s="2" t="s">
        <v>19</v>
      </c>
      <c r="O252">
        <v>35.72</v>
      </c>
    </row>
    <row r="253" spans="1:15" x14ac:dyDescent="0.3">
      <c r="A253" s="1">
        <v>45381</v>
      </c>
      <c r="B253" s="2" t="s">
        <v>24</v>
      </c>
      <c r="C253" s="2" t="s">
        <v>17</v>
      </c>
      <c r="D253" s="2" t="s">
        <v>18</v>
      </c>
      <c r="E253">
        <v>130.55000000000001</v>
      </c>
      <c r="F253">
        <v>36.85</v>
      </c>
      <c r="G253">
        <v>3</v>
      </c>
      <c r="H253">
        <f t="shared" si="3"/>
        <v>54735.250000000029</v>
      </c>
      <c r="I253" t="str">
        <f>IF(Sheet1[[#This Row],[Month_Revenue]] &lt; AVERAGE(Sheet1[Month_Revenue]), "Off-Peak", "Peak")</f>
        <v>Off-Peak</v>
      </c>
      <c r="J253">
        <f xml:space="preserve"> IF(Sheet1[[#This Row],[Ad Spend]] &gt; 0, (Sheet1[[#This Row],[Profit]] / Sheet1[[#This Row],[Ad Spend]]), 0)</f>
        <v>2.5427408412483041</v>
      </c>
      <c r="K253">
        <f>Sheet1[[#This Row],[Revenue]]-Sheet1[[#This Row],[Ad Spend]]</f>
        <v>93.700000000000017</v>
      </c>
      <c r="L253" s="2" t="s">
        <v>14</v>
      </c>
      <c r="M253">
        <v>3</v>
      </c>
      <c r="N253" s="2" t="s">
        <v>19</v>
      </c>
      <c r="O253">
        <v>43.516666666666673</v>
      </c>
    </row>
    <row r="254" spans="1:15" x14ac:dyDescent="0.3">
      <c r="A254" s="1">
        <v>45330</v>
      </c>
      <c r="B254" s="2" t="s">
        <v>24</v>
      </c>
      <c r="C254" s="2" t="s">
        <v>17</v>
      </c>
      <c r="D254" s="2" t="s">
        <v>13</v>
      </c>
      <c r="E254">
        <v>46.22</v>
      </c>
      <c r="F254">
        <v>1.42</v>
      </c>
      <c r="G254">
        <v>0</v>
      </c>
      <c r="H254">
        <f t="shared" si="3"/>
        <v>48675.899999999936</v>
      </c>
      <c r="I254" t="str">
        <f>IF(Sheet1[[#This Row],[Month_Revenue]] &lt; AVERAGE(Sheet1[Month_Revenue]), "Off-Peak", "Peak")</f>
        <v>Off-Peak</v>
      </c>
      <c r="J254">
        <f xml:space="preserve"> IF(Sheet1[[#This Row],[Ad Spend]] &gt; 0, (Sheet1[[#This Row],[Profit]] / Sheet1[[#This Row],[Ad Spend]]), 0)</f>
        <v>31.549295774647888</v>
      </c>
      <c r="K254">
        <f>Sheet1[[#This Row],[Revenue]]-Sheet1[[#This Row],[Ad Spend]]</f>
        <v>44.8</v>
      </c>
      <c r="L254" s="2" t="s">
        <v>22</v>
      </c>
      <c r="M254">
        <v>2</v>
      </c>
      <c r="N254" s="2" t="s">
        <v>15</v>
      </c>
      <c r="O254">
        <v>0</v>
      </c>
    </row>
    <row r="255" spans="1:15" x14ac:dyDescent="0.3">
      <c r="A255" s="1">
        <v>45320</v>
      </c>
      <c r="B255" s="2" t="s">
        <v>16</v>
      </c>
      <c r="C255" s="2" t="s">
        <v>17</v>
      </c>
      <c r="D255" s="2" t="s">
        <v>18</v>
      </c>
      <c r="E255">
        <v>53.23</v>
      </c>
      <c r="F255">
        <v>28.35</v>
      </c>
      <c r="G255">
        <v>1</v>
      </c>
      <c r="H255">
        <f t="shared" si="3"/>
        <v>61207.979999999989</v>
      </c>
      <c r="I255" t="str">
        <f>IF(Sheet1[[#This Row],[Month_Revenue]] &lt; AVERAGE(Sheet1[Month_Revenue]), "Off-Peak", "Peak")</f>
        <v>Peak</v>
      </c>
      <c r="J255">
        <f xml:space="preserve"> IF(Sheet1[[#This Row],[Ad Spend]] &gt; 0, (Sheet1[[#This Row],[Profit]] / Sheet1[[#This Row],[Ad Spend]]), 0)</f>
        <v>0.87760141093474409</v>
      </c>
      <c r="K255">
        <f>Sheet1[[#This Row],[Revenue]]-Sheet1[[#This Row],[Ad Spend]]</f>
        <v>24.879999999999995</v>
      </c>
      <c r="L255" s="2" t="s">
        <v>14</v>
      </c>
      <c r="M255">
        <v>1</v>
      </c>
      <c r="N255" s="2" t="s">
        <v>15</v>
      </c>
      <c r="O255">
        <v>53.23</v>
      </c>
    </row>
    <row r="256" spans="1:15" x14ac:dyDescent="0.3">
      <c r="A256" s="1">
        <v>45363</v>
      </c>
      <c r="B256" s="2" t="s">
        <v>11</v>
      </c>
      <c r="C256" s="2" t="s">
        <v>12</v>
      </c>
      <c r="D256" s="2" t="s">
        <v>13</v>
      </c>
      <c r="E256">
        <v>39.380000000000003</v>
      </c>
      <c r="F256">
        <v>12.25</v>
      </c>
      <c r="G256">
        <v>2</v>
      </c>
      <c r="H256">
        <f t="shared" si="3"/>
        <v>54735.250000000029</v>
      </c>
      <c r="I256" t="str">
        <f>IF(Sheet1[[#This Row],[Month_Revenue]] &lt; AVERAGE(Sheet1[Month_Revenue]), "Off-Peak", "Peak")</f>
        <v>Off-Peak</v>
      </c>
      <c r="J256">
        <f xml:space="preserve"> IF(Sheet1[[#This Row],[Ad Spend]] &gt; 0, (Sheet1[[#This Row],[Profit]] / Sheet1[[#This Row],[Ad Spend]]), 0)</f>
        <v>2.2146938775510208</v>
      </c>
      <c r="K256">
        <f>Sheet1[[#This Row],[Revenue]]-Sheet1[[#This Row],[Ad Spend]]</f>
        <v>27.130000000000003</v>
      </c>
      <c r="L256" s="2" t="s">
        <v>22</v>
      </c>
      <c r="M256">
        <v>3</v>
      </c>
      <c r="N256" s="2" t="s">
        <v>19</v>
      </c>
      <c r="O256">
        <v>19.690000000000001</v>
      </c>
    </row>
    <row r="257" spans="1:15" x14ac:dyDescent="0.3">
      <c r="A257" s="1">
        <v>45401</v>
      </c>
      <c r="B257" s="2" t="s">
        <v>11</v>
      </c>
      <c r="C257" s="2" t="s">
        <v>17</v>
      </c>
      <c r="D257" s="2" t="s">
        <v>18</v>
      </c>
      <c r="E257">
        <v>148.19</v>
      </c>
      <c r="F257">
        <v>25.23</v>
      </c>
      <c r="G257">
        <v>3</v>
      </c>
      <c r="H257">
        <f t="shared" si="3"/>
        <v>58562.910000000018</v>
      </c>
      <c r="I257" t="str">
        <f>IF(Sheet1[[#This Row],[Month_Revenue]] &lt; AVERAGE(Sheet1[Month_Revenue]), "Off-Peak", "Peak")</f>
        <v>Peak</v>
      </c>
      <c r="J257">
        <f xml:space="preserve"> IF(Sheet1[[#This Row],[Ad Spend]] &gt; 0, (Sheet1[[#This Row],[Profit]] / Sheet1[[#This Row],[Ad Spend]]), 0)</f>
        <v>4.873563218390804</v>
      </c>
      <c r="K257">
        <f>Sheet1[[#This Row],[Revenue]]-Sheet1[[#This Row],[Ad Spend]]</f>
        <v>122.96</v>
      </c>
      <c r="L257" s="2" t="s">
        <v>22</v>
      </c>
      <c r="M257">
        <v>4</v>
      </c>
      <c r="N257" s="2" t="s">
        <v>19</v>
      </c>
      <c r="O257">
        <v>49.396666666666668</v>
      </c>
    </row>
    <row r="258" spans="1:15" x14ac:dyDescent="0.3">
      <c r="A258" s="1">
        <v>45396</v>
      </c>
      <c r="B258" s="2" t="s">
        <v>20</v>
      </c>
      <c r="C258" s="2" t="s">
        <v>21</v>
      </c>
      <c r="D258" s="2" t="s">
        <v>13</v>
      </c>
      <c r="E258">
        <v>31.56</v>
      </c>
      <c r="F258">
        <v>45.64</v>
      </c>
      <c r="G258">
        <v>2</v>
      </c>
      <c r="H258">
        <f t="shared" ref="H258:H321" si="4">SUMIFS($E$2:$E$2001, $M$2:$M$2001, M258)</f>
        <v>58562.910000000018</v>
      </c>
      <c r="I258" t="str">
        <f>IF(Sheet1[[#This Row],[Month_Revenue]] &lt; AVERAGE(Sheet1[Month_Revenue]), "Off-Peak", "Peak")</f>
        <v>Peak</v>
      </c>
      <c r="J258">
        <f xml:space="preserve"> IF(Sheet1[[#This Row],[Ad Spend]] &gt; 0, (Sheet1[[#This Row],[Profit]] / Sheet1[[#This Row],[Ad Spend]]), 0)</f>
        <v>-0.308501314636284</v>
      </c>
      <c r="K258">
        <f>Sheet1[[#This Row],[Revenue]]-Sheet1[[#This Row],[Ad Spend]]</f>
        <v>-14.080000000000002</v>
      </c>
      <c r="L258" s="2" t="s">
        <v>14</v>
      </c>
      <c r="M258">
        <v>4</v>
      </c>
      <c r="N258" s="2" t="s">
        <v>19</v>
      </c>
      <c r="O258">
        <v>15.78</v>
      </c>
    </row>
    <row r="259" spans="1:15" x14ac:dyDescent="0.3">
      <c r="A259" s="1">
        <v>45339</v>
      </c>
      <c r="B259" s="2" t="s">
        <v>11</v>
      </c>
      <c r="C259" s="2" t="s">
        <v>21</v>
      </c>
      <c r="D259" s="2" t="s">
        <v>13</v>
      </c>
      <c r="E259">
        <v>68.34</v>
      </c>
      <c r="F259">
        <v>5.19</v>
      </c>
      <c r="G259">
        <v>2</v>
      </c>
      <c r="H259">
        <f t="shared" si="4"/>
        <v>48675.899999999936</v>
      </c>
      <c r="I259" t="str">
        <f>IF(Sheet1[[#This Row],[Month_Revenue]] &lt; AVERAGE(Sheet1[Month_Revenue]), "Off-Peak", "Peak")</f>
        <v>Off-Peak</v>
      </c>
      <c r="J259">
        <f xml:space="preserve"> IF(Sheet1[[#This Row],[Ad Spend]] &gt; 0, (Sheet1[[#This Row],[Profit]] / Sheet1[[#This Row],[Ad Spend]]), 0)</f>
        <v>12.167630057803468</v>
      </c>
      <c r="K259">
        <f>Sheet1[[#This Row],[Revenue]]-Sheet1[[#This Row],[Ad Spend]]</f>
        <v>63.150000000000006</v>
      </c>
      <c r="L259" s="2" t="s">
        <v>22</v>
      </c>
      <c r="M259">
        <v>2</v>
      </c>
      <c r="N259" s="2" t="s">
        <v>15</v>
      </c>
      <c r="O259">
        <v>34.17</v>
      </c>
    </row>
    <row r="260" spans="1:15" x14ac:dyDescent="0.3">
      <c r="A260" s="1">
        <v>45318</v>
      </c>
      <c r="B260" s="2" t="s">
        <v>11</v>
      </c>
      <c r="C260" s="2" t="s">
        <v>12</v>
      </c>
      <c r="D260" s="2" t="s">
        <v>18</v>
      </c>
      <c r="E260">
        <v>71.790000000000006</v>
      </c>
      <c r="F260">
        <v>2.2000000000000002</v>
      </c>
      <c r="G260">
        <v>2</v>
      </c>
      <c r="H260">
        <f t="shared" si="4"/>
        <v>61207.979999999989</v>
      </c>
      <c r="I260" t="str">
        <f>IF(Sheet1[[#This Row],[Month_Revenue]] &lt; AVERAGE(Sheet1[Month_Revenue]), "Off-Peak", "Peak")</f>
        <v>Peak</v>
      </c>
      <c r="J260">
        <f xml:space="preserve"> IF(Sheet1[[#This Row],[Ad Spend]] &gt; 0, (Sheet1[[#This Row],[Profit]] / Sheet1[[#This Row],[Ad Spend]]), 0)</f>
        <v>31.631818181818179</v>
      </c>
      <c r="K260">
        <f>Sheet1[[#This Row],[Revenue]]-Sheet1[[#This Row],[Ad Spend]]</f>
        <v>69.59</v>
      </c>
      <c r="L260" s="2" t="s">
        <v>22</v>
      </c>
      <c r="M260">
        <v>1</v>
      </c>
      <c r="N260" s="2" t="s">
        <v>15</v>
      </c>
      <c r="O260">
        <v>35.895000000000003</v>
      </c>
    </row>
    <row r="261" spans="1:15" x14ac:dyDescent="0.3">
      <c r="A261" s="1">
        <v>45388</v>
      </c>
      <c r="B261" s="2" t="s">
        <v>16</v>
      </c>
      <c r="C261" s="2" t="s">
        <v>21</v>
      </c>
      <c r="D261" s="2" t="s">
        <v>18</v>
      </c>
      <c r="E261">
        <v>90.55</v>
      </c>
      <c r="F261">
        <v>23.84</v>
      </c>
      <c r="G261">
        <v>0</v>
      </c>
      <c r="H261">
        <f t="shared" si="4"/>
        <v>58562.910000000018</v>
      </c>
      <c r="I261" t="str">
        <f>IF(Sheet1[[#This Row],[Month_Revenue]] &lt; AVERAGE(Sheet1[Month_Revenue]), "Off-Peak", "Peak")</f>
        <v>Peak</v>
      </c>
      <c r="J261">
        <f xml:space="preserve"> IF(Sheet1[[#This Row],[Ad Spend]] &gt; 0, (Sheet1[[#This Row],[Profit]] / Sheet1[[#This Row],[Ad Spend]]), 0)</f>
        <v>2.7982382550335569</v>
      </c>
      <c r="K261">
        <f>Sheet1[[#This Row],[Revenue]]-Sheet1[[#This Row],[Ad Spend]]</f>
        <v>66.709999999999994</v>
      </c>
      <c r="L261" s="2" t="s">
        <v>14</v>
      </c>
      <c r="M261">
        <v>4</v>
      </c>
      <c r="N261" s="2" t="s">
        <v>19</v>
      </c>
      <c r="O261">
        <v>0</v>
      </c>
    </row>
    <row r="262" spans="1:15" x14ac:dyDescent="0.3">
      <c r="A262" s="1">
        <v>45373</v>
      </c>
      <c r="B262" s="2" t="s">
        <v>24</v>
      </c>
      <c r="C262" s="2" t="s">
        <v>12</v>
      </c>
      <c r="D262" s="2" t="s">
        <v>18</v>
      </c>
      <c r="E262">
        <v>102.62</v>
      </c>
      <c r="F262">
        <v>2.41</v>
      </c>
      <c r="G262">
        <v>0</v>
      </c>
      <c r="H262">
        <f t="shared" si="4"/>
        <v>54735.250000000029</v>
      </c>
      <c r="I262" t="str">
        <f>IF(Sheet1[[#This Row],[Month_Revenue]] &lt; AVERAGE(Sheet1[Month_Revenue]), "Off-Peak", "Peak")</f>
        <v>Off-Peak</v>
      </c>
      <c r="J262">
        <f xml:space="preserve"> IF(Sheet1[[#This Row],[Ad Spend]] &gt; 0, (Sheet1[[#This Row],[Profit]] / Sheet1[[#This Row],[Ad Spend]]), 0)</f>
        <v>41.580912863070537</v>
      </c>
      <c r="K262">
        <f>Sheet1[[#This Row],[Revenue]]-Sheet1[[#This Row],[Ad Spend]]</f>
        <v>100.21000000000001</v>
      </c>
      <c r="L262" s="2" t="s">
        <v>14</v>
      </c>
      <c r="M262">
        <v>3</v>
      </c>
      <c r="N262" s="2" t="s">
        <v>19</v>
      </c>
      <c r="O262">
        <v>0</v>
      </c>
    </row>
    <row r="263" spans="1:15" x14ac:dyDescent="0.3">
      <c r="A263" s="1">
        <v>45332</v>
      </c>
      <c r="B263" s="2" t="s">
        <v>11</v>
      </c>
      <c r="C263" s="2" t="s">
        <v>21</v>
      </c>
      <c r="D263" s="2" t="s">
        <v>18</v>
      </c>
      <c r="E263">
        <v>192.13</v>
      </c>
      <c r="F263">
        <v>39.46</v>
      </c>
      <c r="G263">
        <v>2</v>
      </c>
      <c r="H263">
        <f t="shared" si="4"/>
        <v>48675.899999999936</v>
      </c>
      <c r="I263" t="str">
        <f>IF(Sheet1[[#This Row],[Month_Revenue]] &lt; AVERAGE(Sheet1[Month_Revenue]), "Off-Peak", "Peak")</f>
        <v>Off-Peak</v>
      </c>
      <c r="J263">
        <f xml:space="preserve"> IF(Sheet1[[#This Row],[Ad Spend]] &gt; 0, (Sheet1[[#This Row],[Profit]] / Sheet1[[#This Row],[Ad Spend]]), 0)</f>
        <v>3.8689812468322349</v>
      </c>
      <c r="K263">
        <f>Sheet1[[#This Row],[Revenue]]-Sheet1[[#This Row],[Ad Spend]]</f>
        <v>152.66999999999999</v>
      </c>
      <c r="L263" s="2" t="s">
        <v>22</v>
      </c>
      <c r="M263">
        <v>2</v>
      </c>
      <c r="N263" s="2" t="s">
        <v>15</v>
      </c>
      <c r="O263">
        <v>96.064999999999998</v>
      </c>
    </row>
    <row r="264" spans="1:15" x14ac:dyDescent="0.3">
      <c r="A264" s="1">
        <v>45349</v>
      </c>
      <c r="B264" s="2" t="s">
        <v>23</v>
      </c>
      <c r="C264" s="2" t="s">
        <v>12</v>
      </c>
      <c r="D264" s="2" t="s">
        <v>18</v>
      </c>
      <c r="E264">
        <v>85.61</v>
      </c>
      <c r="F264">
        <v>17.22</v>
      </c>
      <c r="G264">
        <v>2</v>
      </c>
      <c r="H264">
        <f t="shared" si="4"/>
        <v>48675.899999999936</v>
      </c>
      <c r="I264" t="str">
        <f>IF(Sheet1[[#This Row],[Month_Revenue]] &lt; AVERAGE(Sheet1[Month_Revenue]), "Off-Peak", "Peak")</f>
        <v>Off-Peak</v>
      </c>
      <c r="J264">
        <f xml:space="preserve"> IF(Sheet1[[#This Row],[Ad Spend]] &gt; 0, (Sheet1[[#This Row],[Profit]] / Sheet1[[#This Row],[Ad Spend]]), 0)</f>
        <v>3.9715447154471546</v>
      </c>
      <c r="K264">
        <f>Sheet1[[#This Row],[Revenue]]-Sheet1[[#This Row],[Ad Spend]]</f>
        <v>68.39</v>
      </c>
      <c r="L264" s="2" t="s">
        <v>22</v>
      </c>
      <c r="M264">
        <v>2</v>
      </c>
      <c r="N264" s="2" t="s">
        <v>15</v>
      </c>
      <c r="O264">
        <v>42.805</v>
      </c>
    </row>
    <row r="265" spans="1:15" x14ac:dyDescent="0.3">
      <c r="A265" s="1">
        <v>45295</v>
      </c>
      <c r="B265" s="2" t="s">
        <v>23</v>
      </c>
      <c r="C265" s="2" t="s">
        <v>21</v>
      </c>
      <c r="D265" s="2" t="s">
        <v>18</v>
      </c>
      <c r="E265">
        <v>66.209999999999994</v>
      </c>
      <c r="F265">
        <v>27.98</v>
      </c>
      <c r="G265">
        <v>2</v>
      </c>
      <c r="H265">
        <f t="shared" si="4"/>
        <v>61207.979999999989</v>
      </c>
      <c r="I265" t="str">
        <f>IF(Sheet1[[#This Row],[Month_Revenue]] &lt; AVERAGE(Sheet1[Month_Revenue]), "Off-Peak", "Peak")</f>
        <v>Peak</v>
      </c>
      <c r="J265">
        <f xml:space="preserve"> IF(Sheet1[[#This Row],[Ad Spend]] &gt; 0, (Sheet1[[#This Row],[Profit]] / Sheet1[[#This Row],[Ad Spend]]), 0)</f>
        <v>1.3663330950679053</v>
      </c>
      <c r="K265">
        <f>Sheet1[[#This Row],[Revenue]]-Sheet1[[#This Row],[Ad Spend]]</f>
        <v>38.22999999999999</v>
      </c>
      <c r="L265" s="2" t="s">
        <v>14</v>
      </c>
      <c r="M265">
        <v>1</v>
      </c>
      <c r="N265" s="2" t="s">
        <v>15</v>
      </c>
      <c r="O265">
        <v>33.104999999999997</v>
      </c>
    </row>
    <row r="266" spans="1:15" x14ac:dyDescent="0.3">
      <c r="A266" s="1">
        <v>45348</v>
      </c>
      <c r="B266" s="2" t="s">
        <v>11</v>
      </c>
      <c r="C266" s="2" t="s">
        <v>17</v>
      </c>
      <c r="D266" s="2" t="s">
        <v>18</v>
      </c>
      <c r="E266">
        <v>160.88</v>
      </c>
      <c r="F266">
        <v>10.4</v>
      </c>
      <c r="G266">
        <v>3</v>
      </c>
      <c r="H266">
        <f t="shared" si="4"/>
        <v>48675.899999999936</v>
      </c>
      <c r="I266" t="str">
        <f>IF(Sheet1[[#This Row],[Month_Revenue]] &lt; AVERAGE(Sheet1[Month_Revenue]), "Off-Peak", "Peak")</f>
        <v>Off-Peak</v>
      </c>
      <c r="J266">
        <f xml:space="preserve"> IF(Sheet1[[#This Row],[Ad Spend]] &gt; 0, (Sheet1[[#This Row],[Profit]] / Sheet1[[#This Row],[Ad Spend]]), 0)</f>
        <v>14.469230769230768</v>
      </c>
      <c r="K266">
        <f>Sheet1[[#This Row],[Revenue]]-Sheet1[[#This Row],[Ad Spend]]</f>
        <v>150.47999999999999</v>
      </c>
      <c r="L266" s="2" t="s">
        <v>22</v>
      </c>
      <c r="M266">
        <v>2</v>
      </c>
      <c r="N266" s="2" t="s">
        <v>15</v>
      </c>
      <c r="O266">
        <v>53.626666666666665</v>
      </c>
    </row>
    <row r="267" spans="1:15" x14ac:dyDescent="0.3">
      <c r="A267" s="1">
        <v>45403</v>
      </c>
      <c r="B267" s="2" t="s">
        <v>11</v>
      </c>
      <c r="C267" s="2" t="s">
        <v>12</v>
      </c>
      <c r="D267" s="2" t="s">
        <v>13</v>
      </c>
      <c r="E267">
        <v>49.17</v>
      </c>
      <c r="F267">
        <v>44.88</v>
      </c>
      <c r="G267">
        <v>3</v>
      </c>
      <c r="H267">
        <f t="shared" si="4"/>
        <v>58562.910000000018</v>
      </c>
      <c r="I267" t="str">
        <f>IF(Sheet1[[#This Row],[Month_Revenue]] &lt; AVERAGE(Sheet1[Month_Revenue]), "Off-Peak", "Peak")</f>
        <v>Peak</v>
      </c>
      <c r="J267">
        <f xml:space="preserve"> IF(Sheet1[[#This Row],[Ad Spend]] &gt; 0, (Sheet1[[#This Row],[Profit]] / Sheet1[[#This Row],[Ad Spend]]), 0)</f>
        <v>9.5588235294117627E-2</v>
      </c>
      <c r="K267">
        <f>Sheet1[[#This Row],[Revenue]]-Sheet1[[#This Row],[Ad Spend]]</f>
        <v>4.2899999999999991</v>
      </c>
      <c r="L267" s="2" t="s">
        <v>14</v>
      </c>
      <c r="M267">
        <v>4</v>
      </c>
      <c r="N267" s="2" t="s">
        <v>19</v>
      </c>
      <c r="O267">
        <v>16.39</v>
      </c>
    </row>
    <row r="268" spans="1:15" x14ac:dyDescent="0.3">
      <c r="A268" s="1">
        <v>45330</v>
      </c>
      <c r="B268" s="2" t="s">
        <v>16</v>
      </c>
      <c r="C268" s="2" t="s">
        <v>21</v>
      </c>
      <c r="D268" s="2" t="s">
        <v>18</v>
      </c>
      <c r="E268">
        <v>30.77</v>
      </c>
      <c r="F268">
        <v>35.36</v>
      </c>
      <c r="G268">
        <v>3</v>
      </c>
      <c r="H268">
        <f t="shared" si="4"/>
        <v>48675.899999999936</v>
      </c>
      <c r="I268" t="str">
        <f>IF(Sheet1[[#This Row],[Month_Revenue]] &lt; AVERAGE(Sheet1[Month_Revenue]), "Off-Peak", "Peak")</f>
        <v>Off-Peak</v>
      </c>
      <c r="J268">
        <f xml:space="preserve"> IF(Sheet1[[#This Row],[Ad Spend]] &gt; 0, (Sheet1[[#This Row],[Profit]] / Sheet1[[#This Row],[Ad Spend]]), 0)</f>
        <v>-0.12980769230769232</v>
      </c>
      <c r="K268">
        <f>Sheet1[[#This Row],[Revenue]]-Sheet1[[#This Row],[Ad Spend]]</f>
        <v>-4.59</v>
      </c>
      <c r="L268" s="2" t="s">
        <v>14</v>
      </c>
      <c r="M268">
        <v>2</v>
      </c>
      <c r="N268" s="2" t="s">
        <v>15</v>
      </c>
      <c r="O268">
        <v>10.256666666666666</v>
      </c>
    </row>
    <row r="269" spans="1:15" x14ac:dyDescent="0.3">
      <c r="A269" s="1">
        <v>45402</v>
      </c>
      <c r="B269" s="2" t="s">
        <v>20</v>
      </c>
      <c r="C269" s="2" t="s">
        <v>17</v>
      </c>
      <c r="D269" s="2" t="s">
        <v>13</v>
      </c>
      <c r="E269">
        <v>126.85</v>
      </c>
      <c r="F269">
        <v>41.99</v>
      </c>
      <c r="G269">
        <v>1</v>
      </c>
      <c r="H269">
        <f t="shared" si="4"/>
        <v>58562.910000000018</v>
      </c>
      <c r="I269" t="str">
        <f>IF(Sheet1[[#This Row],[Month_Revenue]] &lt; AVERAGE(Sheet1[Month_Revenue]), "Off-Peak", "Peak")</f>
        <v>Peak</v>
      </c>
      <c r="J269">
        <f xml:space="preserve"> IF(Sheet1[[#This Row],[Ad Spend]] &gt; 0, (Sheet1[[#This Row],[Profit]] / Sheet1[[#This Row],[Ad Spend]]), 0)</f>
        <v>2.0209573708025714</v>
      </c>
      <c r="K269">
        <f>Sheet1[[#This Row],[Revenue]]-Sheet1[[#This Row],[Ad Spend]]</f>
        <v>84.859999999999985</v>
      </c>
      <c r="L269" s="2" t="s">
        <v>22</v>
      </c>
      <c r="M269">
        <v>4</v>
      </c>
      <c r="N269" s="2" t="s">
        <v>19</v>
      </c>
      <c r="O269">
        <v>126.85</v>
      </c>
    </row>
    <row r="270" spans="1:15" x14ac:dyDescent="0.3">
      <c r="A270" s="1">
        <v>45296</v>
      </c>
      <c r="B270" s="2" t="s">
        <v>16</v>
      </c>
      <c r="C270" s="2" t="s">
        <v>12</v>
      </c>
      <c r="D270" s="2" t="s">
        <v>18</v>
      </c>
      <c r="E270">
        <v>154.22</v>
      </c>
      <c r="F270">
        <v>29.29</v>
      </c>
      <c r="G270">
        <v>1</v>
      </c>
      <c r="H270">
        <f t="shared" si="4"/>
        <v>61207.979999999989</v>
      </c>
      <c r="I270" t="str">
        <f>IF(Sheet1[[#This Row],[Month_Revenue]] &lt; AVERAGE(Sheet1[Month_Revenue]), "Off-Peak", "Peak")</f>
        <v>Peak</v>
      </c>
      <c r="J270">
        <f xml:space="preserve"> IF(Sheet1[[#This Row],[Ad Spend]] &gt; 0, (Sheet1[[#This Row],[Profit]] / Sheet1[[#This Row],[Ad Spend]]), 0)</f>
        <v>4.265278251963128</v>
      </c>
      <c r="K270">
        <f>Sheet1[[#This Row],[Revenue]]-Sheet1[[#This Row],[Ad Spend]]</f>
        <v>124.93</v>
      </c>
      <c r="L270" s="2" t="s">
        <v>22</v>
      </c>
      <c r="M270">
        <v>1</v>
      </c>
      <c r="N270" s="2" t="s">
        <v>15</v>
      </c>
      <c r="O270">
        <v>154.22</v>
      </c>
    </row>
    <row r="271" spans="1:15" x14ac:dyDescent="0.3">
      <c r="A271" s="1">
        <v>45349</v>
      </c>
      <c r="B271" s="2" t="s">
        <v>23</v>
      </c>
      <c r="C271" s="2" t="s">
        <v>21</v>
      </c>
      <c r="D271" s="2" t="s">
        <v>18</v>
      </c>
      <c r="E271">
        <v>188.28</v>
      </c>
      <c r="F271">
        <v>26.26</v>
      </c>
      <c r="G271">
        <v>3</v>
      </c>
      <c r="H271">
        <f t="shared" si="4"/>
        <v>48675.899999999936</v>
      </c>
      <c r="I271" t="str">
        <f>IF(Sheet1[[#This Row],[Month_Revenue]] &lt; AVERAGE(Sheet1[Month_Revenue]), "Off-Peak", "Peak")</f>
        <v>Off-Peak</v>
      </c>
      <c r="J271">
        <f xml:space="preserve"> IF(Sheet1[[#This Row],[Ad Spend]] &gt; 0, (Sheet1[[#This Row],[Profit]] / Sheet1[[#This Row],[Ad Spend]]), 0)</f>
        <v>6.1698400609291699</v>
      </c>
      <c r="K271">
        <f>Sheet1[[#This Row],[Revenue]]-Sheet1[[#This Row],[Ad Spend]]</f>
        <v>162.02000000000001</v>
      </c>
      <c r="L271" s="2" t="s">
        <v>14</v>
      </c>
      <c r="M271">
        <v>2</v>
      </c>
      <c r="N271" s="2" t="s">
        <v>15</v>
      </c>
      <c r="O271">
        <v>62.76</v>
      </c>
    </row>
    <row r="272" spans="1:15" x14ac:dyDescent="0.3">
      <c r="A272" s="1">
        <v>45369</v>
      </c>
      <c r="B272" s="2" t="s">
        <v>20</v>
      </c>
      <c r="C272" s="2" t="s">
        <v>21</v>
      </c>
      <c r="D272" s="2" t="s">
        <v>18</v>
      </c>
      <c r="E272">
        <v>24.69</v>
      </c>
      <c r="F272">
        <v>36.85</v>
      </c>
      <c r="G272">
        <v>3</v>
      </c>
      <c r="H272">
        <f t="shared" si="4"/>
        <v>54735.250000000029</v>
      </c>
      <c r="I272" t="str">
        <f>IF(Sheet1[[#This Row],[Month_Revenue]] &lt; AVERAGE(Sheet1[Month_Revenue]), "Off-Peak", "Peak")</f>
        <v>Off-Peak</v>
      </c>
      <c r="J272">
        <f xml:space="preserve"> IF(Sheet1[[#This Row],[Ad Spend]] &gt; 0, (Sheet1[[#This Row],[Profit]] / Sheet1[[#This Row],[Ad Spend]]), 0)</f>
        <v>-0.32998643147896878</v>
      </c>
      <c r="K272">
        <f>Sheet1[[#This Row],[Revenue]]-Sheet1[[#This Row],[Ad Spend]]</f>
        <v>-12.16</v>
      </c>
      <c r="L272" s="2" t="s">
        <v>14</v>
      </c>
      <c r="M272">
        <v>3</v>
      </c>
      <c r="N272" s="2" t="s">
        <v>19</v>
      </c>
      <c r="O272">
        <v>8.23</v>
      </c>
    </row>
    <row r="273" spans="1:15" x14ac:dyDescent="0.3">
      <c r="A273" s="1">
        <v>45333</v>
      </c>
      <c r="B273" s="2" t="s">
        <v>16</v>
      </c>
      <c r="C273" s="2" t="s">
        <v>17</v>
      </c>
      <c r="D273" s="2" t="s">
        <v>18</v>
      </c>
      <c r="E273">
        <v>132.44999999999999</v>
      </c>
      <c r="F273">
        <v>3.78</v>
      </c>
      <c r="G273">
        <v>3</v>
      </c>
      <c r="H273">
        <f t="shared" si="4"/>
        <v>48675.899999999936</v>
      </c>
      <c r="I273" t="str">
        <f>IF(Sheet1[[#This Row],[Month_Revenue]] &lt; AVERAGE(Sheet1[Month_Revenue]), "Off-Peak", "Peak")</f>
        <v>Off-Peak</v>
      </c>
      <c r="J273">
        <f xml:space="preserve"> IF(Sheet1[[#This Row],[Ad Spend]] &gt; 0, (Sheet1[[#This Row],[Profit]] / Sheet1[[#This Row],[Ad Spend]]), 0)</f>
        <v>34.039682539682538</v>
      </c>
      <c r="K273">
        <f>Sheet1[[#This Row],[Revenue]]-Sheet1[[#This Row],[Ad Spend]]</f>
        <v>128.66999999999999</v>
      </c>
      <c r="L273" s="2" t="s">
        <v>22</v>
      </c>
      <c r="M273">
        <v>2</v>
      </c>
      <c r="N273" s="2" t="s">
        <v>15</v>
      </c>
      <c r="O273">
        <v>44.15</v>
      </c>
    </row>
    <row r="274" spans="1:15" x14ac:dyDescent="0.3">
      <c r="A274" s="1">
        <v>45361</v>
      </c>
      <c r="B274" s="2" t="s">
        <v>24</v>
      </c>
      <c r="C274" s="2" t="s">
        <v>21</v>
      </c>
      <c r="D274" s="2" t="s">
        <v>18</v>
      </c>
      <c r="E274">
        <v>164.45</v>
      </c>
      <c r="F274">
        <v>39.700000000000003</v>
      </c>
      <c r="G274">
        <v>3</v>
      </c>
      <c r="H274">
        <f t="shared" si="4"/>
        <v>54735.250000000029</v>
      </c>
      <c r="I274" t="str">
        <f>IF(Sheet1[[#This Row],[Month_Revenue]] &lt; AVERAGE(Sheet1[Month_Revenue]), "Off-Peak", "Peak")</f>
        <v>Off-Peak</v>
      </c>
      <c r="J274">
        <f xml:space="preserve"> IF(Sheet1[[#This Row],[Ad Spend]] &gt; 0, (Sheet1[[#This Row],[Profit]] / Sheet1[[#This Row],[Ad Spend]]), 0)</f>
        <v>3.1423173803526443</v>
      </c>
      <c r="K274">
        <f>Sheet1[[#This Row],[Revenue]]-Sheet1[[#This Row],[Ad Spend]]</f>
        <v>124.74999999999999</v>
      </c>
      <c r="L274" s="2" t="s">
        <v>14</v>
      </c>
      <c r="M274">
        <v>3</v>
      </c>
      <c r="N274" s="2" t="s">
        <v>19</v>
      </c>
      <c r="O274">
        <v>54.816666666666663</v>
      </c>
    </row>
    <row r="275" spans="1:15" x14ac:dyDescent="0.3">
      <c r="A275" s="1">
        <v>45353</v>
      </c>
      <c r="B275" s="2" t="s">
        <v>24</v>
      </c>
      <c r="C275" s="2" t="s">
        <v>17</v>
      </c>
      <c r="D275" s="2" t="s">
        <v>13</v>
      </c>
      <c r="E275">
        <v>126.46</v>
      </c>
      <c r="F275">
        <v>13.17</v>
      </c>
      <c r="G275">
        <v>0</v>
      </c>
      <c r="H275">
        <f t="shared" si="4"/>
        <v>54735.250000000029</v>
      </c>
      <c r="I275" t="str">
        <f>IF(Sheet1[[#This Row],[Month_Revenue]] &lt; AVERAGE(Sheet1[Month_Revenue]), "Off-Peak", "Peak")</f>
        <v>Off-Peak</v>
      </c>
      <c r="J275">
        <f xml:space="preserve"> IF(Sheet1[[#This Row],[Ad Spend]] &gt; 0, (Sheet1[[#This Row],[Profit]] / Sheet1[[#This Row],[Ad Spend]]), 0)</f>
        <v>8.6021260440394833</v>
      </c>
      <c r="K275">
        <f>Sheet1[[#This Row],[Revenue]]-Sheet1[[#This Row],[Ad Spend]]</f>
        <v>113.28999999999999</v>
      </c>
      <c r="L275" s="2" t="s">
        <v>14</v>
      </c>
      <c r="M275">
        <v>3</v>
      </c>
      <c r="N275" s="2" t="s">
        <v>19</v>
      </c>
      <c r="O275">
        <v>0</v>
      </c>
    </row>
    <row r="276" spans="1:15" x14ac:dyDescent="0.3">
      <c r="A276" s="1">
        <v>45315</v>
      </c>
      <c r="B276" s="2" t="s">
        <v>16</v>
      </c>
      <c r="C276" s="2" t="s">
        <v>17</v>
      </c>
      <c r="D276" s="2" t="s">
        <v>13</v>
      </c>
      <c r="E276">
        <v>187.62</v>
      </c>
      <c r="F276">
        <v>29.37</v>
      </c>
      <c r="G276">
        <v>1</v>
      </c>
      <c r="H276">
        <f t="shared" si="4"/>
        <v>61207.979999999989</v>
      </c>
      <c r="I276" t="str">
        <f>IF(Sheet1[[#This Row],[Month_Revenue]] &lt; AVERAGE(Sheet1[Month_Revenue]), "Off-Peak", "Peak")</f>
        <v>Peak</v>
      </c>
      <c r="J276">
        <f xml:space="preserve"> IF(Sheet1[[#This Row],[Ad Spend]] &gt; 0, (Sheet1[[#This Row],[Profit]] / Sheet1[[#This Row],[Ad Spend]]), 0)</f>
        <v>5.3881511746680282</v>
      </c>
      <c r="K276">
        <f>Sheet1[[#This Row],[Revenue]]-Sheet1[[#This Row],[Ad Spend]]</f>
        <v>158.25</v>
      </c>
      <c r="L276" s="2" t="s">
        <v>14</v>
      </c>
      <c r="M276">
        <v>1</v>
      </c>
      <c r="N276" s="2" t="s">
        <v>15</v>
      </c>
      <c r="O276">
        <v>187.62</v>
      </c>
    </row>
    <row r="277" spans="1:15" x14ac:dyDescent="0.3">
      <c r="A277" s="1">
        <v>45384</v>
      </c>
      <c r="B277" s="2" t="s">
        <v>20</v>
      </c>
      <c r="C277" s="2" t="s">
        <v>21</v>
      </c>
      <c r="D277" s="2" t="s">
        <v>13</v>
      </c>
      <c r="E277">
        <v>161.05000000000001</v>
      </c>
      <c r="F277">
        <v>37.64</v>
      </c>
      <c r="G277">
        <v>0</v>
      </c>
      <c r="H277">
        <f t="shared" si="4"/>
        <v>58562.910000000018</v>
      </c>
      <c r="I277" t="str">
        <f>IF(Sheet1[[#This Row],[Month_Revenue]] &lt; AVERAGE(Sheet1[Month_Revenue]), "Off-Peak", "Peak")</f>
        <v>Peak</v>
      </c>
      <c r="J277">
        <f xml:space="preserve"> IF(Sheet1[[#This Row],[Ad Spend]] &gt; 0, (Sheet1[[#This Row],[Profit]] / Sheet1[[#This Row],[Ad Spend]]), 0)</f>
        <v>3.2786928799149844</v>
      </c>
      <c r="K277">
        <f>Sheet1[[#This Row],[Revenue]]-Sheet1[[#This Row],[Ad Spend]]</f>
        <v>123.41000000000001</v>
      </c>
      <c r="L277" s="2" t="s">
        <v>22</v>
      </c>
      <c r="M277">
        <v>4</v>
      </c>
      <c r="N277" s="2" t="s">
        <v>19</v>
      </c>
      <c r="O277">
        <v>0</v>
      </c>
    </row>
    <row r="278" spans="1:15" x14ac:dyDescent="0.3">
      <c r="A278" s="1">
        <v>45375</v>
      </c>
      <c r="B278" s="2" t="s">
        <v>23</v>
      </c>
      <c r="C278" s="2" t="s">
        <v>12</v>
      </c>
      <c r="D278" s="2" t="s">
        <v>13</v>
      </c>
      <c r="E278">
        <v>57</v>
      </c>
      <c r="F278">
        <v>46.24</v>
      </c>
      <c r="G278">
        <v>3</v>
      </c>
      <c r="H278">
        <f t="shared" si="4"/>
        <v>54735.250000000029</v>
      </c>
      <c r="I278" t="str">
        <f>IF(Sheet1[[#This Row],[Month_Revenue]] &lt; AVERAGE(Sheet1[Month_Revenue]), "Off-Peak", "Peak")</f>
        <v>Off-Peak</v>
      </c>
      <c r="J278">
        <f xml:space="preserve"> IF(Sheet1[[#This Row],[Ad Spend]] &gt; 0, (Sheet1[[#This Row],[Profit]] / Sheet1[[#This Row],[Ad Spend]]), 0)</f>
        <v>0.23269896193771622</v>
      </c>
      <c r="K278">
        <f>Sheet1[[#This Row],[Revenue]]-Sheet1[[#This Row],[Ad Spend]]</f>
        <v>10.759999999999998</v>
      </c>
      <c r="L278" s="2" t="s">
        <v>14</v>
      </c>
      <c r="M278">
        <v>3</v>
      </c>
      <c r="N278" s="2" t="s">
        <v>19</v>
      </c>
      <c r="O278">
        <v>19</v>
      </c>
    </row>
    <row r="279" spans="1:15" x14ac:dyDescent="0.3">
      <c r="A279" s="1">
        <v>45410</v>
      </c>
      <c r="B279" s="2" t="s">
        <v>11</v>
      </c>
      <c r="C279" s="2" t="s">
        <v>12</v>
      </c>
      <c r="D279" s="2" t="s">
        <v>18</v>
      </c>
      <c r="E279">
        <v>111.1</v>
      </c>
      <c r="F279">
        <v>26.35</v>
      </c>
      <c r="G279">
        <v>3</v>
      </c>
      <c r="H279">
        <f t="shared" si="4"/>
        <v>58562.910000000018</v>
      </c>
      <c r="I279" t="str">
        <f>IF(Sheet1[[#This Row],[Month_Revenue]] &lt; AVERAGE(Sheet1[Month_Revenue]), "Off-Peak", "Peak")</f>
        <v>Peak</v>
      </c>
      <c r="J279">
        <f xml:space="preserve"> IF(Sheet1[[#This Row],[Ad Spend]] &gt; 0, (Sheet1[[#This Row],[Profit]] / Sheet1[[#This Row],[Ad Spend]]), 0)</f>
        <v>3.2163187855787476</v>
      </c>
      <c r="K279">
        <f>Sheet1[[#This Row],[Revenue]]-Sheet1[[#This Row],[Ad Spend]]</f>
        <v>84.75</v>
      </c>
      <c r="L279" s="2" t="s">
        <v>14</v>
      </c>
      <c r="M279">
        <v>4</v>
      </c>
      <c r="N279" s="2" t="s">
        <v>19</v>
      </c>
      <c r="O279">
        <v>37.033333333333331</v>
      </c>
    </row>
    <row r="280" spans="1:15" x14ac:dyDescent="0.3">
      <c r="A280" s="1">
        <v>45297</v>
      </c>
      <c r="B280" s="2" t="s">
        <v>20</v>
      </c>
      <c r="C280" s="2" t="s">
        <v>21</v>
      </c>
      <c r="D280" s="2" t="s">
        <v>18</v>
      </c>
      <c r="E280">
        <v>81.010000000000005</v>
      </c>
      <c r="F280">
        <v>9.99</v>
      </c>
      <c r="G280">
        <v>3</v>
      </c>
      <c r="H280">
        <f t="shared" si="4"/>
        <v>61207.979999999989</v>
      </c>
      <c r="I280" t="str">
        <f>IF(Sheet1[[#This Row],[Month_Revenue]] &lt; AVERAGE(Sheet1[Month_Revenue]), "Off-Peak", "Peak")</f>
        <v>Peak</v>
      </c>
      <c r="J280">
        <f xml:space="preserve"> IF(Sheet1[[#This Row],[Ad Spend]] &gt; 0, (Sheet1[[#This Row],[Profit]] / Sheet1[[#This Row],[Ad Spend]]), 0)</f>
        <v>7.1091091091091103</v>
      </c>
      <c r="K280">
        <f>Sheet1[[#This Row],[Revenue]]-Sheet1[[#This Row],[Ad Spend]]</f>
        <v>71.02000000000001</v>
      </c>
      <c r="L280" s="2" t="s">
        <v>22</v>
      </c>
      <c r="M280">
        <v>1</v>
      </c>
      <c r="N280" s="2" t="s">
        <v>15</v>
      </c>
      <c r="O280">
        <v>27.003333333333334</v>
      </c>
    </row>
    <row r="281" spans="1:15" x14ac:dyDescent="0.3">
      <c r="A281" s="1">
        <v>45320</v>
      </c>
      <c r="B281" s="2" t="s">
        <v>16</v>
      </c>
      <c r="C281" s="2" t="s">
        <v>17</v>
      </c>
      <c r="D281" s="2" t="s">
        <v>13</v>
      </c>
      <c r="E281">
        <v>118.39</v>
      </c>
      <c r="F281">
        <v>46.45</v>
      </c>
      <c r="G281">
        <v>2</v>
      </c>
      <c r="H281">
        <f t="shared" si="4"/>
        <v>61207.979999999989</v>
      </c>
      <c r="I281" t="str">
        <f>IF(Sheet1[[#This Row],[Month_Revenue]] &lt; AVERAGE(Sheet1[Month_Revenue]), "Off-Peak", "Peak")</f>
        <v>Peak</v>
      </c>
      <c r="J281">
        <f xml:space="preserve"> IF(Sheet1[[#This Row],[Ad Spend]] &gt; 0, (Sheet1[[#This Row],[Profit]] / Sheet1[[#This Row],[Ad Spend]]), 0)</f>
        <v>1.5487621097954789</v>
      </c>
      <c r="K281">
        <f>Sheet1[[#This Row],[Revenue]]-Sheet1[[#This Row],[Ad Spend]]</f>
        <v>71.94</v>
      </c>
      <c r="L281" s="2" t="s">
        <v>14</v>
      </c>
      <c r="M281">
        <v>1</v>
      </c>
      <c r="N281" s="2" t="s">
        <v>15</v>
      </c>
      <c r="O281">
        <v>59.195</v>
      </c>
    </row>
    <row r="282" spans="1:15" x14ac:dyDescent="0.3">
      <c r="A282" s="1">
        <v>45384</v>
      </c>
      <c r="B282" s="2" t="s">
        <v>16</v>
      </c>
      <c r="C282" s="2" t="s">
        <v>12</v>
      </c>
      <c r="D282" s="2" t="s">
        <v>18</v>
      </c>
      <c r="E282">
        <v>192.86</v>
      </c>
      <c r="F282">
        <v>6.09</v>
      </c>
      <c r="G282">
        <v>1</v>
      </c>
      <c r="H282">
        <f t="shared" si="4"/>
        <v>58562.910000000018</v>
      </c>
      <c r="I282" t="str">
        <f>IF(Sheet1[[#This Row],[Month_Revenue]] &lt; AVERAGE(Sheet1[Month_Revenue]), "Off-Peak", "Peak")</f>
        <v>Peak</v>
      </c>
      <c r="J282">
        <f xml:space="preserve"> IF(Sheet1[[#This Row],[Ad Spend]] &gt; 0, (Sheet1[[#This Row],[Profit]] / Sheet1[[#This Row],[Ad Spend]]), 0)</f>
        <v>30.668308702791464</v>
      </c>
      <c r="K282">
        <f>Sheet1[[#This Row],[Revenue]]-Sheet1[[#This Row],[Ad Spend]]</f>
        <v>186.77</v>
      </c>
      <c r="L282" s="2" t="s">
        <v>22</v>
      </c>
      <c r="M282">
        <v>4</v>
      </c>
      <c r="N282" s="2" t="s">
        <v>19</v>
      </c>
      <c r="O282">
        <v>192.86</v>
      </c>
    </row>
    <row r="283" spans="1:15" x14ac:dyDescent="0.3">
      <c r="A283" s="1">
        <v>45340</v>
      </c>
      <c r="B283" s="2" t="s">
        <v>11</v>
      </c>
      <c r="C283" s="2" t="s">
        <v>12</v>
      </c>
      <c r="D283" s="2" t="s">
        <v>13</v>
      </c>
      <c r="E283">
        <v>107.8</v>
      </c>
      <c r="F283">
        <v>47.75</v>
      </c>
      <c r="G283">
        <v>1</v>
      </c>
      <c r="H283">
        <f t="shared" si="4"/>
        <v>48675.899999999936</v>
      </c>
      <c r="I283" t="str">
        <f>IF(Sheet1[[#This Row],[Month_Revenue]] &lt; AVERAGE(Sheet1[Month_Revenue]), "Off-Peak", "Peak")</f>
        <v>Off-Peak</v>
      </c>
      <c r="J283">
        <f xml:space="preserve"> IF(Sheet1[[#This Row],[Ad Spend]] &gt; 0, (Sheet1[[#This Row],[Profit]] / Sheet1[[#This Row],[Ad Spend]]), 0)</f>
        <v>1.2575916230366491</v>
      </c>
      <c r="K283">
        <f>Sheet1[[#This Row],[Revenue]]-Sheet1[[#This Row],[Ad Spend]]</f>
        <v>60.05</v>
      </c>
      <c r="L283" s="2" t="s">
        <v>22</v>
      </c>
      <c r="M283">
        <v>2</v>
      </c>
      <c r="N283" s="2" t="s">
        <v>15</v>
      </c>
      <c r="O283">
        <v>107.8</v>
      </c>
    </row>
    <row r="284" spans="1:15" x14ac:dyDescent="0.3">
      <c r="A284" s="1">
        <v>45347</v>
      </c>
      <c r="B284" s="2" t="s">
        <v>20</v>
      </c>
      <c r="C284" s="2" t="s">
        <v>17</v>
      </c>
      <c r="D284" s="2" t="s">
        <v>18</v>
      </c>
      <c r="E284">
        <v>198.32</v>
      </c>
      <c r="F284">
        <v>24.78</v>
      </c>
      <c r="G284">
        <v>3</v>
      </c>
      <c r="H284">
        <f t="shared" si="4"/>
        <v>48675.899999999936</v>
      </c>
      <c r="I284" t="str">
        <f>IF(Sheet1[[#This Row],[Month_Revenue]] &lt; AVERAGE(Sheet1[Month_Revenue]), "Off-Peak", "Peak")</f>
        <v>Off-Peak</v>
      </c>
      <c r="J284">
        <f xml:space="preserve"> IF(Sheet1[[#This Row],[Ad Spend]] &gt; 0, (Sheet1[[#This Row],[Profit]] / Sheet1[[#This Row],[Ad Spend]]), 0)</f>
        <v>7.0032284100080702</v>
      </c>
      <c r="K284">
        <f>Sheet1[[#This Row],[Revenue]]-Sheet1[[#This Row],[Ad Spend]]</f>
        <v>173.54</v>
      </c>
      <c r="L284" s="2" t="s">
        <v>14</v>
      </c>
      <c r="M284">
        <v>2</v>
      </c>
      <c r="N284" s="2" t="s">
        <v>15</v>
      </c>
      <c r="O284">
        <v>66.106666666666669</v>
      </c>
    </row>
    <row r="285" spans="1:15" x14ac:dyDescent="0.3">
      <c r="A285" s="1">
        <v>45296</v>
      </c>
      <c r="B285" s="2" t="s">
        <v>20</v>
      </c>
      <c r="C285" s="2" t="s">
        <v>21</v>
      </c>
      <c r="D285" s="2" t="s">
        <v>13</v>
      </c>
      <c r="E285">
        <v>175.75</v>
      </c>
      <c r="F285">
        <v>17.89</v>
      </c>
      <c r="G285">
        <v>3</v>
      </c>
      <c r="H285">
        <f t="shared" si="4"/>
        <v>61207.979999999989</v>
      </c>
      <c r="I285" t="str">
        <f>IF(Sheet1[[#This Row],[Month_Revenue]] &lt; AVERAGE(Sheet1[Month_Revenue]), "Off-Peak", "Peak")</f>
        <v>Peak</v>
      </c>
      <c r="J285">
        <f xml:space="preserve"> IF(Sheet1[[#This Row],[Ad Spend]] &gt; 0, (Sheet1[[#This Row],[Profit]] / Sheet1[[#This Row],[Ad Spend]]), 0)</f>
        <v>8.8239239798770264</v>
      </c>
      <c r="K285">
        <f>Sheet1[[#This Row],[Revenue]]-Sheet1[[#This Row],[Ad Spend]]</f>
        <v>157.86000000000001</v>
      </c>
      <c r="L285" s="2" t="s">
        <v>22</v>
      </c>
      <c r="M285">
        <v>1</v>
      </c>
      <c r="N285" s="2" t="s">
        <v>15</v>
      </c>
      <c r="O285">
        <v>58.583333333333336</v>
      </c>
    </row>
    <row r="286" spans="1:15" x14ac:dyDescent="0.3">
      <c r="A286" s="1">
        <v>45294</v>
      </c>
      <c r="B286" s="2" t="s">
        <v>11</v>
      </c>
      <c r="C286" s="2" t="s">
        <v>12</v>
      </c>
      <c r="D286" s="2" t="s">
        <v>18</v>
      </c>
      <c r="E286">
        <v>143.93</v>
      </c>
      <c r="F286">
        <v>17.78</v>
      </c>
      <c r="G286">
        <v>0</v>
      </c>
      <c r="H286">
        <f t="shared" si="4"/>
        <v>61207.979999999989</v>
      </c>
      <c r="I286" t="str">
        <f>IF(Sheet1[[#This Row],[Month_Revenue]] &lt; AVERAGE(Sheet1[Month_Revenue]), "Off-Peak", "Peak")</f>
        <v>Peak</v>
      </c>
      <c r="J286">
        <f xml:space="preserve"> IF(Sheet1[[#This Row],[Ad Spend]] &gt; 0, (Sheet1[[#This Row],[Profit]] / Sheet1[[#This Row],[Ad Spend]]), 0)</f>
        <v>7.0950506186726656</v>
      </c>
      <c r="K286">
        <f>Sheet1[[#This Row],[Revenue]]-Sheet1[[#This Row],[Ad Spend]]</f>
        <v>126.15</v>
      </c>
      <c r="L286" s="2" t="s">
        <v>22</v>
      </c>
      <c r="M286">
        <v>1</v>
      </c>
      <c r="N286" s="2" t="s">
        <v>15</v>
      </c>
      <c r="O286">
        <v>0</v>
      </c>
    </row>
    <row r="287" spans="1:15" x14ac:dyDescent="0.3">
      <c r="A287" s="1">
        <v>45305</v>
      </c>
      <c r="B287" s="2" t="s">
        <v>11</v>
      </c>
      <c r="C287" s="2" t="s">
        <v>12</v>
      </c>
      <c r="D287" s="2" t="s">
        <v>18</v>
      </c>
      <c r="E287">
        <v>179.78</v>
      </c>
      <c r="F287">
        <v>30.5</v>
      </c>
      <c r="G287">
        <v>2</v>
      </c>
      <c r="H287">
        <f t="shared" si="4"/>
        <v>61207.979999999989</v>
      </c>
      <c r="I287" t="str">
        <f>IF(Sheet1[[#This Row],[Month_Revenue]] &lt; AVERAGE(Sheet1[Month_Revenue]), "Off-Peak", "Peak")</f>
        <v>Peak</v>
      </c>
      <c r="J287">
        <f xml:space="preserve"> IF(Sheet1[[#This Row],[Ad Spend]] &gt; 0, (Sheet1[[#This Row],[Profit]] / Sheet1[[#This Row],[Ad Spend]]), 0)</f>
        <v>4.8944262295081966</v>
      </c>
      <c r="K287">
        <f>Sheet1[[#This Row],[Revenue]]-Sheet1[[#This Row],[Ad Spend]]</f>
        <v>149.28</v>
      </c>
      <c r="L287" s="2" t="s">
        <v>14</v>
      </c>
      <c r="M287">
        <v>1</v>
      </c>
      <c r="N287" s="2" t="s">
        <v>15</v>
      </c>
      <c r="O287">
        <v>89.89</v>
      </c>
    </row>
    <row r="288" spans="1:15" x14ac:dyDescent="0.3">
      <c r="A288" s="1">
        <v>45313</v>
      </c>
      <c r="B288" s="2" t="s">
        <v>16</v>
      </c>
      <c r="C288" s="2" t="s">
        <v>17</v>
      </c>
      <c r="D288" s="2" t="s">
        <v>18</v>
      </c>
      <c r="E288">
        <v>159.09</v>
      </c>
      <c r="F288">
        <v>44.63</v>
      </c>
      <c r="G288">
        <v>0</v>
      </c>
      <c r="H288">
        <f t="shared" si="4"/>
        <v>61207.979999999989</v>
      </c>
      <c r="I288" t="str">
        <f>IF(Sheet1[[#This Row],[Month_Revenue]] &lt; AVERAGE(Sheet1[Month_Revenue]), "Off-Peak", "Peak")</f>
        <v>Peak</v>
      </c>
      <c r="J288">
        <f xml:space="preserve"> IF(Sheet1[[#This Row],[Ad Spend]] &gt; 0, (Sheet1[[#This Row],[Profit]] / Sheet1[[#This Row],[Ad Spend]]), 0)</f>
        <v>2.5646426170737171</v>
      </c>
      <c r="K288">
        <f>Sheet1[[#This Row],[Revenue]]-Sheet1[[#This Row],[Ad Spend]]</f>
        <v>114.46000000000001</v>
      </c>
      <c r="L288" s="2" t="s">
        <v>14</v>
      </c>
      <c r="M288">
        <v>1</v>
      </c>
      <c r="N288" s="2" t="s">
        <v>15</v>
      </c>
      <c r="O288">
        <v>0</v>
      </c>
    </row>
    <row r="289" spans="1:15" x14ac:dyDescent="0.3">
      <c r="A289" s="1">
        <v>45352</v>
      </c>
      <c r="B289" s="2" t="s">
        <v>11</v>
      </c>
      <c r="C289" s="2" t="s">
        <v>17</v>
      </c>
      <c r="D289" s="2" t="s">
        <v>13</v>
      </c>
      <c r="E289">
        <v>27.8</v>
      </c>
      <c r="F289">
        <v>40.79</v>
      </c>
      <c r="G289">
        <v>1</v>
      </c>
      <c r="H289">
        <f t="shared" si="4"/>
        <v>54735.250000000029</v>
      </c>
      <c r="I289" t="str">
        <f>IF(Sheet1[[#This Row],[Month_Revenue]] &lt; AVERAGE(Sheet1[Month_Revenue]), "Off-Peak", "Peak")</f>
        <v>Off-Peak</v>
      </c>
      <c r="J289">
        <f xml:space="preserve"> IF(Sheet1[[#This Row],[Ad Spend]] &gt; 0, (Sheet1[[#This Row],[Profit]] / Sheet1[[#This Row],[Ad Spend]]), 0)</f>
        <v>-0.31846040696249078</v>
      </c>
      <c r="K289">
        <f>Sheet1[[#This Row],[Revenue]]-Sheet1[[#This Row],[Ad Spend]]</f>
        <v>-12.989999999999998</v>
      </c>
      <c r="L289" s="2" t="s">
        <v>22</v>
      </c>
      <c r="M289">
        <v>3</v>
      </c>
      <c r="N289" s="2" t="s">
        <v>19</v>
      </c>
      <c r="O289">
        <v>27.8</v>
      </c>
    </row>
    <row r="290" spans="1:15" x14ac:dyDescent="0.3">
      <c r="A290" s="1">
        <v>45408</v>
      </c>
      <c r="B290" s="2" t="s">
        <v>11</v>
      </c>
      <c r="C290" s="2" t="s">
        <v>12</v>
      </c>
      <c r="D290" s="2" t="s">
        <v>13</v>
      </c>
      <c r="E290">
        <v>118.87</v>
      </c>
      <c r="F290">
        <v>26.65</v>
      </c>
      <c r="G290">
        <v>3</v>
      </c>
      <c r="H290">
        <f t="shared" si="4"/>
        <v>58562.910000000018</v>
      </c>
      <c r="I290" t="str">
        <f>IF(Sheet1[[#This Row],[Month_Revenue]] &lt; AVERAGE(Sheet1[Month_Revenue]), "Off-Peak", "Peak")</f>
        <v>Peak</v>
      </c>
      <c r="J290">
        <f xml:space="preserve"> IF(Sheet1[[#This Row],[Ad Spend]] &gt; 0, (Sheet1[[#This Row],[Profit]] / Sheet1[[#This Row],[Ad Spend]]), 0)</f>
        <v>3.4604127579737338</v>
      </c>
      <c r="K290">
        <f>Sheet1[[#This Row],[Revenue]]-Sheet1[[#This Row],[Ad Spend]]</f>
        <v>92.22</v>
      </c>
      <c r="L290" s="2" t="s">
        <v>14</v>
      </c>
      <c r="M290">
        <v>4</v>
      </c>
      <c r="N290" s="2" t="s">
        <v>19</v>
      </c>
      <c r="O290">
        <v>39.623333333333335</v>
      </c>
    </row>
    <row r="291" spans="1:15" x14ac:dyDescent="0.3">
      <c r="A291" s="1">
        <v>45317</v>
      </c>
      <c r="B291" s="2" t="s">
        <v>11</v>
      </c>
      <c r="C291" s="2" t="s">
        <v>17</v>
      </c>
      <c r="D291" s="2" t="s">
        <v>18</v>
      </c>
      <c r="E291">
        <v>145.94</v>
      </c>
      <c r="F291">
        <v>17.36</v>
      </c>
      <c r="G291">
        <v>1</v>
      </c>
      <c r="H291">
        <f t="shared" si="4"/>
        <v>61207.979999999989</v>
      </c>
      <c r="I291" t="str">
        <f>IF(Sheet1[[#This Row],[Month_Revenue]] &lt; AVERAGE(Sheet1[Month_Revenue]), "Off-Peak", "Peak")</f>
        <v>Peak</v>
      </c>
      <c r="J291">
        <f xml:space="preserve"> IF(Sheet1[[#This Row],[Ad Spend]] &gt; 0, (Sheet1[[#This Row],[Profit]] / Sheet1[[#This Row],[Ad Spend]]), 0)</f>
        <v>7.4066820276497687</v>
      </c>
      <c r="K291">
        <f>Sheet1[[#This Row],[Revenue]]-Sheet1[[#This Row],[Ad Spend]]</f>
        <v>128.57999999999998</v>
      </c>
      <c r="L291" s="2" t="s">
        <v>22</v>
      </c>
      <c r="M291">
        <v>1</v>
      </c>
      <c r="N291" s="2" t="s">
        <v>15</v>
      </c>
      <c r="O291">
        <v>145.94</v>
      </c>
    </row>
    <row r="292" spans="1:15" x14ac:dyDescent="0.3">
      <c r="A292" s="1">
        <v>45398</v>
      </c>
      <c r="B292" s="2" t="s">
        <v>24</v>
      </c>
      <c r="C292" s="2" t="s">
        <v>17</v>
      </c>
      <c r="D292" s="2" t="s">
        <v>18</v>
      </c>
      <c r="E292">
        <v>76.760000000000005</v>
      </c>
      <c r="F292">
        <v>30.28</v>
      </c>
      <c r="G292">
        <v>2</v>
      </c>
      <c r="H292">
        <f t="shared" si="4"/>
        <v>58562.910000000018</v>
      </c>
      <c r="I292" t="str">
        <f>IF(Sheet1[[#This Row],[Month_Revenue]] &lt; AVERAGE(Sheet1[Month_Revenue]), "Off-Peak", "Peak")</f>
        <v>Peak</v>
      </c>
      <c r="J292">
        <f xml:space="preserve"> IF(Sheet1[[#This Row],[Ad Spend]] &gt; 0, (Sheet1[[#This Row],[Profit]] / Sheet1[[#This Row],[Ad Spend]]), 0)</f>
        <v>1.5350066050198152</v>
      </c>
      <c r="K292">
        <f>Sheet1[[#This Row],[Revenue]]-Sheet1[[#This Row],[Ad Spend]]</f>
        <v>46.480000000000004</v>
      </c>
      <c r="L292" s="2" t="s">
        <v>22</v>
      </c>
      <c r="M292">
        <v>4</v>
      </c>
      <c r="N292" s="2" t="s">
        <v>19</v>
      </c>
      <c r="O292">
        <v>38.380000000000003</v>
      </c>
    </row>
    <row r="293" spans="1:15" x14ac:dyDescent="0.3">
      <c r="A293" s="1">
        <v>45366</v>
      </c>
      <c r="B293" s="2" t="s">
        <v>20</v>
      </c>
      <c r="C293" s="2" t="s">
        <v>21</v>
      </c>
      <c r="D293" s="2" t="s">
        <v>13</v>
      </c>
      <c r="E293">
        <v>146.34</v>
      </c>
      <c r="F293">
        <v>24.17</v>
      </c>
      <c r="G293">
        <v>1</v>
      </c>
      <c r="H293">
        <f t="shared" si="4"/>
        <v>54735.250000000029</v>
      </c>
      <c r="I293" t="str">
        <f>IF(Sheet1[[#This Row],[Month_Revenue]] &lt; AVERAGE(Sheet1[Month_Revenue]), "Off-Peak", "Peak")</f>
        <v>Off-Peak</v>
      </c>
      <c r="J293">
        <f xml:space="preserve"> IF(Sheet1[[#This Row],[Ad Spend]] &gt; 0, (Sheet1[[#This Row],[Profit]] / Sheet1[[#This Row],[Ad Spend]]), 0)</f>
        <v>5.0546131568059574</v>
      </c>
      <c r="K293">
        <f>Sheet1[[#This Row],[Revenue]]-Sheet1[[#This Row],[Ad Spend]]</f>
        <v>122.17</v>
      </c>
      <c r="L293" s="2" t="s">
        <v>22</v>
      </c>
      <c r="M293">
        <v>3</v>
      </c>
      <c r="N293" s="2" t="s">
        <v>19</v>
      </c>
      <c r="O293">
        <v>146.34</v>
      </c>
    </row>
    <row r="294" spans="1:15" x14ac:dyDescent="0.3">
      <c r="A294" s="1">
        <v>45343</v>
      </c>
      <c r="B294" s="2" t="s">
        <v>24</v>
      </c>
      <c r="C294" s="2" t="s">
        <v>12</v>
      </c>
      <c r="D294" s="2" t="s">
        <v>13</v>
      </c>
      <c r="E294">
        <v>74.209999999999994</v>
      </c>
      <c r="F294">
        <v>13.74</v>
      </c>
      <c r="G294">
        <v>0</v>
      </c>
      <c r="H294">
        <f t="shared" si="4"/>
        <v>48675.899999999936</v>
      </c>
      <c r="I294" t="str">
        <f>IF(Sheet1[[#This Row],[Month_Revenue]] &lt; AVERAGE(Sheet1[Month_Revenue]), "Off-Peak", "Peak")</f>
        <v>Off-Peak</v>
      </c>
      <c r="J294">
        <f xml:space="preserve"> IF(Sheet1[[#This Row],[Ad Spend]] &gt; 0, (Sheet1[[#This Row],[Profit]] / Sheet1[[#This Row],[Ad Spend]]), 0)</f>
        <v>4.401018922852983</v>
      </c>
      <c r="K294">
        <f>Sheet1[[#This Row],[Revenue]]-Sheet1[[#This Row],[Ad Spend]]</f>
        <v>60.469999999999992</v>
      </c>
      <c r="L294" s="2" t="s">
        <v>14</v>
      </c>
      <c r="M294">
        <v>2</v>
      </c>
      <c r="N294" s="2" t="s">
        <v>15</v>
      </c>
      <c r="O294">
        <v>0</v>
      </c>
    </row>
    <row r="295" spans="1:15" x14ac:dyDescent="0.3">
      <c r="A295" s="1">
        <v>45322</v>
      </c>
      <c r="B295" s="2" t="s">
        <v>23</v>
      </c>
      <c r="C295" s="2" t="s">
        <v>17</v>
      </c>
      <c r="D295" s="2" t="s">
        <v>18</v>
      </c>
      <c r="E295">
        <v>83.78</v>
      </c>
      <c r="F295">
        <v>33.840000000000003</v>
      </c>
      <c r="G295">
        <v>0</v>
      </c>
      <c r="H295">
        <f t="shared" si="4"/>
        <v>61207.979999999989</v>
      </c>
      <c r="I295" t="str">
        <f>IF(Sheet1[[#This Row],[Month_Revenue]] &lt; AVERAGE(Sheet1[Month_Revenue]), "Off-Peak", "Peak")</f>
        <v>Peak</v>
      </c>
      <c r="J295">
        <f xml:space="preserve"> IF(Sheet1[[#This Row],[Ad Spend]] &gt; 0, (Sheet1[[#This Row],[Profit]] / Sheet1[[#This Row],[Ad Spend]]), 0)</f>
        <v>1.4757683215130022</v>
      </c>
      <c r="K295">
        <f>Sheet1[[#This Row],[Revenue]]-Sheet1[[#This Row],[Ad Spend]]</f>
        <v>49.94</v>
      </c>
      <c r="L295" s="2" t="s">
        <v>14</v>
      </c>
      <c r="M295">
        <v>1</v>
      </c>
      <c r="N295" s="2" t="s">
        <v>15</v>
      </c>
      <c r="O295">
        <v>0</v>
      </c>
    </row>
    <row r="296" spans="1:15" x14ac:dyDescent="0.3">
      <c r="A296" s="1">
        <v>45395</v>
      </c>
      <c r="B296" s="2" t="s">
        <v>11</v>
      </c>
      <c r="C296" s="2" t="s">
        <v>12</v>
      </c>
      <c r="D296" s="2" t="s">
        <v>13</v>
      </c>
      <c r="E296">
        <v>64.58</v>
      </c>
      <c r="F296">
        <v>12.98</v>
      </c>
      <c r="G296">
        <v>2</v>
      </c>
      <c r="H296">
        <f t="shared" si="4"/>
        <v>58562.910000000018</v>
      </c>
      <c r="I296" t="str">
        <f>IF(Sheet1[[#This Row],[Month_Revenue]] &lt; AVERAGE(Sheet1[Month_Revenue]), "Off-Peak", "Peak")</f>
        <v>Peak</v>
      </c>
      <c r="J296">
        <f xml:space="preserve"> IF(Sheet1[[#This Row],[Ad Spend]] &gt; 0, (Sheet1[[#This Row],[Profit]] / Sheet1[[#This Row],[Ad Spend]]), 0)</f>
        <v>3.9753466872110934</v>
      </c>
      <c r="K296">
        <f>Sheet1[[#This Row],[Revenue]]-Sheet1[[#This Row],[Ad Spend]]</f>
        <v>51.599999999999994</v>
      </c>
      <c r="L296" s="2" t="s">
        <v>22</v>
      </c>
      <c r="M296">
        <v>4</v>
      </c>
      <c r="N296" s="2" t="s">
        <v>19</v>
      </c>
      <c r="O296">
        <v>32.29</v>
      </c>
    </row>
    <row r="297" spans="1:15" x14ac:dyDescent="0.3">
      <c r="A297" s="1">
        <v>45303</v>
      </c>
      <c r="B297" s="2" t="s">
        <v>24</v>
      </c>
      <c r="C297" s="2" t="s">
        <v>21</v>
      </c>
      <c r="D297" s="2" t="s">
        <v>18</v>
      </c>
      <c r="E297">
        <v>86.36</v>
      </c>
      <c r="F297">
        <v>12.2</v>
      </c>
      <c r="G297">
        <v>2</v>
      </c>
      <c r="H297">
        <f t="shared" si="4"/>
        <v>61207.979999999989</v>
      </c>
      <c r="I297" t="str">
        <f>IF(Sheet1[[#This Row],[Month_Revenue]] &lt; AVERAGE(Sheet1[Month_Revenue]), "Off-Peak", "Peak")</f>
        <v>Peak</v>
      </c>
      <c r="J297">
        <f xml:space="preserve"> IF(Sheet1[[#This Row],[Ad Spend]] &gt; 0, (Sheet1[[#This Row],[Profit]] / Sheet1[[#This Row],[Ad Spend]]), 0)</f>
        <v>6.0786885245901638</v>
      </c>
      <c r="K297">
        <f>Sheet1[[#This Row],[Revenue]]-Sheet1[[#This Row],[Ad Spend]]</f>
        <v>74.16</v>
      </c>
      <c r="L297" s="2" t="s">
        <v>22</v>
      </c>
      <c r="M297">
        <v>1</v>
      </c>
      <c r="N297" s="2" t="s">
        <v>15</v>
      </c>
      <c r="O297">
        <v>43.18</v>
      </c>
    </row>
    <row r="298" spans="1:15" x14ac:dyDescent="0.3">
      <c r="A298" s="1">
        <v>45313</v>
      </c>
      <c r="B298" s="2" t="s">
        <v>16</v>
      </c>
      <c r="C298" s="2" t="s">
        <v>21</v>
      </c>
      <c r="D298" s="2" t="s">
        <v>13</v>
      </c>
      <c r="E298">
        <v>59.42</v>
      </c>
      <c r="F298">
        <v>44.91</v>
      </c>
      <c r="G298">
        <v>1</v>
      </c>
      <c r="H298">
        <f t="shared" si="4"/>
        <v>61207.979999999989</v>
      </c>
      <c r="I298" t="str">
        <f>IF(Sheet1[[#This Row],[Month_Revenue]] &lt; AVERAGE(Sheet1[Month_Revenue]), "Off-Peak", "Peak")</f>
        <v>Peak</v>
      </c>
      <c r="J298">
        <f xml:space="preserve"> IF(Sheet1[[#This Row],[Ad Spend]] &gt; 0, (Sheet1[[#This Row],[Profit]] / Sheet1[[#This Row],[Ad Spend]]), 0)</f>
        <v>0.32309062569583624</v>
      </c>
      <c r="K298">
        <f>Sheet1[[#This Row],[Revenue]]-Sheet1[[#This Row],[Ad Spend]]</f>
        <v>14.510000000000005</v>
      </c>
      <c r="L298" s="2" t="s">
        <v>14</v>
      </c>
      <c r="M298">
        <v>1</v>
      </c>
      <c r="N298" s="2" t="s">
        <v>15</v>
      </c>
      <c r="O298">
        <v>59.42</v>
      </c>
    </row>
    <row r="299" spans="1:15" x14ac:dyDescent="0.3">
      <c r="A299" s="1">
        <v>45385</v>
      </c>
      <c r="B299" s="2" t="s">
        <v>24</v>
      </c>
      <c r="C299" s="2" t="s">
        <v>21</v>
      </c>
      <c r="D299" s="2" t="s">
        <v>18</v>
      </c>
      <c r="E299">
        <v>126.55</v>
      </c>
      <c r="F299">
        <v>31.5</v>
      </c>
      <c r="G299">
        <v>1</v>
      </c>
      <c r="H299">
        <f t="shared" si="4"/>
        <v>58562.910000000018</v>
      </c>
      <c r="I299" t="str">
        <f>IF(Sheet1[[#This Row],[Month_Revenue]] &lt; AVERAGE(Sheet1[Month_Revenue]), "Off-Peak", "Peak")</f>
        <v>Peak</v>
      </c>
      <c r="J299">
        <f xml:space="preserve"> IF(Sheet1[[#This Row],[Ad Spend]] &gt; 0, (Sheet1[[#This Row],[Profit]] / Sheet1[[#This Row],[Ad Spend]]), 0)</f>
        <v>3.0174603174603174</v>
      </c>
      <c r="K299">
        <f>Sheet1[[#This Row],[Revenue]]-Sheet1[[#This Row],[Ad Spend]]</f>
        <v>95.05</v>
      </c>
      <c r="L299" s="2" t="s">
        <v>22</v>
      </c>
      <c r="M299">
        <v>4</v>
      </c>
      <c r="N299" s="2" t="s">
        <v>19</v>
      </c>
      <c r="O299">
        <v>126.55</v>
      </c>
    </row>
    <row r="300" spans="1:15" x14ac:dyDescent="0.3">
      <c r="A300" s="1">
        <v>45397</v>
      </c>
      <c r="B300" s="2" t="s">
        <v>23</v>
      </c>
      <c r="C300" s="2" t="s">
        <v>12</v>
      </c>
      <c r="D300" s="2" t="s">
        <v>13</v>
      </c>
      <c r="E300">
        <v>161.91999999999999</v>
      </c>
      <c r="F300">
        <v>39.880000000000003</v>
      </c>
      <c r="G300">
        <v>1</v>
      </c>
      <c r="H300">
        <f t="shared" si="4"/>
        <v>58562.910000000018</v>
      </c>
      <c r="I300" t="str">
        <f>IF(Sheet1[[#This Row],[Month_Revenue]] &lt; AVERAGE(Sheet1[Month_Revenue]), "Off-Peak", "Peak")</f>
        <v>Peak</v>
      </c>
      <c r="J300">
        <f xml:space="preserve"> IF(Sheet1[[#This Row],[Ad Spend]] &gt; 0, (Sheet1[[#This Row],[Profit]] / Sheet1[[#This Row],[Ad Spend]]), 0)</f>
        <v>3.0601805416248742</v>
      </c>
      <c r="K300">
        <f>Sheet1[[#This Row],[Revenue]]-Sheet1[[#This Row],[Ad Spend]]</f>
        <v>122.03999999999999</v>
      </c>
      <c r="L300" s="2" t="s">
        <v>14</v>
      </c>
      <c r="M300">
        <v>4</v>
      </c>
      <c r="N300" s="2" t="s">
        <v>19</v>
      </c>
      <c r="O300">
        <v>161.91999999999999</v>
      </c>
    </row>
    <row r="301" spans="1:15" x14ac:dyDescent="0.3">
      <c r="A301" s="1">
        <v>45344</v>
      </c>
      <c r="B301" s="2" t="s">
        <v>23</v>
      </c>
      <c r="C301" s="2" t="s">
        <v>21</v>
      </c>
      <c r="D301" s="2" t="s">
        <v>13</v>
      </c>
      <c r="E301">
        <v>46.58</v>
      </c>
      <c r="F301">
        <v>38.32</v>
      </c>
      <c r="G301">
        <v>2</v>
      </c>
      <c r="H301">
        <f t="shared" si="4"/>
        <v>48675.899999999936</v>
      </c>
      <c r="I301" t="str">
        <f>IF(Sheet1[[#This Row],[Month_Revenue]] &lt; AVERAGE(Sheet1[Month_Revenue]), "Off-Peak", "Peak")</f>
        <v>Off-Peak</v>
      </c>
      <c r="J301">
        <f xml:space="preserve"> IF(Sheet1[[#This Row],[Ad Spend]] &gt; 0, (Sheet1[[#This Row],[Profit]] / Sheet1[[#This Row],[Ad Spend]]), 0)</f>
        <v>0.2155532359081419</v>
      </c>
      <c r="K301">
        <f>Sheet1[[#This Row],[Revenue]]-Sheet1[[#This Row],[Ad Spend]]</f>
        <v>8.259999999999998</v>
      </c>
      <c r="L301" s="2" t="s">
        <v>22</v>
      </c>
      <c r="M301">
        <v>2</v>
      </c>
      <c r="N301" s="2" t="s">
        <v>15</v>
      </c>
      <c r="O301">
        <v>23.29</v>
      </c>
    </row>
    <row r="302" spans="1:15" x14ac:dyDescent="0.3">
      <c r="A302" s="1">
        <v>45375</v>
      </c>
      <c r="B302" s="2" t="s">
        <v>24</v>
      </c>
      <c r="C302" s="2" t="s">
        <v>21</v>
      </c>
      <c r="D302" s="2" t="s">
        <v>18</v>
      </c>
      <c r="E302">
        <v>31.36</v>
      </c>
      <c r="F302">
        <v>5.54</v>
      </c>
      <c r="G302">
        <v>2</v>
      </c>
      <c r="H302">
        <f t="shared" si="4"/>
        <v>54735.250000000029</v>
      </c>
      <c r="I302" t="str">
        <f>IF(Sheet1[[#This Row],[Month_Revenue]] &lt; AVERAGE(Sheet1[Month_Revenue]), "Off-Peak", "Peak")</f>
        <v>Off-Peak</v>
      </c>
      <c r="J302">
        <f xml:space="preserve"> IF(Sheet1[[#This Row],[Ad Spend]] &gt; 0, (Sheet1[[#This Row],[Profit]] / Sheet1[[#This Row],[Ad Spend]]), 0)</f>
        <v>4.6606498194945845</v>
      </c>
      <c r="K302">
        <f>Sheet1[[#This Row],[Revenue]]-Sheet1[[#This Row],[Ad Spend]]</f>
        <v>25.82</v>
      </c>
      <c r="L302" s="2" t="s">
        <v>14</v>
      </c>
      <c r="M302">
        <v>3</v>
      </c>
      <c r="N302" s="2" t="s">
        <v>19</v>
      </c>
      <c r="O302">
        <v>15.68</v>
      </c>
    </row>
    <row r="303" spans="1:15" x14ac:dyDescent="0.3">
      <c r="A303" s="1">
        <v>45373</v>
      </c>
      <c r="B303" s="2" t="s">
        <v>20</v>
      </c>
      <c r="C303" s="2" t="s">
        <v>12</v>
      </c>
      <c r="D303" s="2" t="s">
        <v>13</v>
      </c>
      <c r="E303">
        <v>46.13</v>
      </c>
      <c r="F303">
        <v>44.69</v>
      </c>
      <c r="G303">
        <v>0</v>
      </c>
      <c r="H303">
        <f t="shared" si="4"/>
        <v>54735.250000000029</v>
      </c>
      <c r="I303" t="str">
        <f>IF(Sheet1[[#This Row],[Month_Revenue]] &lt; AVERAGE(Sheet1[Month_Revenue]), "Off-Peak", "Peak")</f>
        <v>Off-Peak</v>
      </c>
      <c r="J303">
        <f xml:space="preserve"> IF(Sheet1[[#This Row],[Ad Spend]] &gt; 0, (Sheet1[[#This Row],[Profit]] / Sheet1[[#This Row],[Ad Spend]]), 0)</f>
        <v>3.2221973595882858E-2</v>
      </c>
      <c r="K303">
        <f>Sheet1[[#This Row],[Revenue]]-Sheet1[[#This Row],[Ad Spend]]</f>
        <v>1.4400000000000048</v>
      </c>
      <c r="L303" s="2" t="s">
        <v>22</v>
      </c>
      <c r="M303">
        <v>3</v>
      </c>
      <c r="N303" s="2" t="s">
        <v>19</v>
      </c>
      <c r="O303">
        <v>0</v>
      </c>
    </row>
    <row r="304" spans="1:15" x14ac:dyDescent="0.3">
      <c r="A304" s="1">
        <v>45296</v>
      </c>
      <c r="B304" s="2" t="s">
        <v>24</v>
      </c>
      <c r="C304" s="2" t="s">
        <v>21</v>
      </c>
      <c r="D304" s="2" t="s">
        <v>18</v>
      </c>
      <c r="E304">
        <v>120.18</v>
      </c>
      <c r="F304">
        <v>32.630000000000003</v>
      </c>
      <c r="G304">
        <v>2</v>
      </c>
      <c r="H304">
        <f t="shared" si="4"/>
        <v>61207.979999999989</v>
      </c>
      <c r="I304" t="str">
        <f>IF(Sheet1[[#This Row],[Month_Revenue]] &lt; AVERAGE(Sheet1[Month_Revenue]), "Off-Peak", "Peak")</f>
        <v>Peak</v>
      </c>
      <c r="J304">
        <f xml:space="preserve"> IF(Sheet1[[#This Row],[Ad Spend]] &gt; 0, (Sheet1[[#This Row],[Profit]] / Sheet1[[#This Row],[Ad Spend]]), 0)</f>
        <v>2.683113699049954</v>
      </c>
      <c r="K304">
        <f>Sheet1[[#This Row],[Revenue]]-Sheet1[[#This Row],[Ad Spend]]</f>
        <v>87.550000000000011</v>
      </c>
      <c r="L304" s="2" t="s">
        <v>14</v>
      </c>
      <c r="M304">
        <v>1</v>
      </c>
      <c r="N304" s="2" t="s">
        <v>15</v>
      </c>
      <c r="O304">
        <v>60.09</v>
      </c>
    </row>
    <row r="305" spans="1:15" x14ac:dyDescent="0.3">
      <c r="A305" s="1">
        <v>45367</v>
      </c>
      <c r="B305" s="2" t="s">
        <v>20</v>
      </c>
      <c r="C305" s="2" t="s">
        <v>12</v>
      </c>
      <c r="D305" s="2" t="s">
        <v>13</v>
      </c>
      <c r="E305">
        <v>94.13</v>
      </c>
      <c r="F305">
        <v>15.37</v>
      </c>
      <c r="G305">
        <v>3</v>
      </c>
      <c r="H305">
        <f t="shared" si="4"/>
        <v>54735.250000000029</v>
      </c>
      <c r="I305" t="str">
        <f>IF(Sheet1[[#This Row],[Month_Revenue]] &lt; AVERAGE(Sheet1[Month_Revenue]), "Off-Peak", "Peak")</f>
        <v>Off-Peak</v>
      </c>
      <c r="J305">
        <f xml:space="preserve"> IF(Sheet1[[#This Row],[Ad Spend]] &gt; 0, (Sheet1[[#This Row],[Profit]] / Sheet1[[#This Row],[Ad Spend]]), 0)</f>
        <v>5.1242680546519193</v>
      </c>
      <c r="K305">
        <f>Sheet1[[#This Row],[Revenue]]-Sheet1[[#This Row],[Ad Spend]]</f>
        <v>78.759999999999991</v>
      </c>
      <c r="L305" s="2" t="s">
        <v>14</v>
      </c>
      <c r="M305">
        <v>3</v>
      </c>
      <c r="N305" s="2" t="s">
        <v>19</v>
      </c>
      <c r="O305">
        <v>31.376666666666665</v>
      </c>
    </row>
    <row r="306" spans="1:15" x14ac:dyDescent="0.3">
      <c r="A306" s="1">
        <v>45387</v>
      </c>
      <c r="B306" s="2" t="s">
        <v>11</v>
      </c>
      <c r="C306" s="2" t="s">
        <v>17</v>
      </c>
      <c r="D306" s="2" t="s">
        <v>13</v>
      </c>
      <c r="E306">
        <v>180.05</v>
      </c>
      <c r="F306">
        <v>7.53</v>
      </c>
      <c r="G306">
        <v>3</v>
      </c>
      <c r="H306">
        <f t="shared" si="4"/>
        <v>58562.910000000018</v>
      </c>
      <c r="I306" t="str">
        <f>IF(Sheet1[[#This Row],[Month_Revenue]] &lt; AVERAGE(Sheet1[Month_Revenue]), "Off-Peak", "Peak")</f>
        <v>Peak</v>
      </c>
      <c r="J306">
        <f xml:space="preserve"> IF(Sheet1[[#This Row],[Ad Spend]] &gt; 0, (Sheet1[[#This Row],[Profit]] / Sheet1[[#This Row],[Ad Spend]]), 0)</f>
        <v>22.911022576361223</v>
      </c>
      <c r="K306">
        <f>Sheet1[[#This Row],[Revenue]]-Sheet1[[#This Row],[Ad Spend]]</f>
        <v>172.52</v>
      </c>
      <c r="L306" s="2" t="s">
        <v>14</v>
      </c>
      <c r="M306">
        <v>4</v>
      </c>
      <c r="N306" s="2" t="s">
        <v>19</v>
      </c>
      <c r="O306">
        <v>60.016666666666673</v>
      </c>
    </row>
    <row r="307" spans="1:15" x14ac:dyDescent="0.3">
      <c r="A307" s="1">
        <v>45391</v>
      </c>
      <c r="B307" s="2" t="s">
        <v>11</v>
      </c>
      <c r="C307" s="2" t="s">
        <v>21</v>
      </c>
      <c r="D307" s="2" t="s">
        <v>13</v>
      </c>
      <c r="E307">
        <v>142.26</v>
      </c>
      <c r="F307">
        <v>18.510000000000002</v>
      </c>
      <c r="G307">
        <v>0</v>
      </c>
      <c r="H307">
        <f t="shared" si="4"/>
        <v>58562.910000000018</v>
      </c>
      <c r="I307" t="str">
        <f>IF(Sheet1[[#This Row],[Month_Revenue]] &lt; AVERAGE(Sheet1[Month_Revenue]), "Off-Peak", "Peak")</f>
        <v>Peak</v>
      </c>
      <c r="J307">
        <f xml:space="preserve"> IF(Sheet1[[#This Row],[Ad Spend]] &gt; 0, (Sheet1[[#This Row],[Profit]] / Sheet1[[#This Row],[Ad Spend]]), 0)</f>
        <v>6.6855753646677458</v>
      </c>
      <c r="K307">
        <f>Sheet1[[#This Row],[Revenue]]-Sheet1[[#This Row],[Ad Spend]]</f>
        <v>123.74999999999999</v>
      </c>
      <c r="L307" s="2" t="s">
        <v>22</v>
      </c>
      <c r="M307">
        <v>4</v>
      </c>
      <c r="N307" s="2" t="s">
        <v>19</v>
      </c>
      <c r="O307">
        <v>0</v>
      </c>
    </row>
    <row r="308" spans="1:15" x14ac:dyDescent="0.3">
      <c r="A308" s="1">
        <v>45403</v>
      </c>
      <c r="B308" s="2" t="s">
        <v>23</v>
      </c>
      <c r="C308" s="2" t="s">
        <v>12</v>
      </c>
      <c r="D308" s="2" t="s">
        <v>13</v>
      </c>
      <c r="E308">
        <v>119.87</v>
      </c>
      <c r="F308">
        <v>19.260000000000002</v>
      </c>
      <c r="G308">
        <v>0</v>
      </c>
      <c r="H308">
        <f t="shared" si="4"/>
        <v>58562.910000000018</v>
      </c>
      <c r="I308" t="str">
        <f>IF(Sheet1[[#This Row],[Month_Revenue]] &lt; AVERAGE(Sheet1[Month_Revenue]), "Off-Peak", "Peak")</f>
        <v>Peak</v>
      </c>
      <c r="J308">
        <f xml:space="preserve"> IF(Sheet1[[#This Row],[Ad Spend]] &gt; 0, (Sheet1[[#This Row],[Profit]] / Sheet1[[#This Row],[Ad Spend]]), 0)</f>
        <v>5.2237798546209753</v>
      </c>
      <c r="K308">
        <f>Sheet1[[#This Row],[Revenue]]-Sheet1[[#This Row],[Ad Spend]]</f>
        <v>100.61</v>
      </c>
      <c r="L308" s="2" t="s">
        <v>14</v>
      </c>
      <c r="M308">
        <v>4</v>
      </c>
      <c r="N308" s="2" t="s">
        <v>19</v>
      </c>
      <c r="O308">
        <v>0</v>
      </c>
    </row>
    <row r="309" spans="1:15" x14ac:dyDescent="0.3">
      <c r="A309" s="1">
        <v>45387</v>
      </c>
      <c r="B309" s="2" t="s">
        <v>16</v>
      </c>
      <c r="C309" s="2" t="s">
        <v>17</v>
      </c>
      <c r="D309" s="2" t="s">
        <v>13</v>
      </c>
      <c r="E309">
        <v>57.69</v>
      </c>
      <c r="F309">
        <v>42.07</v>
      </c>
      <c r="G309">
        <v>1</v>
      </c>
      <c r="H309">
        <f t="shared" si="4"/>
        <v>58562.910000000018</v>
      </c>
      <c r="I309" t="str">
        <f>IF(Sheet1[[#This Row],[Month_Revenue]] &lt; AVERAGE(Sheet1[Month_Revenue]), "Off-Peak", "Peak")</f>
        <v>Peak</v>
      </c>
      <c r="J309">
        <f xml:space="preserve"> IF(Sheet1[[#This Row],[Ad Spend]] &gt; 0, (Sheet1[[#This Row],[Profit]] / Sheet1[[#This Row],[Ad Spend]]), 0)</f>
        <v>0.3712859519847872</v>
      </c>
      <c r="K309">
        <f>Sheet1[[#This Row],[Revenue]]-Sheet1[[#This Row],[Ad Spend]]</f>
        <v>15.619999999999997</v>
      </c>
      <c r="L309" s="2" t="s">
        <v>22</v>
      </c>
      <c r="M309">
        <v>4</v>
      </c>
      <c r="N309" s="2" t="s">
        <v>19</v>
      </c>
      <c r="O309">
        <v>57.69</v>
      </c>
    </row>
    <row r="310" spans="1:15" x14ac:dyDescent="0.3">
      <c r="A310" s="1">
        <v>45400</v>
      </c>
      <c r="B310" s="2" t="s">
        <v>20</v>
      </c>
      <c r="C310" s="2" t="s">
        <v>17</v>
      </c>
      <c r="D310" s="2" t="s">
        <v>13</v>
      </c>
      <c r="E310">
        <v>171.42</v>
      </c>
      <c r="F310">
        <v>8.69</v>
      </c>
      <c r="G310">
        <v>3</v>
      </c>
      <c r="H310">
        <f t="shared" si="4"/>
        <v>58562.910000000018</v>
      </c>
      <c r="I310" t="str">
        <f>IF(Sheet1[[#This Row],[Month_Revenue]] &lt; AVERAGE(Sheet1[Month_Revenue]), "Off-Peak", "Peak")</f>
        <v>Peak</v>
      </c>
      <c r="J310">
        <f xml:space="preserve"> IF(Sheet1[[#This Row],[Ad Spend]] &gt; 0, (Sheet1[[#This Row],[Profit]] / Sheet1[[#This Row],[Ad Spend]]), 0)</f>
        <v>18.726121979286535</v>
      </c>
      <c r="K310">
        <f>Sheet1[[#This Row],[Revenue]]-Sheet1[[#This Row],[Ad Spend]]</f>
        <v>162.72999999999999</v>
      </c>
      <c r="L310" s="2" t="s">
        <v>22</v>
      </c>
      <c r="M310">
        <v>4</v>
      </c>
      <c r="N310" s="2" t="s">
        <v>19</v>
      </c>
      <c r="O310">
        <v>57.139999999999993</v>
      </c>
    </row>
    <row r="311" spans="1:15" x14ac:dyDescent="0.3">
      <c r="A311" s="1">
        <v>45377</v>
      </c>
      <c r="B311" s="2" t="s">
        <v>16</v>
      </c>
      <c r="C311" s="2" t="s">
        <v>21</v>
      </c>
      <c r="D311" s="2" t="s">
        <v>13</v>
      </c>
      <c r="E311">
        <v>61.93</v>
      </c>
      <c r="F311">
        <v>42.17</v>
      </c>
      <c r="G311">
        <v>2</v>
      </c>
      <c r="H311">
        <f t="shared" si="4"/>
        <v>54735.250000000029</v>
      </c>
      <c r="I311" t="str">
        <f>IF(Sheet1[[#This Row],[Month_Revenue]] &lt; AVERAGE(Sheet1[Month_Revenue]), "Off-Peak", "Peak")</f>
        <v>Off-Peak</v>
      </c>
      <c r="J311">
        <f xml:space="preserve"> IF(Sheet1[[#This Row],[Ad Spend]] &gt; 0, (Sheet1[[#This Row],[Profit]] / Sheet1[[#This Row],[Ad Spend]]), 0)</f>
        <v>0.4685795589281479</v>
      </c>
      <c r="K311">
        <f>Sheet1[[#This Row],[Revenue]]-Sheet1[[#This Row],[Ad Spend]]</f>
        <v>19.759999999999998</v>
      </c>
      <c r="L311" s="2" t="s">
        <v>22</v>
      </c>
      <c r="M311">
        <v>3</v>
      </c>
      <c r="N311" s="2" t="s">
        <v>19</v>
      </c>
      <c r="O311">
        <v>30.965</v>
      </c>
    </row>
    <row r="312" spans="1:15" x14ac:dyDescent="0.3">
      <c r="A312" s="1">
        <v>45388</v>
      </c>
      <c r="B312" s="2" t="s">
        <v>24</v>
      </c>
      <c r="C312" s="2" t="s">
        <v>12</v>
      </c>
      <c r="D312" s="2" t="s">
        <v>13</v>
      </c>
      <c r="E312">
        <v>95.17</v>
      </c>
      <c r="F312">
        <v>30.3</v>
      </c>
      <c r="G312">
        <v>0</v>
      </c>
      <c r="H312">
        <f t="shared" si="4"/>
        <v>58562.910000000018</v>
      </c>
      <c r="I312" t="str">
        <f>IF(Sheet1[[#This Row],[Month_Revenue]] &lt; AVERAGE(Sheet1[Month_Revenue]), "Off-Peak", "Peak")</f>
        <v>Peak</v>
      </c>
      <c r="J312">
        <f xml:space="preserve"> IF(Sheet1[[#This Row],[Ad Spend]] &gt; 0, (Sheet1[[#This Row],[Profit]] / Sheet1[[#This Row],[Ad Spend]]), 0)</f>
        <v>2.1409240924092412</v>
      </c>
      <c r="K312">
        <f>Sheet1[[#This Row],[Revenue]]-Sheet1[[#This Row],[Ad Spend]]</f>
        <v>64.87</v>
      </c>
      <c r="L312" s="2" t="s">
        <v>22</v>
      </c>
      <c r="M312">
        <v>4</v>
      </c>
      <c r="N312" s="2" t="s">
        <v>19</v>
      </c>
      <c r="O312">
        <v>0</v>
      </c>
    </row>
    <row r="313" spans="1:15" x14ac:dyDescent="0.3">
      <c r="A313" s="1">
        <v>45336</v>
      </c>
      <c r="B313" s="2" t="s">
        <v>11</v>
      </c>
      <c r="C313" s="2" t="s">
        <v>12</v>
      </c>
      <c r="D313" s="2" t="s">
        <v>13</v>
      </c>
      <c r="E313">
        <v>114.16</v>
      </c>
      <c r="F313">
        <v>13.98</v>
      </c>
      <c r="G313">
        <v>0</v>
      </c>
      <c r="H313">
        <f t="shared" si="4"/>
        <v>48675.899999999936</v>
      </c>
      <c r="I313" t="str">
        <f>IF(Sheet1[[#This Row],[Month_Revenue]] &lt; AVERAGE(Sheet1[Month_Revenue]), "Off-Peak", "Peak")</f>
        <v>Off-Peak</v>
      </c>
      <c r="J313">
        <f xml:space="preserve"> IF(Sheet1[[#This Row],[Ad Spend]] &gt; 0, (Sheet1[[#This Row],[Profit]] / Sheet1[[#This Row],[Ad Spend]]), 0)</f>
        <v>7.1659513590844055</v>
      </c>
      <c r="K313">
        <f>Sheet1[[#This Row],[Revenue]]-Sheet1[[#This Row],[Ad Spend]]</f>
        <v>100.17999999999999</v>
      </c>
      <c r="L313" s="2" t="s">
        <v>22</v>
      </c>
      <c r="M313">
        <v>2</v>
      </c>
      <c r="N313" s="2" t="s">
        <v>15</v>
      </c>
      <c r="O313">
        <v>0</v>
      </c>
    </row>
    <row r="314" spans="1:15" x14ac:dyDescent="0.3">
      <c r="A314" s="1">
        <v>45351</v>
      </c>
      <c r="B314" s="2" t="s">
        <v>24</v>
      </c>
      <c r="C314" s="2" t="s">
        <v>21</v>
      </c>
      <c r="D314" s="2" t="s">
        <v>13</v>
      </c>
      <c r="E314">
        <v>126.98</v>
      </c>
      <c r="F314">
        <v>44.91</v>
      </c>
      <c r="G314">
        <v>2</v>
      </c>
      <c r="H314">
        <f t="shared" si="4"/>
        <v>48675.899999999936</v>
      </c>
      <c r="I314" t="str">
        <f>IF(Sheet1[[#This Row],[Month_Revenue]] &lt; AVERAGE(Sheet1[Month_Revenue]), "Off-Peak", "Peak")</f>
        <v>Off-Peak</v>
      </c>
      <c r="J314">
        <f xml:space="preserve"> IF(Sheet1[[#This Row],[Ad Spend]] &gt; 0, (Sheet1[[#This Row],[Profit]] / Sheet1[[#This Row],[Ad Spend]]), 0)</f>
        <v>1.8274326430639058</v>
      </c>
      <c r="K314">
        <f>Sheet1[[#This Row],[Revenue]]-Sheet1[[#This Row],[Ad Spend]]</f>
        <v>82.070000000000007</v>
      </c>
      <c r="L314" s="2" t="s">
        <v>22</v>
      </c>
      <c r="M314">
        <v>2</v>
      </c>
      <c r="N314" s="2" t="s">
        <v>15</v>
      </c>
      <c r="O314">
        <v>63.49</v>
      </c>
    </row>
    <row r="315" spans="1:15" x14ac:dyDescent="0.3">
      <c r="A315" s="1">
        <v>45317</v>
      </c>
      <c r="B315" s="2" t="s">
        <v>24</v>
      </c>
      <c r="C315" s="2" t="s">
        <v>21</v>
      </c>
      <c r="D315" s="2" t="s">
        <v>13</v>
      </c>
      <c r="E315">
        <v>147.44999999999999</v>
      </c>
      <c r="F315">
        <v>20.38</v>
      </c>
      <c r="G315">
        <v>1</v>
      </c>
      <c r="H315">
        <f t="shared" si="4"/>
        <v>61207.979999999989</v>
      </c>
      <c r="I315" t="str">
        <f>IF(Sheet1[[#This Row],[Month_Revenue]] &lt; AVERAGE(Sheet1[Month_Revenue]), "Off-Peak", "Peak")</f>
        <v>Peak</v>
      </c>
      <c r="J315">
        <f xml:space="preserve"> IF(Sheet1[[#This Row],[Ad Spend]] &gt; 0, (Sheet1[[#This Row],[Profit]] / Sheet1[[#This Row],[Ad Spend]]), 0)</f>
        <v>6.2350343473994112</v>
      </c>
      <c r="K315">
        <f>Sheet1[[#This Row],[Revenue]]-Sheet1[[#This Row],[Ad Spend]]</f>
        <v>127.07</v>
      </c>
      <c r="L315" s="2" t="s">
        <v>22</v>
      </c>
      <c r="M315">
        <v>1</v>
      </c>
      <c r="N315" s="2" t="s">
        <v>15</v>
      </c>
      <c r="O315">
        <v>147.44999999999999</v>
      </c>
    </row>
    <row r="316" spans="1:15" x14ac:dyDescent="0.3">
      <c r="A316" s="1">
        <v>45395</v>
      </c>
      <c r="B316" s="2" t="s">
        <v>23</v>
      </c>
      <c r="C316" s="2" t="s">
        <v>21</v>
      </c>
      <c r="D316" s="2" t="s">
        <v>18</v>
      </c>
      <c r="E316">
        <v>80.19</v>
      </c>
      <c r="F316">
        <v>5.33</v>
      </c>
      <c r="G316">
        <v>3</v>
      </c>
      <c r="H316">
        <f t="shared" si="4"/>
        <v>58562.910000000018</v>
      </c>
      <c r="I316" t="str">
        <f>IF(Sheet1[[#This Row],[Month_Revenue]] &lt; AVERAGE(Sheet1[Month_Revenue]), "Off-Peak", "Peak")</f>
        <v>Peak</v>
      </c>
      <c r="J316">
        <f xml:space="preserve"> IF(Sheet1[[#This Row],[Ad Spend]] &gt; 0, (Sheet1[[#This Row],[Profit]] / Sheet1[[#This Row],[Ad Spend]]), 0)</f>
        <v>14.045028142589118</v>
      </c>
      <c r="K316">
        <f>Sheet1[[#This Row],[Revenue]]-Sheet1[[#This Row],[Ad Spend]]</f>
        <v>74.86</v>
      </c>
      <c r="L316" s="2" t="s">
        <v>14</v>
      </c>
      <c r="M316">
        <v>4</v>
      </c>
      <c r="N316" s="2" t="s">
        <v>19</v>
      </c>
      <c r="O316">
        <v>26.73</v>
      </c>
    </row>
    <row r="317" spans="1:15" x14ac:dyDescent="0.3">
      <c r="A317" s="1">
        <v>45308</v>
      </c>
      <c r="B317" s="2" t="s">
        <v>20</v>
      </c>
      <c r="C317" s="2" t="s">
        <v>12</v>
      </c>
      <c r="D317" s="2" t="s">
        <v>13</v>
      </c>
      <c r="E317">
        <v>180.51</v>
      </c>
      <c r="F317">
        <v>45.96</v>
      </c>
      <c r="G317">
        <v>2</v>
      </c>
      <c r="H317">
        <f t="shared" si="4"/>
        <v>61207.979999999989</v>
      </c>
      <c r="I317" t="str">
        <f>IF(Sheet1[[#This Row],[Month_Revenue]] &lt; AVERAGE(Sheet1[Month_Revenue]), "Off-Peak", "Peak")</f>
        <v>Peak</v>
      </c>
      <c r="J317">
        <f xml:space="preserve"> IF(Sheet1[[#This Row],[Ad Spend]] &gt; 0, (Sheet1[[#This Row],[Profit]] / Sheet1[[#This Row],[Ad Spend]]), 0)</f>
        <v>2.9275456919060048</v>
      </c>
      <c r="K317">
        <f>Sheet1[[#This Row],[Revenue]]-Sheet1[[#This Row],[Ad Spend]]</f>
        <v>134.54999999999998</v>
      </c>
      <c r="L317" s="2" t="s">
        <v>14</v>
      </c>
      <c r="M317">
        <v>1</v>
      </c>
      <c r="N317" s="2" t="s">
        <v>15</v>
      </c>
      <c r="O317">
        <v>90.254999999999995</v>
      </c>
    </row>
    <row r="318" spans="1:15" x14ac:dyDescent="0.3">
      <c r="A318" s="1">
        <v>45318</v>
      </c>
      <c r="B318" s="2" t="s">
        <v>20</v>
      </c>
      <c r="C318" s="2" t="s">
        <v>12</v>
      </c>
      <c r="D318" s="2" t="s">
        <v>13</v>
      </c>
      <c r="E318">
        <v>198.96</v>
      </c>
      <c r="F318">
        <v>4.76</v>
      </c>
      <c r="G318">
        <v>2</v>
      </c>
      <c r="H318">
        <f t="shared" si="4"/>
        <v>61207.979999999989</v>
      </c>
      <c r="I318" t="str">
        <f>IF(Sheet1[[#This Row],[Month_Revenue]] &lt; AVERAGE(Sheet1[Month_Revenue]), "Off-Peak", "Peak")</f>
        <v>Peak</v>
      </c>
      <c r="J318">
        <f xml:space="preserve"> IF(Sheet1[[#This Row],[Ad Spend]] &gt; 0, (Sheet1[[#This Row],[Profit]] / Sheet1[[#This Row],[Ad Spend]]), 0)</f>
        <v>40.7983193277311</v>
      </c>
      <c r="K318">
        <f>Sheet1[[#This Row],[Revenue]]-Sheet1[[#This Row],[Ad Spend]]</f>
        <v>194.20000000000002</v>
      </c>
      <c r="L318" s="2" t="s">
        <v>22</v>
      </c>
      <c r="M318">
        <v>1</v>
      </c>
      <c r="N318" s="2" t="s">
        <v>15</v>
      </c>
      <c r="O318">
        <v>99.48</v>
      </c>
    </row>
    <row r="319" spans="1:15" x14ac:dyDescent="0.3">
      <c r="A319" s="1">
        <v>45339</v>
      </c>
      <c r="B319" s="2" t="s">
        <v>23</v>
      </c>
      <c r="C319" s="2" t="s">
        <v>17</v>
      </c>
      <c r="D319" s="2" t="s">
        <v>13</v>
      </c>
      <c r="E319">
        <v>99.21</v>
      </c>
      <c r="F319">
        <v>20.32</v>
      </c>
      <c r="G319">
        <v>3</v>
      </c>
      <c r="H319">
        <f t="shared" si="4"/>
        <v>48675.899999999936</v>
      </c>
      <c r="I319" t="str">
        <f>IF(Sheet1[[#This Row],[Month_Revenue]] &lt; AVERAGE(Sheet1[Month_Revenue]), "Off-Peak", "Peak")</f>
        <v>Off-Peak</v>
      </c>
      <c r="J319">
        <f xml:space="preserve"> IF(Sheet1[[#This Row],[Ad Spend]] &gt; 0, (Sheet1[[#This Row],[Profit]] / Sheet1[[#This Row],[Ad Spend]]), 0)</f>
        <v>3.8823818897637787</v>
      </c>
      <c r="K319">
        <f>Sheet1[[#This Row],[Revenue]]-Sheet1[[#This Row],[Ad Spend]]</f>
        <v>78.889999999999986</v>
      </c>
      <c r="L319" s="2" t="s">
        <v>22</v>
      </c>
      <c r="M319">
        <v>2</v>
      </c>
      <c r="N319" s="2" t="s">
        <v>15</v>
      </c>
      <c r="O319">
        <v>33.07</v>
      </c>
    </row>
    <row r="320" spans="1:15" x14ac:dyDescent="0.3">
      <c r="A320" s="1">
        <v>45399</v>
      </c>
      <c r="B320" s="2" t="s">
        <v>11</v>
      </c>
      <c r="C320" s="2" t="s">
        <v>12</v>
      </c>
      <c r="D320" s="2" t="s">
        <v>13</v>
      </c>
      <c r="E320">
        <v>68.34</v>
      </c>
      <c r="F320">
        <v>27.49</v>
      </c>
      <c r="G320">
        <v>1</v>
      </c>
      <c r="H320">
        <f t="shared" si="4"/>
        <v>58562.910000000018</v>
      </c>
      <c r="I320" t="str">
        <f>IF(Sheet1[[#This Row],[Month_Revenue]] &lt; AVERAGE(Sheet1[Month_Revenue]), "Off-Peak", "Peak")</f>
        <v>Peak</v>
      </c>
      <c r="J320">
        <f xml:space="preserve"> IF(Sheet1[[#This Row],[Ad Spend]] &gt; 0, (Sheet1[[#This Row],[Profit]] / Sheet1[[#This Row],[Ad Spend]]), 0)</f>
        <v>1.4859949072389964</v>
      </c>
      <c r="K320">
        <f>Sheet1[[#This Row],[Revenue]]-Sheet1[[#This Row],[Ad Spend]]</f>
        <v>40.850000000000009</v>
      </c>
      <c r="L320" s="2" t="s">
        <v>22</v>
      </c>
      <c r="M320">
        <v>4</v>
      </c>
      <c r="N320" s="2" t="s">
        <v>19</v>
      </c>
      <c r="O320">
        <v>68.34</v>
      </c>
    </row>
    <row r="321" spans="1:15" x14ac:dyDescent="0.3">
      <c r="A321" s="1">
        <v>45386</v>
      </c>
      <c r="B321" s="2" t="s">
        <v>20</v>
      </c>
      <c r="C321" s="2" t="s">
        <v>21</v>
      </c>
      <c r="D321" s="2" t="s">
        <v>18</v>
      </c>
      <c r="E321">
        <v>150.69</v>
      </c>
      <c r="F321">
        <v>14.61</v>
      </c>
      <c r="G321">
        <v>3</v>
      </c>
      <c r="H321">
        <f t="shared" si="4"/>
        <v>58562.910000000018</v>
      </c>
      <c r="I321" t="str">
        <f>IF(Sheet1[[#This Row],[Month_Revenue]] &lt; AVERAGE(Sheet1[Month_Revenue]), "Off-Peak", "Peak")</f>
        <v>Peak</v>
      </c>
      <c r="J321">
        <f xml:space="preserve"> IF(Sheet1[[#This Row],[Ad Spend]] &gt; 0, (Sheet1[[#This Row],[Profit]] / Sheet1[[#This Row],[Ad Spend]]), 0)</f>
        <v>9.3141683778234086</v>
      </c>
      <c r="K321">
        <f>Sheet1[[#This Row],[Revenue]]-Sheet1[[#This Row],[Ad Spend]]</f>
        <v>136.07999999999998</v>
      </c>
      <c r="L321" s="2" t="s">
        <v>22</v>
      </c>
      <c r="M321">
        <v>4</v>
      </c>
      <c r="N321" s="2" t="s">
        <v>19</v>
      </c>
      <c r="O321">
        <v>50.23</v>
      </c>
    </row>
    <row r="322" spans="1:15" x14ac:dyDescent="0.3">
      <c r="A322" s="1">
        <v>45309</v>
      </c>
      <c r="B322" s="2" t="s">
        <v>24</v>
      </c>
      <c r="C322" s="2" t="s">
        <v>21</v>
      </c>
      <c r="D322" s="2" t="s">
        <v>18</v>
      </c>
      <c r="E322">
        <v>116.14</v>
      </c>
      <c r="F322">
        <v>19.940000000000001</v>
      </c>
      <c r="G322">
        <v>0</v>
      </c>
      <c r="H322">
        <f t="shared" ref="H322:H385" si="5">SUMIFS($E$2:$E$2001, $M$2:$M$2001, M322)</f>
        <v>61207.979999999989</v>
      </c>
      <c r="I322" t="str">
        <f>IF(Sheet1[[#This Row],[Month_Revenue]] &lt; AVERAGE(Sheet1[Month_Revenue]), "Off-Peak", "Peak")</f>
        <v>Peak</v>
      </c>
      <c r="J322">
        <f xml:space="preserve"> IF(Sheet1[[#This Row],[Ad Spend]] &gt; 0, (Sheet1[[#This Row],[Profit]] / Sheet1[[#This Row],[Ad Spend]]), 0)</f>
        <v>4.824473420260782</v>
      </c>
      <c r="K322">
        <f>Sheet1[[#This Row],[Revenue]]-Sheet1[[#This Row],[Ad Spend]]</f>
        <v>96.2</v>
      </c>
      <c r="L322" s="2" t="s">
        <v>14</v>
      </c>
      <c r="M322">
        <v>1</v>
      </c>
      <c r="N322" s="2" t="s">
        <v>15</v>
      </c>
      <c r="O322">
        <v>0</v>
      </c>
    </row>
    <row r="323" spans="1:15" x14ac:dyDescent="0.3">
      <c r="A323" s="1">
        <v>45374</v>
      </c>
      <c r="B323" s="2" t="s">
        <v>20</v>
      </c>
      <c r="C323" s="2" t="s">
        <v>21</v>
      </c>
      <c r="D323" s="2" t="s">
        <v>18</v>
      </c>
      <c r="E323">
        <v>178.12</v>
      </c>
      <c r="F323">
        <v>18.77</v>
      </c>
      <c r="G323">
        <v>3</v>
      </c>
      <c r="H323">
        <f t="shared" si="5"/>
        <v>54735.250000000029</v>
      </c>
      <c r="I323" t="str">
        <f>IF(Sheet1[[#This Row],[Month_Revenue]] &lt; AVERAGE(Sheet1[Month_Revenue]), "Off-Peak", "Peak")</f>
        <v>Off-Peak</v>
      </c>
      <c r="J323">
        <f xml:space="preserve"> IF(Sheet1[[#This Row],[Ad Spend]] &gt; 0, (Sheet1[[#This Row],[Profit]] / Sheet1[[#This Row],[Ad Spend]]), 0)</f>
        <v>8.4896110815130523</v>
      </c>
      <c r="K323">
        <f>Sheet1[[#This Row],[Revenue]]-Sheet1[[#This Row],[Ad Spend]]</f>
        <v>159.35</v>
      </c>
      <c r="L323" s="2" t="s">
        <v>22</v>
      </c>
      <c r="M323">
        <v>3</v>
      </c>
      <c r="N323" s="2" t="s">
        <v>19</v>
      </c>
      <c r="O323">
        <v>59.373333333333335</v>
      </c>
    </row>
    <row r="324" spans="1:15" x14ac:dyDescent="0.3">
      <c r="A324" s="1">
        <v>45351</v>
      </c>
      <c r="B324" s="2" t="s">
        <v>24</v>
      </c>
      <c r="C324" s="2" t="s">
        <v>17</v>
      </c>
      <c r="D324" s="2" t="s">
        <v>18</v>
      </c>
      <c r="E324">
        <v>37.01</v>
      </c>
      <c r="F324">
        <v>19.16</v>
      </c>
      <c r="G324">
        <v>2</v>
      </c>
      <c r="H324">
        <f t="shared" si="5"/>
        <v>48675.899999999936</v>
      </c>
      <c r="I324" t="str">
        <f>IF(Sheet1[[#This Row],[Month_Revenue]] &lt; AVERAGE(Sheet1[Month_Revenue]), "Off-Peak", "Peak")</f>
        <v>Off-Peak</v>
      </c>
      <c r="J324">
        <f xml:space="preserve"> IF(Sheet1[[#This Row],[Ad Spend]] &gt; 0, (Sheet1[[#This Row],[Profit]] / Sheet1[[#This Row],[Ad Spend]]), 0)</f>
        <v>0.93162839248434226</v>
      </c>
      <c r="K324">
        <f>Sheet1[[#This Row],[Revenue]]-Sheet1[[#This Row],[Ad Spend]]</f>
        <v>17.849999999999998</v>
      </c>
      <c r="L324" s="2" t="s">
        <v>22</v>
      </c>
      <c r="M324">
        <v>2</v>
      </c>
      <c r="N324" s="2" t="s">
        <v>15</v>
      </c>
      <c r="O324">
        <v>18.504999999999999</v>
      </c>
    </row>
    <row r="325" spans="1:15" x14ac:dyDescent="0.3">
      <c r="A325" s="1">
        <v>45340</v>
      </c>
      <c r="B325" s="2" t="s">
        <v>11</v>
      </c>
      <c r="C325" s="2" t="s">
        <v>12</v>
      </c>
      <c r="D325" s="2" t="s">
        <v>13</v>
      </c>
      <c r="E325">
        <v>103.89</v>
      </c>
      <c r="F325">
        <v>9.27</v>
      </c>
      <c r="G325">
        <v>1</v>
      </c>
      <c r="H325">
        <f t="shared" si="5"/>
        <v>48675.899999999936</v>
      </c>
      <c r="I325" t="str">
        <f>IF(Sheet1[[#This Row],[Month_Revenue]] &lt; AVERAGE(Sheet1[Month_Revenue]), "Off-Peak", "Peak")</f>
        <v>Off-Peak</v>
      </c>
      <c r="J325">
        <f xml:space="preserve"> IF(Sheet1[[#This Row],[Ad Spend]] &gt; 0, (Sheet1[[#This Row],[Profit]] / Sheet1[[#This Row],[Ad Spend]]), 0)</f>
        <v>10.207119741100325</v>
      </c>
      <c r="K325">
        <f>Sheet1[[#This Row],[Revenue]]-Sheet1[[#This Row],[Ad Spend]]</f>
        <v>94.62</v>
      </c>
      <c r="L325" s="2" t="s">
        <v>22</v>
      </c>
      <c r="M325">
        <v>2</v>
      </c>
      <c r="N325" s="2" t="s">
        <v>15</v>
      </c>
      <c r="O325">
        <v>103.89</v>
      </c>
    </row>
    <row r="326" spans="1:15" x14ac:dyDescent="0.3">
      <c r="A326" s="1">
        <v>45396</v>
      </c>
      <c r="B326" s="2" t="s">
        <v>20</v>
      </c>
      <c r="C326" s="2" t="s">
        <v>21</v>
      </c>
      <c r="D326" s="2" t="s">
        <v>18</v>
      </c>
      <c r="E326">
        <v>99.22</v>
      </c>
      <c r="F326">
        <v>20.350000000000001</v>
      </c>
      <c r="G326">
        <v>0</v>
      </c>
      <c r="H326">
        <f t="shared" si="5"/>
        <v>58562.910000000018</v>
      </c>
      <c r="I326" t="str">
        <f>IF(Sheet1[[#This Row],[Month_Revenue]] &lt; AVERAGE(Sheet1[Month_Revenue]), "Off-Peak", "Peak")</f>
        <v>Peak</v>
      </c>
      <c r="J326">
        <f xml:space="preserve"> IF(Sheet1[[#This Row],[Ad Spend]] &gt; 0, (Sheet1[[#This Row],[Profit]] / Sheet1[[#This Row],[Ad Spend]]), 0)</f>
        <v>3.8756756756756756</v>
      </c>
      <c r="K326">
        <f>Sheet1[[#This Row],[Revenue]]-Sheet1[[#This Row],[Ad Spend]]</f>
        <v>78.87</v>
      </c>
      <c r="L326" s="2" t="s">
        <v>22</v>
      </c>
      <c r="M326">
        <v>4</v>
      </c>
      <c r="N326" s="2" t="s">
        <v>19</v>
      </c>
      <c r="O326">
        <v>0</v>
      </c>
    </row>
    <row r="327" spans="1:15" x14ac:dyDescent="0.3">
      <c r="A327" s="1">
        <v>45373</v>
      </c>
      <c r="B327" s="2" t="s">
        <v>23</v>
      </c>
      <c r="C327" s="2" t="s">
        <v>21</v>
      </c>
      <c r="D327" s="2" t="s">
        <v>18</v>
      </c>
      <c r="E327">
        <v>123.64</v>
      </c>
      <c r="F327">
        <v>26.62</v>
      </c>
      <c r="G327">
        <v>1</v>
      </c>
      <c r="H327">
        <f t="shared" si="5"/>
        <v>54735.250000000029</v>
      </c>
      <c r="I327" t="str">
        <f>IF(Sheet1[[#This Row],[Month_Revenue]] &lt; AVERAGE(Sheet1[Month_Revenue]), "Off-Peak", "Peak")</f>
        <v>Off-Peak</v>
      </c>
      <c r="J327">
        <f xml:space="preserve"> IF(Sheet1[[#This Row],[Ad Spend]] &gt; 0, (Sheet1[[#This Row],[Profit]] / Sheet1[[#This Row],[Ad Spend]]), 0)</f>
        <v>3.6446280991735533</v>
      </c>
      <c r="K327">
        <f>Sheet1[[#This Row],[Revenue]]-Sheet1[[#This Row],[Ad Spend]]</f>
        <v>97.02</v>
      </c>
      <c r="L327" s="2" t="s">
        <v>22</v>
      </c>
      <c r="M327">
        <v>3</v>
      </c>
      <c r="N327" s="2" t="s">
        <v>19</v>
      </c>
      <c r="O327">
        <v>123.64</v>
      </c>
    </row>
    <row r="328" spans="1:15" x14ac:dyDescent="0.3">
      <c r="A328" s="1">
        <v>45362</v>
      </c>
      <c r="B328" s="2" t="s">
        <v>20</v>
      </c>
      <c r="C328" s="2" t="s">
        <v>12</v>
      </c>
      <c r="D328" s="2" t="s">
        <v>18</v>
      </c>
      <c r="E328">
        <v>122.79</v>
      </c>
      <c r="F328">
        <v>31.75</v>
      </c>
      <c r="G328">
        <v>1</v>
      </c>
      <c r="H328">
        <f t="shared" si="5"/>
        <v>54735.250000000029</v>
      </c>
      <c r="I328" t="str">
        <f>IF(Sheet1[[#This Row],[Month_Revenue]] &lt; AVERAGE(Sheet1[Month_Revenue]), "Off-Peak", "Peak")</f>
        <v>Off-Peak</v>
      </c>
      <c r="J328">
        <f xml:space="preserve"> IF(Sheet1[[#This Row],[Ad Spend]] &gt; 0, (Sheet1[[#This Row],[Profit]] / Sheet1[[#This Row],[Ad Spend]]), 0)</f>
        <v>2.8674015748031496</v>
      </c>
      <c r="K328">
        <f>Sheet1[[#This Row],[Revenue]]-Sheet1[[#This Row],[Ad Spend]]</f>
        <v>91.04</v>
      </c>
      <c r="L328" s="2" t="s">
        <v>14</v>
      </c>
      <c r="M328">
        <v>3</v>
      </c>
      <c r="N328" s="2" t="s">
        <v>19</v>
      </c>
      <c r="O328">
        <v>122.79</v>
      </c>
    </row>
    <row r="329" spans="1:15" x14ac:dyDescent="0.3">
      <c r="A329" s="1">
        <v>45377</v>
      </c>
      <c r="B329" s="2" t="s">
        <v>23</v>
      </c>
      <c r="C329" s="2" t="s">
        <v>12</v>
      </c>
      <c r="D329" s="2" t="s">
        <v>13</v>
      </c>
      <c r="E329">
        <v>124.93</v>
      </c>
      <c r="F329">
        <v>4.6900000000000004</v>
      </c>
      <c r="G329">
        <v>3</v>
      </c>
      <c r="H329">
        <f t="shared" si="5"/>
        <v>54735.250000000029</v>
      </c>
      <c r="I329" t="str">
        <f>IF(Sheet1[[#This Row],[Month_Revenue]] &lt; AVERAGE(Sheet1[Month_Revenue]), "Off-Peak", "Peak")</f>
        <v>Off-Peak</v>
      </c>
      <c r="J329">
        <f xml:space="preserve"> IF(Sheet1[[#This Row],[Ad Spend]] &gt; 0, (Sheet1[[#This Row],[Profit]] / Sheet1[[#This Row],[Ad Spend]]), 0)</f>
        <v>25.637526652452024</v>
      </c>
      <c r="K329">
        <f>Sheet1[[#This Row],[Revenue]]-Sheet1[[#This Row],[Ad Spend]]</f>
        <v>120.24000000000001</v>
      </c>
      <c r="L329" s="2" t="s">
        <v>14</v>
      </c>
      <c r="M329">
        <v>3</v>
      </c>
      <c r="N329" s="2" t="s">
        <v>19</v>
      </c>
      <c r="O329">
        <v>41.643333333333338</v>
      </c>
    </row>
    <row r="330" spans="1:15" x14ac:dyDescent="0.3">
      <c r="A330" s="1">
        <v>45327</v>
      </c>
      <c r="B330" s="2" t="s">
        <v>23</v>
      </c>
      <c r="C330" s="2" t="s">
        <v>12</v>
      </c>
      <c r="D330" s="2" t="s">
        <v>13</v>
      </c>
      <c r="E330">
        <v>60.49</v>
      </c>
      <c r="F330">
        <v>31.22</v>
      </c>
      <c r="G330">
        <v>3</v>
      </c>
      <c r="H330">
        <f t="shared" si="5"/>
        <v>48675.899999999936</v>
      </c>
      <c r="I330" t="str">
        <f>IF(Sheet1[[#This Row],[Month_Revenue]] &lt; AVERAGE(Sheet1[Month_Revenue]), "Off-Peak", "Peak")</f>
        <v>Off-Peak</v>
      </c>
      <c r="J330">
        <f xml:space="preserve"> IF(Sheet1[[#This Row],[Ad Spend]] &gt; 0, (Sheet1[[#This Row],[Profit]] / Sheet1[[#This Row],[Ad Spend]]), 0)</f>
        <v>0.93754003843689959</v>
      </c>
      <c r="K330">
        <f>Sheet1[[#This Row],[Revenue]]-Sheet1[[#This Row],[Ad Spend]]</f>
        <v>29.270000000000003</v>
      </c>
      <c r="L330" s="2" t="s">
        <v>14</v>
      </c>
      <c r="M330">
        <v>2</v>
      </c>
      <c r="N330" s="2" t="s">
        <v>15</v>
      </c>
      <c r="O330">
        <v>20.163333333333334</v>
      </c>
    </row>
    <row r="331" spans="1:15" x14ac:dyDescent="0.3">
      <c r="A331" s="1">
        <v>45370</v>
      </c>
      <c r="B331" s="2" t="s">
        <v>11</v>
      </c>
      <c r="C331" s="2" t="s">
        <v>17</v>
      </c>
      <c r="D331" s="2" t="s">
        <v>18</v>
      </c>
      <c r="E331">
        <v>147.86000000000001</v>
      </c>
      <c r="F331">
        <v>5.8</v>
      </c>
      <c r="G331">
        <v>3</v>
      </c>
      <c r="H331">
        <f t="shared" si="5"/>
        <v>54735.250000000029</v>
      </c>
      <c r="I331" t="str">
        <f>IF(Sheet1[[#This Row],[Month_Revenue]] &lt; AVERAGE(Sheet1[Month_Revenue]), "Off-Peak", "Peak")</f>
        <v>Off-Peak</v>
      </c>
      <c r="J331">
        <f xml:space="preserve"> IF(Sheet1[[#This Row],[Ad Spend]] &gt; 0, (Sheet1[[#This Row],[Profit]] / Sheet1[[#This Row],[Ad Spend]]), 0)</f>
        <v>24.493103448275864</v>
      </c>
      <c r="K331">
        <f>Sheet1[[#This Row],[Revenue]]-Sheet1[[#This Row],[Ad Spend]]</f>
        <v>142.06</v>
      </c>
      <c r="L331" s="2" t="s">
        <v>14</v>
      </c>
      <c r="M331">
        <v>3</v>
      </c>
      <c r="N331" s="2" t="s">
        <v>19</v>
      </c>
      <c r="O331">
        <v>49.286666666666669</v>
      </c>
    </row>
    <row r="332" spans="1:15" x14ac:dyDescent="0.3">
      <c r="A332" s="1">
        <v>45401</v>
      </c>
      <c r="B332" s="2" t="s">
        <v>23</v>
      </c>
      <c r="C332" s="2" t="s">
        <v>17</v>
      </c>
      <c r="D332" s="2" t="s">
        <v>13</v>
      </c>
      <c r="E332">
        <v>20.010000000000002</v>
      </c>
      <c r="F332">
        <v>34.909999999999997</v>
      </c>
      <c r="G332">
        <v>2</v>
      </c>
      <c r="H332">
        <f t="shared" si="5"/>
        <v>58562.910000000018</v>
      </c>
      <c r="I332" t="str">
        <f>IF(Sheet1[[#This Row],[Month_Revenue]] &lt; AVERAGE(Sheet1[Month_Revenue]), "Off-Peak", "Peak")</f>
        <v>Peak</v>
      </c>
      <c r="J332">
        <f xml:space="preserve"> IF(Sheet1[[#This Row],[Ad Spend]] &gt; 0, (Sheet1[[#This Row],[Profit]] / Sheet1[[#This Row],[Ad Spend]]), 0)</f>
        <v>-0.42681180177599531</v>
      </c>
      <c r="K332">
        <f>Sheet1[[#This Row],[Revenue]]-Sheet1[[#This Row],[Ad Spend]]</f>
        <v>-14.899999999999995</v>
      </c>
      <c r="L332" s="2" t="s">
        <v>14</v>
      </c>
      <c r="M332">
        <v>4</v>
      </c>
      <c r="N332" s="2" t="s">
        <v>19</v>
      </c>
      <c r="O332">
        <v>10.005000000000001</v>
      </c>
    </row>
    <row r="333" spans="1:15" x14ac:dyDescent="0.3">
      <c r="A333" s="1">
        <v>45330</v>
      </c>
      <c r="B333" s="2" t="s">
        <v>16</v>
      </c>
      <c r="C333" s="2" t="s">
        <v>21</v>
      </c>
      <c r="D333" s="2" t="s">
        <v>13</v>
      </c>
      <c r="E333">
        <v>81.489999999999995</v>
      </c>
      <c r="F333">
        <v>48.18</v>
      </c>
      <c r="G333">
        <v>3</v>
      </c>
      <c r="H333">
        <f t="shared" si="5"/>
        <v>48675.899999999936</v>
      </c>
      <c r="I333" t="str">
        <f>IF(Sheet1[[#This Row],[Month_Revenue]] &lt; AVERAGE(Sheet1[Month_Revenue]), "Off-Peak", "Peak")</f>
        <v>Off-Peak</v>
      </c>
      <c r="J333">
        <f xml:space="preserve"> IF(Sheet1[[#This Row],[Ad Spend]] &gt; 0, (Sheet1[[#This Row],[Profit]] / Sheet1[[#This Row],[Ad Spend]]), 0)</f>
        <v>0.69136571191365703</v>
      </c>
      <c r="K333">
        <f>Sheet1[[#This Row],[Revenue]]-Sheet1[[#This Row],[Ad Spend]]</f>
        <v>33.309999999999995</v>
      </c>
      <c r="L333" s="2" t="s">
        <v>14</v>
      </c>
      <c r="M333">
        <v>2</v>
      </c>
      <c r="N333" s="2" t="s">
        <v>15</v>
      </c>
      <c r="O333">
        <v>27.16333333333333</v>
      </c>
    </row>
    <row r="334" spans="1:15" x14ac:dyDescent="0.3">
      <c r="A334" s="1">
        <v>45386</v>
      </c>
      <c r="B334" s="2" t="s">
        <v>16</v>
      </c>
      <c r="C334" s="2" t="s">
        <v>17</v>
      </c>
      <c r="D334" s="2" t="s">
        <v>13</v>
      </c>
      <c r="E334">
        <v>143.33000000000001</v>
      </c>
      <c r="F334">
        <v>20.16</v>
      </c>
      <c r="G334">
        <v>3</v>
      </c>
      <c r="H334">
        <f t="shared" si="5"/>
        <v>58562.910000000018</v>
      </c>
      <c r="I334" t="str">
        <f>IF(Sheet1[[#This Row],[Month_Revenue]] &lt; AVERAGE(Sheet1[Month_Revenue]), "Off-Peak", "Peak")</f>
        <v>Peak</v>
      </c>
      <c r="J334">
        <f xml:space="preserve"> IF(Sheet1[[#This Row],[Ad Spend]] &gt; 0, (Sheet1[[#This Row],[Profit]] / Sheet1[[#This Row],[Ad Spend]]), 0)</f>
        <v>6.1096230158730167</v>
      </c>
      <c r="K334">
        <f>Sheet1[[#This Row],[Revenue]]-Sheet1[[#This Row],[Ad Spend]]</f>
        <v>123.17000000000002</v>
      </c>
      <c r="L334" s="2" t="s">
        <v>14</v>
      </c>
      <c r="M334">
        <v>4</v>
      </c>
      <c r="N334" s="2" t="s">
        <v>19</v>
      </c>
      <c r="O334">
        <v>47.776666666666671</v>
      </c>
    </row>
    <row r="335" spans="1:15" x14ac:dyDescent="0.3">
      <c r="A335" s="1">
        <v>45395</v>
      </c>
      <c r="B335" s="2" t="s">
        <v>23</v>
      </c>
      <c r="C335" s="2" t="s">
        <v>17</v>
      </c>
      <c r="D335" s="2" t="s">
        <v>18</v>
      </c>
      <c r="E335">
        <v>98.18</v>
      </c>
      <c r="F335">
        <v>47.53</v>
      </c>
      <c r="G335">
        <v>1</v>
      </c>
      <c r="H335">
        <f t="shared" si="5"/>
        <v>58562.910000000018</v>
      </c>
      <c r="I335" t="str">
        <f>IF(Sheet1[[#This Row],[Month_Revenue]] &lt; AVERAGE(Sheet1[Month_Revenue]), "Off-Peak", "Peak")</f>
        <v>Peak</v>
      </c>
      <c r="J335">
        <f xml:space="preserve"> IF(Sheet1[[#This Row],[Ad Spend]] &gt; 0, (Sheet1[[#This Row],[Profit]] / Sheet1[[#This Row],[Ad Spend]]), 0)</f>
        <v>1.0656427519461393</v>
      </c>
      <c r="K335">
        <f>Sheet1[[#This Row],[Revenue]]-Sheet1[[#This Row],[Ad Spend]]</f>
        <v>50.650000000000006</v>
      </c>
      <c r="L335" s="2" t="s">
        <v>22</v>
      </c>
      <c r="M335">
        <v>4</v>
      </c>
      <c r="N335" s="2" t="s">
        <v>19</v>
      </c>
      <c r="O335">
        <v>98.18</v>
      </c>
    </row>
    <row r="336" spans="1:15" x14ac:dyDescent="0.3">
      <c r="A336" s="1">
        <v>45402</v>
      </c>
      <c r="B336" s="2" t="s">
        <v>23</v>
      </c>
      <c r="C336" s="2" t="s">
        <v>12</v>
      </c>
      <c r="D336" s="2" t="s">
        <v>13</v>
      </c>
      <c r="E336">
        <v>112.01</v>
      </c>
      <c r="F336">
        <v>5.19</v>
      </c>
      <c r="G336">
        <v>3</v>
      </c>
      <c r="H336">
        <f t="shared" si="5"/>
        <v>58562.910000000018</v>
      </c>
      <c r="I336" t="str">
        <f>IF(Sheet1[[#This Row],[Month_Revenue]] &lt; AVERAGE(Sheet1[Month_Revenue]), "Off-Peak", "Peak")</f>
        <v>Peak</v>
      </c>
      <c r="J336">
        <f xml:space="preserve"> IF(Sheet1[[#This Row],[Ad Spend]] &gt; 0, (Sheet1[[#This Row],[Profit]] / Sheet1[[#This Row],[Ad Spend]]), 0)</f>
        <v>20.581888246628132</v>
      </c>
      <c r="K336">
        <f>Sheet1[[#This Row],[Revenue]]-Sheet1[[#This Row],[Ad Spend]]</f>
        <v>106.82000000000001</v>
      </c>
      <c r="L336" s="2" t="s">
        <v>14</v>
      </c>
      <c r="M336">
        <v>4</v>
      </c>
      <c r="N336" s="2" t="s">
        <v>19</v>
      </c>
      <c r="O336">
        <v>37.336666666666666</v>
      </c>
    </row>
    <row r="337" spans="1:15" x14ac:dyDescent="0.3">
      <c r="A337" s="1">
        <v>45391</v>
      </c>
      <c r="B337" s="2" t="s">
        <v>23</v>
      </c>
      <c r="C337" s="2" t="s">
        <v>12</v>
      </c>
      <c r="D337" s="2" t="s">
        <v>18</v>
      </c>
      <c r="E337">
        <v>95.46</v>
      </c>
      <c r="F337">
        <v>1.9</v>
      </c>
      <c r="G337">
        <v>0</v>
      </c>
      <c r="H337">
        <f t="shared" si="5"/>
        <v>58562.910000000018</v>
      </c>
      <c r="I337" t="str">
        <f>IF(Sheet1[[#This Row],[Month_Revenue]] &lt; AVERAGE(Sheet1[Month_Revenue]), "Off-Peak", "Peak")</f>
        <v>Peak</v>
      </c>
      <c r="J337">
        <f xml:space="preserve"> IF(Sheet1[[#This Row],[Ad Spend]] &gt; 0, (Sheet1[[#This Row],[Profit]] / Sheet1[[#This Row],[Ad Spend]]), 0)</f>
        <v>49.242105263157889</v>
      </c>
      <c r="K337">
        <f>Sheet1[[#This Row],[Revenue]]-Sheet1[[#This Row],[Ad Spend]]</f>
        <v>93.559999999999988</v>
      </c>
      <c r="L337" s="2" t="s">
        <v>22</v>
      </c>
      <c r="M337">
        <v>4</v>
      </c>
      <c r="N337" s="2" t="s">
        <v>19</v>
      </c>
      <c r="O337">
        <v>0</v>
      </c>
    </row>
    <row r="338" spans="1:15" x14ac:dyDescent="0.3">
      <c r="A338" s="1">
        <v>45328</v>
      </c>
      <c r="B338" s="2" t="s">
        <v>23</v>
      </c>
      <c r="C338" s="2" t="s">
        <v>21</v>
      </c>
      <c r="D338" s="2" t="s">
        <v>13</v>
      </c>
      <c r="E338">
        <v>83.95</v>
      </c>
      <c r="F338">
        <v>36.9</v>
      </c>
      <c r="G338">
        <v>2</v>
      </c>
      <c r="H338">
        <f t="shared" si="5"/>
        <v>48675.899999999936</v>
      </c>
      <c r="I338" t="str">
        <f>IF(Sheet1[[#This Row],[Month_Revenue]] &lt; AVERAGE(Sheet1[Month_Revenue]), "Off-Peak", "Peak")</f>
        <v>Off-Peak</v>
      </c>
      <c r="J338">
        <f xml:space="preserve"> IF(Sheet1[[#This Row],[Ad Spend]] &gt; 0, (Sheet1[[#This Row],[Profit]] / Sheet1[[#This Row],[Ad Spend]]), 0)</f>
        <v>1.275067750677507</v>
      </c>
      <c r="K338">
        <f>Sheet1[[#This Row],[Revenue]]-Sheet1[[#This Row],[Ad Spend]]</f>
        <v>47.050000000000004</v>
      </c>
      <c r="L338" s="2" t="s">
        <v>22</v>
      </c>
      <c r="M338">
        <v>2</v>
      </c>
      <c r="N338" s="2" t="s">
        <v>15</v>
      </c>
      <c r="O338">
        <v>41.975000000000001</v>
      </c>
    </row>
    <row r="339" spans="1:15" x14ac:dyDescent="0.3">
      <c r="A339" s="1">
        <v>45367</v>
      </c>
      <c r="B339" s="2" t="s">
        <v>23</v>
      </c>
      <c r="C339" s="2" t="s">
        <v>12</v>
      </c>
      <c r="D339" s="2" t="s">
        <v>18</v>
      </c>
      <c r="E339">
        <v>83.47</v>
      </c>
      <c r="F339">
        <v>15.44</v>
      </c>
      <c r="G339">
        <v>3</v>
      </c>
      <c r="H339">
        <f t="shared" si="5"/>
        <v>54735.250000000029</v>
      </c>
      <c r="I339" t="str">
        <f>IF(Sheet1[[#This Row],[Month_Revenue]] &lt; AVERAGE(Sheet1[Month_Revenue]), "Off-Peak", "Peak")</f>
        <v>Off-Peak</v>
      </c>
      <c r="J339">
        <f xml:space="preserve"> IF(Sheet1[[#This Row],[Ad Spend]] &gt; 0, (Sheet1[[#This Row],[Profit]] / Sheet1[[#This Row],[Ad Spend]]), 0)</f>
        <v>4.4060880829015545</v>
      </c>
      <c r="K339">
        <f>Sheet1[[#This Row],[Revenue]]-Sheet1[[#This Row],[Ad Spend]]</f>
        <v>68.03</v>
      </c>
      <c r="L339" s="2" t="s">
        <v>14</v>
      </c>
      <c r="M339">
        <v>3</v>
      </c>
      <c r="N339" s="2" t="s">
        <v>19</v>
      </c>
      <c r="O339">
        <v>27.823333333333334</v>
      </c>
    </row>
    <row r="340" spans="1:15" x14ac:dyDescent="0.3">
      <c r="A340" s="1">
        <v>45315</v>
      </c>
      <c r="B340" s="2" t="s">
        <v>24</v>
      </c>
      <c r="C340" s="2" t="s">
        <v>17</v>
      </c>
      <c r="D340" s="2" t="s">
        <v>18</v>
      </c>
      <c r="E340">
        <v>43</v>
      </c>
      <c r="F340">
        <v>21.31</v>
      </c>
      <c r="G340">
        <v>0</v>
      </c>
      <c r="H340">
        <f t="shared" si="5"/>
        <v>61207.979999999989</v>
      </c>
      <c r="I340" t="str">
        <f>IF(Sheet1[[#This Row],[Month_Revenue]] &lt; AVERAGE(Sheet1[Month_Revenue]), "Off-Peak", "Peak")</f>
        <v>Peak</v>
      </c>
      <c r="J340">
        <f xml:space="preserve"> IF(Sheet1[[#This Row],[Ad Spend]] &gt; 0, (Sheet1[[#This Row],[Profit]] / Sheet1[[#This Row],[Ad Spend]]), 0)</f>
        <v>1.0178320037541062</v>
      </c>
      <c r="K340">
        <f>Sheet1[[#This Row],[Revenue]]-Sheet1[[#This Row],[Ad Spend]]</f>
        <v>21.69</v>
      </c>
      <c r="L340" s="2" t="s">
        <v>22</v>
      </c>
      <c r="M340">
        <v>1</v>
      </c>
      <c r="N340" s="2" t="s">
        <v>15</v>
      </c>
      <c r="O340">
        <v>0</v>
      </c>
    </row>
    <row r="341" spans="1:15" x14ac:dyDescent="0.3">
      <c r="A341" s="1">
        <v>45301</v>
      </c>
      <c r="B341" s="2" t="s">
        <v>23</v>
      </c>
      <c r="C341" s="2" t="s">
        <v>17</v>
      </c>
      <c r="D341" s="2" t="s">
        <v>18</v>
      </c>
      <c r="E341">
        <v>95.85</v>
      </c>
      <c r="F341">
        <v>4.54</v>
      </c>
      <c r="G341">
        <v>1</v>
      </c>
      <c r="H341">
        <f t="shared" si="5"/>
        <v>61207.979999999989</v>
      </c>
      <c r="I341" t="str">
        <f>IF(Sheet1[[#This Row],[Month_Revenue]] &lt; AVERAGE(Sheet1[Month_Revenue]), "Off-Peak", "Peak")</f>
        <v>Peak</v>
      </c>
      <c r="J341">
        <f xml:space="preserve"> IF(Sheet1[[#This Row],[Ad Spend]] &gt; 0, (Sheet1[[#This Row],[Profit]] / Sheet1[[#This Row],[Ad Spend]]), 0)</f>
        <v>20.112334801762113</v>
      </c>
      <c r="K341">
        <f>Sheet1[[#This Row],[Revenue]]-Sheet1[[#This Row],[Ad Spend]]</f>
        <v>91.309999999999988</v>
      </c>
      <c r="L341" s="2" t="s">
        <v>14</v>
      </c>
      <c r="M341">
        <v>1</v>
      </c>
      <c r="N341" s="2" t="s">
        <v>15</v>
      </c>
      <c r="O341">
        <v>95.85</v>
      </c>
    </row>
    <row r="342" spans="1:15" x14ac:dyDescent="0.3">
      <c r="A342" s="1">
        <v>45372</v>
      </c>
      <c r="B342" s="2" t="s">
        <v>23</v>
      </c>
      <c r="C342" s="2" t="s">
        <v>17</v>
      </c>
      <c r="D342" s="2" t="s">
        <v>13</v>
      </c>
      <c r="E342">
        <v>166.35</v>
      </c>
      <c r="F342">
        <v>5.0199999999999996</v>
      </c>
      <c r="G342">
        <v>1</v>
      </c>
      <c r="H342">
        <f t="shared" si="5"/>
        <v>54735.250000000029</v>
      </c>
      <c r="I342" t="str">
        <f>IF(Sheet1[[#This Row],[Month_Revenue]] &lt; AVERAGE(Sheet1[Month_Revenue]), "Off-Peak", "Peak")</f>
        <v>Off-Peak</v>
      </c>
      <c r="J342">
        <f xml:space="preserve"> IF(Sheet1[[#This Row],[Ad Spend]] &gt; 0, (Sheet1[[#This Row],[Profit]] / Sheet1[[#This Row],[Ad Spend]]), 0)</f>
        <v>32.137450199203187</v>
      </c>
      <c r="K342">
        <f>Sheet1[[#This Row],[Revenue]]-Sheet1[[#This Row],[Ad Spend]]</f>
        <v>161.32999999999998</v>
      </c>
      <c r="L342" s="2" t="s">
        <v>14</v>
      </c>
      <c r="M342">
        <v>3</v>
      </c>
      <c r="N342" s="2" t="s">
        <v>19</v>
      </c>
      <c r="O342">
        <v>166.35</v>
      </c>
    </row>
    <row r="343" spans="1:15" x14ac:dyDescent="0.3">
      <c r="A343" s="1">
        <v>45293</v>
      </c>
      <c r="B343" s="2" t="s">
        <v>24</v>
      </c>
      <c r="C343" s="2" t="s">
        <v>21</v>
      </c>
      <c r="D343" s="2" t="s">
        <v>13</v>
      </c>
      <c r="E343">
        <v>53.93</v>
      </c>
      <c r="F343">
        <v>40.56</v>
      </c>
      <c r="G343">
        <v>1</v>
      </c>
      <c r="H343">
        <f t="shared" si="5"/>
        <v>61207.979999999989</v>
      </c>
      <c r="I343" t="str">
        <f>IF(Sheet1[[#This Row],[Month_Revenue]] &lt; AVERAGE(Sheet1[Month_Revenue]), "Off-Peak", "Peak")</f>
        <v>Peak</v>
      </c>
      <c r="J343">
        <f xml:space="preserve"> IF(Sheet1[[#This Row],[Ad Spend]] &gt; 0, (Sheet1[[#This Row],[Profit]] / Sheet1[[#This Row],[Ad Spend]]), 0)</f>
        <v>0.32963510848126226</v>
      </c>
      <c r="K343">
        <f>Sheet1[[#This Row],[Revenue]]-Sheet1[[#This Row],[Ad Spend]]</f>
        <v>13.369999999999997</v>
      </c>
      <c r="L343" s="2" t="s">
        <v>22</v>
      </c>
      <c r="M343">
        <v>1</v>
      </c>
      <c r="N343" s="2" t="s">
        <v>15</v>
      </c>
      <c r="O343">
        <v>53.93</v>
      </c>
    </row>
    <row r="344" spans="1:15" x14ac:dyDescent="0.3">
      <c r="A344" s="1">
        <v>45317</v>
      </c>
      <c r="B344" s="2" t="s">
        <v>24</v>
      </c>
      <c r="C344" s="2" t="s">
        <v>21</v>
      </c>
      <c r="D344" s="2" t="s">
        <v>18</v>
      </c>
      <c r="E344">
        <v>182.08</v>
      </c>
      <c r="F344">
        <v>6.29</v>
      </c>
      <c r="G344">
        <v>2</v>
      </c>
      <c r="H344">
        <f t="shared" si="5"/>
        <v>61207.979999999989</v>
      </c>
      <c r="I344" t="str">
        <f>IF(Sheet1[[#This Row],[Month_Revenue]] &lt; AVERAGE(Sheet1[Month_Revenue]), "Off-Peak", "Peak")</f>
        <v>Peak</v>
      </c>
      <c r="J344">
        <f xml:space="preserve"> IF(Sheet1[[#This Row],[Ad Spend]] &gt; 0, (Sheet1[[#This Row],[Profit]] / Sheet1[[#This Row],[Ad Spend]]), 0)</f>
        <v>27.947535771065187</v>
      </c>
      <c r="K344">
        <f>Sheet1[[#This Row],[Revenue]]-Sheet1[[#This Row],[Ad Spend]]</f>
        <v>175.79000000000002</v>
      </c>
      <c r="L344" s="2" t="s">
        <v>22</v>
      </c>
      <c r="M344">
        <v>1</v>
      </c>
      <c r="N344" s="2" t="s">
        <v>15</v>
      </c>
      <c r="O344">
        <v>91.04</v>
      </c>
    </row>
    <row r="345" spans="1:15" x14ac:dyDescent="0.3">
      <c r="A345" s="1">
        <v>45326</v>
      </c>
      <c r="B345" s="2" t="s">
        <v>16</v>
      </c>
      <c r="C345" s="2" t="s">
        <v>17</v>
      </c>
      <c r="D345" s="2" t="s">
        <v>18</v>
      </c>
      <c r="E345">
        <v>24.64</v>
      </c>
      <c r="F345">
        <v>32.75</v>
      </c>
      <c r="G345">
        <v>1</v>
      </c>
      <c r="H345">
        <f t="shared" si="5"/>
        <v>48675.899999999936</v>
      </c>
      <c r="I345" t="str">
        <f>IF(Sheet1[[#This Row],[Month_Revenue]] &lt; AVERAGE(Sheet1[Month_Revenue]), "Off-Peak", "Peak")</f>
        <v>Off-Peak</v>
      </c>
      <c r="J345">
        <f xml:space="preserve"> IF(Sheet1[[#This Row],[Ad Spend]] &gt; 0, (Sheet1[[#This Row],[Profit]] / Sheet1[[#This Row],[Ad Spend]]), 0)</f>
        <v>-0.24763358778625952</v>
      </c>
      <c r="K345">
        <f>Sheet1[[#This Row],[Revenue]]-Sheet1[[#This Row],[Ad Spend]]</f>
        <v>-8.11</v>
      </c>
      <c r="L345" s="2" t="s">
        <v>14</v>
      </c>
      <c r="M345">
        <v>2</v>
      </c>
      <c r="N345" s="2" t="s">
        <v>15</v>
      </c>
      <c r="O345">
        <v>24.64</v>
      </c>
    </row>
    <row r="346" spans="1:15" x14ac:dyDescent="0.3">
      <c r="A346" s="1">
        <v>45352</v>
      </c>
      <c r="B346" s="2" t="s">
        <v>20</v>
      </c>
      <c r="C346" s="2" t="s">
        <v>17</v>
      </c>
      <c r="D346" s="2" t="s">
        <v>18</v>
      </c>
      <c r="E346">
        <v>190.97</v>
      </c>
      <c r="F346">
        <v>43.88</v>
      </c>
      <c r="G346">
        <v>3</v>
      </c>
      <c r="H346">
        <f t="shared" si="5"/>
        <v>54735.250000000029</v>
      </c>
      <c r="I346" t="str">
        <f>IF(Sheet1[[#This Row],[Month_Revenue]] &lt; AVERAGE(Sheet1[Month_Revenue]), "Off-Peak", "Peak")</f>
        <v>Off-Peak</v>
      </c>
      <c r="J346">
        <f xml:space="preserve"> IF(Sheet1[[#This Row],[Ad Spend]] &gt; 0, (Sheet1[[#This Row],[Profit]] / Sheet1[[#This Row],[Ad Spend]]), 0)</f>
        <v>3.3520966271649955</v>
      </c>
      <c r="K346">
        <f>Sheet1[[#This Row],[Revenue]]-Sheet1[[#This Row],[Ad Spend]]</f>
        <v>147.09</v>
      </c>
      <c r="L346" s="2" t="s">
        <v>22</v>
      </c>
      <c r="M346">
        <v>3</v>
      </c>
      <c r="N346" s="2" t="s">
        <v>19</v>
      </c>
      <c r="O346">
        <v>63.656666666666666</v>
      </c>
    </row>
    <row r="347" spans="1:15" x14ac:dyDescent="0.3">
      <c r="A347" s="1">
        <v>45371</v>
      </c>
      <c r="B347" s="2" t="s">
        <v>11</v>
      </c>
      <c r="C347" s="2" t="s">
        <v>17</v>
      </c>
      <c r="D347" s="2" t="s">
        <v>18</v>
      </c>
      <c r="E347">
        <v>105.31</v>
      </c>
      <c r="F347">
        <v>43.32</v>
      </c>
      <c r="G347">
        <v>1</v>
      </c>
      <c r="H347">
        <f t="shared" si="5"/>
        <v>54735.250000000029</v>
      </c>
      <c r="I347" t="str">
        <f>IF(Sheet1[[#This Row],[Month_Revenue]] &lt; AVERAGE(Sheet1[Month_Revenue]), "Off-Peak", "Peak")</f>
        <v>Off-Peak</v>
      </c>
      <c r="J347">
        <f xml:space="preserve"> IF(Sheet1[[#This Row],[Ad Spend]] &gt; 0, (Sheet1[[#This Row],[Profit]] / Sheet1[[#This Row],[Ad Spend]]), 0)</f>
        <v>1.4309787626962143</v>
      </c>
      <c r="K347">
        <f>Sheet1[[#This Row],[Revenue]]-Sheet1[[#This Row],[Ad Spend]]</f>
        <v>61.99</v>
      </c>
      <c r="L347" s="2" t="s">
        <v>14</v>
      </c>
      <c r="M347">
        <v>3</v>
      </c>
      <c r="N347" s="2" t="s">
        <v>19</v>
      </c>
      <c r="O347">
        <v>105.31</v>
      </c>
    </row>
    <row r="348" spans="1:15" x14ac:dyDescent="0.3">
      <c r="A348" s="1">
        <v>45345</v>
      </c>
      <c r="B348" s="2" t="s">
        <v>11</v>
      </c>
      <c r="C348" s="2" t="s">
        <v>17</v>
      </c>
      <c r="D348" s="2" t="s">
        <v>18</v>
      </c>
      <c r="E348">
        <v>187.21</v>
      </c>
      <c r="F348">
        <v>22.65</v>
      </c>
      <c r="G348">
        <v>2</v>
      </c>
      <c r="H348">
        <f t="shared" si="5"/>
        <v>48675.899999999936</v>
      </c>
      <c r="I348" t="str">
        <f>IF(Sheet1[[#This Row],[Month_Revenue]] &lt; AVERAGE(Sheet1[Month_Revenue]), "Off-Peak", "Peak")</f>
        <v>Off-Peak</v>
      </c>
      <c r="J348">
        <f xml:space="preserve"> IF(Sheet1[[#This Row],[Ad Spend]] &gt; 0, (Sheet1[[#This Row],[Profit]] / Sheet1[[#This Row],[Ad Spend]]), 0)</f>
        <v>7.2653421633554087</v>
      </c>
      <c r="K348">
        <f>Sheet1[[#This Row],[Revenue]]-Sheet1[[#This Row],[Ad Spend]]</f>
        <v>164.56</v>
      </c>
      <c r="L348" s="2" t="s">
        <v>14</v>
      </c>
      <c r="M348">
        <v>2</v>
      </c>
      <c r="N348" s="2" t="s">
        <v>15</v>
      </c>
      <c r="O348">
        <v>93.605000000000004</v>
      </c>
    </row>
    <row r="349" spans="1:15" x14ac:dyDescent="0.3">
      <c r="A349" s="1">
        <v>45329</v>
      </c>
      <c r="B349" s="2" t="s">
        <v>24</v>
      </c>
      <c r="C349" s="2" t="s">
        <v>21</v>
      </c>
      <c r="D349" s="2" t="s">
        <v>18</v>
      </c>
      <c r="E349">
        <v>184.88</v>
      </c>
      <c r="F349">
        <v>25.76</v>
      </c>
      <c r="G349">
        <v>2</v>
      </c>
      <c r="H349">
        <f t="shared" si="5"/>
        <v>48675.899999999936</v>
      </c>
      <c r="I349" t="str">
        <f>IF(Sheet1[[#This Row],[Month_Revenue]] &lt; AVERAGE(Sheet1[Month_Revenue]), "Off-Peak", "Peak")</f>
        <v>Off-Peak</v>
      </c>
      <c r="J349">
        <f xml:space="preserve"> IF(Sheet1[[#This Row],[Ad Spend]] &gt; 0, (Sheet1[[#This Row],[Profit]] / Sheet1[[#This Row],[Ad Spend]]), 0)</f>
        <v>6.1770186335403725</v>
      </c>
      <c r="K349">
        <f>Sheet1[[#This Row],[Revenue]]-Sheet1[[#This Row],[Ad Spend]]</f>
        <v>159.12</v>
      </c>
      <c r="L349" s="2" t="s">
        <v>14</v>
      </c>
      <c r="M349">
        <v>2</v>
      </c>
      <c r="N349" s="2" t="s">
        <v>15</v>
      </c>
      <c r="O349">
        <v>92.44</v>
      </c>
    </row>
    <row r="350" spans="1:15" x14ac:dyDescent="0.3">
      <c r="A350" s="1">
        <v>45390</v>
      </c>
      <c r="B350" s="2" t="s">
        <v>11</v>
      </c>
      <c r="C350" s="2" t="s">
        <v>21</v>
      </c>
      <c r="D350" s="2" t="s">
        <v>13</v>
      </c>
      <c r="E350">
        <v>96.06</v>
      </c>
      <c r="F350">
        <v>47.35</v>
      </c>
      <c r="G350">
        <v>2</v>
      </c>
      <c r="H350">
        <f t="shared" si="5"/>
        <v>58562.910000000018</v>
      </c>
      <c r="I350" t="str">
        <f>IF(Sheet1[[#This Row],[Month_Revenue]] &lt; AVERAGE(Sheet1[Month_Revenue]), "Off-Peak", "Peak")</f>
        <v>Peak</v>
      </c>
      <c r="J350">
        <f xml:space="preserve"> IF(Sheet1[[#This Row],[Ad Spend]] &gt; 0, (Sheet1[[#This Row],[Profit]] / Sheet1[[#This Row],[Ad Spend]]), 0)</f>
        <v>1.0287222808870116</v>
      </c>
      <c r="K350">
        <f>Sheet1[[#This Row],[Revenue]]-Sheet1[[#This Row],[Ad Spend]]</f>
        <v>48.71</v>
      </c>
      <c r="L350" s="2" t="s">
        <v>14</v>
      </c>
      <c r="M350">
        <v>4</v>
      </c>
      <c r="N350" s="2" t="s">
        <v>19</v>
      </c>
      <c r="O350">
        <v>48.03</v>
      </c>
    </row>
    <row r="351" spans="1:15" x14ac:dyDescent="0.3">
      <c r="A351" s="1">
        <v>45406</v>
      </c>
      <c r="B351" s="2" t="s">
        <v>16</v>
      </c>
      <c r="C351" s="2" t="s">
        <v>17</v>
      </c>
      <c r="D351" s="2" t="s">
        <v>13</v>
      </c>
      <c r="E351">
        <v>197.99</v>
      </c>
      <c r="F351">
        <v>11.63</v>
      </c>
      <c r="G351">
        <v>1</v>
      </c>
      <c r="H351">
        <f t="shared" si="5"/>
        <v>58562.910000000018</v>
      </c>
      <c r="I351" t="str">
        <f>IF(Sheet1[[#This Row],[Month_Revenue]] &lt; AVERAGE(Sheet1[Month_Revenue]), "Off-Peak", "Peak")</f>
        <v>Peak</v>
      </c>
      <c r="J351">
        <f xml:space="preserve"> IF(Sheet1[[#This Row],[Ad Spend]] &gt; 0, (Sheet1[[#This Row],[Profit]] / Sheet1[[#This Row],[Ad Spend]]), 0)</f>
        <v>16.024075666380053</v>
      </c>
      <c r="K351">
        <f>Sheet1[[#This Row],[Revenue]]-Sheet1[[#This Row],[Ad Spend]]</f>
        <v>186.36</v>
      </c>
      <c r="L351" s="2" t="s">
        <v>14</v>
      </c>
      <c r="M351">
        <v>4</v>
      </c>
      <c r="N351" s="2" t="s">
        <v>19</v>
      </c>
      <c r="O351">
        <v>197.99</v>
      </c>
    </row>
    <row r="352" spans="1:15" x14ac:dyDescent="0.3">
      <c r="A352" s="1">
        <v>45359</v>
      </c>
      <c r="B352" s="2" t="s">
        <v>24</v>
      </c>
      <c r="C352" s="2" t="s">
        <v>12</v>
      </c>
      <c r="D352" s="2" t="s">
        <v>13</v>
      </c>
      <c r="E352">
        <v>194.62</v>
      </c>
      <c r="F352">
        <v>16.329999999999998</v>
      </c>
      <c r="G352">
        <v>3</v>
      </c>
      <c r="H352">
        <f t="shared" si="5"/>
        <v>54735.250000000029</v>
      </c>
      <c r="I352" t="str">
        <f>IF(Sheet1[[#This Row],[Month_Revenue]] &lt; AVERAGE(Sheet1[Month_Revenue]), "Off-Peak", "Peak")</f>
        <v>Off-Peak</v>
      </c>
      <c r="J352">
        <f xml:space="preserve"> IF(Sheet1[[#This Row],[Ad Spend]] &gt; 0, (Sheet1[[#This Row],[Profit]] / Sheet1[[#This Row],[Ad Spend]]), 0)</f>
        <v>10.917942437232091</v>
      </c>
      <c r="K352">
        <f>Sheet1[[#This Row],[Revenue]]-Sheet1[[#This Row],[Ad Spend]]</f>
        <v>178.29000000000002</v>
      </c>
      <c r="L352" s="2" t="s">
        <v>14</v>
      </c>
      <c r="M352">
        <v>3</v>
      </c>
      <c r="N352" s="2" t="s">
        <v>19</v>
      </c>
      <c r="O352">
        <v>64.873333333333335</v>
      </c>
    </row>
    <row r="353" spans="1:15" x14ac:dyDescent="0.3">
      <c r="A353" s="1">
        <v>45389</v>
      </c>
      <c r="B353" s="2" t="s">
        <v>24</v>
      </c>
      <c r="C353" s="2" t="s">
        <v>21</v>
      </c>
      <c r="D353" s="2" t="s">
        <v>18</v>
      </c>
      <c r="E353">
        <v>192.77</v>
      </c>
      <c r="F353">
        <v>35.479999999999997</v>
      </c>
      <c r="G353">
        <v>0</v>
      </c>
      <c r="H353">
        <f t="shared" si="5"/>
        <v>58562.910000000018</v>
      </c>
      <c r="I353" t="str">
        <f>IF(Sheet1[[#This Row],[Month_Revenue]] &lt; AVERAGE(Sheet1[Month_Revenue]), "Off-Peak", "Peak")</f>
        <v>Peak</v>
      </c>
      <c r="J353">
        <f xml:space="preserve"> IF(Sheet1[[#This Row],[Ad Spend]] &gt; 0, (Sheet1[[#This Row],[Profit]] / Sheet1[[#This Row],[Ad Spend]]), 0)</f>
        <v>4.4332018038331462</v>
      </c>
      <c r="K353">
        <f>Sheet1[[#This Row],[Revenue]]-Sheet1[[#This Row],[Ad Spend]]</f>
        <v>157.29000000000002</v>
      </c>
      <c r="L353" s="2" t="s">
        <v>14</v>
      </c>
      <c r="M353">
        <v>4</v>
      </c>
      <c r="N353" s="2" t="s">
        <v>19</v>
      </c>
      <c r="O353">
        <v>0</v>
      </c>
    </row>
    <row r="354" spans="1:15" x14ac:dyDescent="0.3">
      <c r="A354" s="1">
        <v>45356</v>
      </c>
      <c r="B354" s="2" t="s">
        <v>11</v>
      </c>
      <c r="C354" s="2" t="s">
        <v>12</v>
      </c>
      <c r="D354" s="2" t="s">
        <v>18</v>
      </c>
      <c r="E354">
        <v>159.86000000000001</v>
      </c>
      <c r="F354">
        <v>4.54</v>
      </c>
      <c r="G354">
        <v>2</v>
      </c>
      <c r="H354">
        <f t="shared" si="5"/>
        <v>54735.250000000029</v>
      </c>
      <c r="I354" t="str">
        <f>IF(Sheet1[[#This Row],[Month_Revenue]] &lt; AVERAGE(Sheet1[Month_Revenue]), "Off-Peak", "Peak")</f>
        <v>Off-Peak</v>
      </c>
      <c r="J354">
        <f xml:space="preserve"> IF(Sheet1[[#This Row],[Ad Spend]] &gt; 0, (Sheet1[[#This Row],[Profit]] / Sheet1[[#This Row],[Ad Spend]]), 0)</f>
        <v>34.211453744493397</v>
      </c>
      <c r="K354">
        <f>Sheet1[[#This Row],[Revenue]]-Sheet1[[#This Row],[Ad Spend]]</f>
        <v>155.32000000000002</v>
      </c>
      <c r="L354" s="2" t="s">
        <v>14</v>
      </c>
      <c r="M354">
        <v>3</v>
      </c>
      <c r="N354" s="2" t="s">
        <v>19</v>
      </c>
      <c r="O354">
        <v>79.930000000000007</v>
      </c>
    </row>
    <row r="355" spans="1:15" x14ac:dyDescent="0.3">
      <c r="A355" s="1">
        <v>45302</v>
      </c>
      <c r="B355" s="2" t="s">
        <v>20</v>
      </c>
      <c r="C355" s="2" t="s">
        <v>21</v>
      </c>
      <c r="D355" s="2" t="s">
        <v>18</v>
      </c>
      <c r="E355">
        <v>166.88</v>
      </c>
      <c r="F355">
        <v>11.06</v>
      </c>
      <c r="G355">
        <v>2</v>
      </c>
      <c r="H355">
        <f t="shared" si="5"/>
        <v>61207.979999999989</v>
      </c>
      <c r="I355" t="str">
        <f>IF(Sheet1[[#This Row],[Month_Revenue]] &lt; AVERAGE(Sheet1[Month_Revenue]), "Off-Peak", "Peak")</f>
        <v>Peak</v>
      </c>
      <c r="J355">
        <f xml:space="preserve"> IF(Sheet1[[#This Row],[Ad Spend]] &gt; 0, (Sheet1[[#This Row],[Profit]] / Sheet1[[#This Row],[Ad Spend]]), 0)</f>
        <v>14.088607594936708</v>
      </c>
      <c r="K355">
        <f>Sheet1[[#This Row],[Revenue]]-Sheet1[[#This Row],[Ad Spend]]</f>
        <v>155.82</v>
      </c>
      <c r="L355" s="2" t="s">
        <v>22</v>
      </c>
      <c r="M355">
        <v>1</v>
      </c>
      <c r="N355" s="2" t="s">
        <v>15</v>
      </c>
      <c r="O355">
        <v>83.44</v>
      </c>
    </row>
    <row r="356" spans="1:15" x14ac:dyDescent="0.3">
      <c r="A356" s="1">
        <v>45312</v>
      </c>
      <c r="B356" s="2" t="s">
        <v>24</v>
      </c>
      <c r="C356" s="2" t="s">
        <v>12</v>
      </c>
      <c r="D356" s="2" t="s">
        <v>18</v>
      </c>
      <c r="E356">
        <v>41.56</v>
      </c>
      <c r="F356">
        <v>16.62</v>
      </c>
      <c r="G356">
        <v>1</v>
      </c>
      <c r="H356">
        <f t="shared" si="5"/>
        <v>61207.979999999989</v>
      </c>
      <c r="I356" t="str">
        <f>IF(Sheet1[[#This Row],[Month_Revenue]] &lt; AVERAGE(Sheet1[Month_Revenue]), "Off-Peak", "Peak")</f>
        <v>Peak</v>
      </c>
      <c r="J356">
        <f xml:space="preserve"> IF(Sheet1[[#This Row],[Ad Spend]] &gt; 0, (Sheet1[[#This Row],[Profit]] / Sheet1[[#This Row],[Ad Spend]]), 0)</f>
        <v>1.5006016847172081</v>
      </c>
      <c r="K356">
        <f>Sheet1[[#This Row],[Revenue]]-Sheet1[[#This Row],[Ad Spend]]</f>
        <v>24.94</v>
      </c>
      <c r="L356" s="2" t="s">
        <v>22</v>
      </c>
      <c r="M356">
        <v>1</v>
      </c>
      <c r="N356" s="2" t="s">
        <v>15</v>
      </c>
      <c r="O356">
        <v>41.56</v>
      </c>
    </row>
    <row r="357" spans="1:15" x14ac:dyDescent="0.3">
      <c r="A357" s="1">
        <v>45299</v>
      </c>
      <c r="B357" s="2" t="s">
        <v>20</v>
      </c>
      <c r="C357" s="2" t="s">
        <v>12</v>
      </c>
      <c r="D357" s="2" t="s">
        <v>18</v>
      </c>
      <c r="E357">
        <v>180.02</v>
      </c>
      <c r="F357">
        <v>44.04</v>
      </c>
      <c r="G357">
        <v>3</v>
      </c>
      <c r="H357">
        <f t="shared" si="5"/>
        <v>61207.979999999989</v>
      </c>
      <c r="I357" t="str">
        <f>IF(Sheet1[[#This Row],[Month_Revenue]] &lt; AVERAGE(Sheet1[Month_Revenue]), "Off-Peak", "Peak")</f>
        <v>Peak</v>
      </c>
      <c r="J357">
        <f xml:space="preserve"> IF(Sheet1[[#This Row],[Ad Spend]] &gt; 0, (Sheet1[[#This Row],[Profit]] / Sheet1[[#This Row],[Ad Spend]]), 0)</f>
        <v>3.0876475930971847</v>
      </c>
      <c r="K357">
        <f>Sheet1[[#This Row],[Revenue]]-Sheet1[[#This Row],[Ad Spend]]</f>
        <v>135.98000000000002</v>
      </c>
      <c r="L357" s="2" t="s">
        <v>14</v>
      </c>
      <c r="M357">
        <v>1</v>
      </c>
      <c r="N357" s="2" t="s">
        <v>15</v>
      </c>
      <c r="O357">
        <v>60.006666666666668</v>
      </c>
    </row>
    <row r="358" spans="1:15" x14ac:dyDescent="0.3">
      <c r="A358" s="1">
        <v>45329</v>
      </c>
      <c r="B358" s="2" t="s">
        <v>16</v>
      </c>
      <c r="C358" s="2" t="s">
        <v>12</v>
      </c>
      <c r="D358" s="2" t="s">
        <v>18</v>
      </c>
      <c r="E358">
        <v>121.19</v>
      </c>
      <c r="F358">
        <v>6.38</v>
      </c>
      <c r="G358">
        <v>2</v>
      </c>
      <c r="H358">
        <f t="shared" si="5"/>
        <v>48675.899999999936</v>
      </c>
      <c r="I358" t="str">
        <f>IF(Sheet1[[#This Row],[Month_Revenue]] &lt; AVERAGE(Sheet1[Month_Revenue]), "Off-Peak", "Peak")</f>
        <v>Off-Peak</v>
      </c>
      <c r="J358">
        <f xml:space="preserve"> IF(Sheet1[[#This Row],[Ad Spend]] &gt; 0, (Sheet1[[#This Row],[Profit]] / Sheet1[[#This Row],[Ad Spend]]), 0)</f>
        <v>17.995297805642632</v>
      </c>
      <c r="K358">
        <f>Sheet1[[#This Row],[Revenue]]-Sheet1[[#This Row],[Ad Spend]]</f>
        <v>114.81</v>
      </c>
      <c r="L358" s="2" t="s">
        <v>22</v>
      </c>
      <c r="M358">
        <v>2</v>
      </c>
      <c r="N358" s="2" t="s">
        <v>15</v>
      </c>
      <c r="O358">
        <v>60.594999999999999</v>
      </c>
    </row>
    <row r="359" spans="1:15" x14ac:dyDescent="0.3">
      <c r="A359" s="1">
        <v>45302</v>
      </c>
      <c r="B359" s="2" t="s">
        <v>24</v>
      </c>
      <c r="C359" s="2" t="s">
        <v>12</v>
      </c>
      <c r="D359" s="2" t="s">
        <v>18</v>
      </c>
      <c r="E359">
        <v>60.34</v>
      </c>
      <c r="F359">
        <v>27.99</v>
      </c>
      <c r="G359">
        <v>3</v>
      </c>
      <c r="H359">
        <f t="shared" si="5"/>
        <v>61207.979999999989</v>
      </c>
      <c r="I359" t="str">
        <f>IF(Sheet1[[#This Row],[Month_Revenue]] &lt; AVERAGE(Sheet1[Month_Revenue]), "Off-Peak", "Peak")</f>
        <v>Peak</v>
      </c>
      <c r="J359">
        <f xml:space="preserve"> IF(Sheet1[[#This Row],[Ad Spend]] &gt; 0, (Sheet1[[#This Row],[Profit]] / Sheet1[[#This Row],[Ad Spend]]), 0)</f>
        <v>1.155769917827796</v>
      </c>
      <c r="K359">
        <f>Sheet1[[#This Row],[Revenue]]-Sheet1[[#This Row],[Ad Spend]]</f>
        <v>32.350000000000009</v>
      </c>
      <c r="L359" s="2" t="s">
        <v>22</v>
      </c>
      <c r="M359">
        <v>1</v>
      </c>
      <c r="N359" s="2" t="s">
        <v>15</v>
      </c>
      <c r="O359">
        <v>20.113333333333333</v>
      </c>
    </row>
    <row r="360" spans="1:15" x14ac:dyDescent="0.3">
      <c r="A360" s="1">
        <v>45328</v>
      </c>
      <c r="B360" s="2" t="s">
        <v>23</v>
      </c>
      <c r="C360" s="2" t="s">
        <v>17</v>
      </c>
      <c r="D360" s="2" t="s">
        <v>18</v>
      </c>
      <c r="E360">
        <v>29.44</v>
      </c>
      <c r="F360">
        <v>49.24</v>
      </c>
      <c r="G360">
        <v>1</v>
      </c>
      <c r="H360">
        <f t="shared" si="5"/>
        <v>48675.899999999936</v>
      </c>
      <c r="I360" t="str">
        <f>IF(Sheet1[[#This Row],[Month_Revenue]] &lt; AVERAGE(Sheet1[Month_Revenue]), "Off-Peak", "Peak")</f>
        <v>Off-Peak</v>
      </c>
      <c r="J360">
        <f xml:space="preserve"> IF(Sheet1[[#This Row],[Ad Spend]] &gt; 0, (Sheet1[[#This Row],[Profit]] / Sheet1[[#This Row],[Ad Spend]]), 0)</f>
        <v>-0.40211210398050368</v>
      </c>
      <c r="K360">
        <f>Sheet1[[#This Row],[Revenue]]-Sheet1[[#This Row],[Ad Spend]]</f>
        <v>-19.8</v>
      </c>
      <c r="L360" s="2" t="s">
        <v>14</v>
      </c>
      <c r="M360">
        <v>2</v>
      </c>
      <c r="N360" s="2" t="s">
        <v>15</v>
      </c>
      <c r="O360">
        <v>29.44</v>
      </c>
    </row>
    <row r="361" spans="1:15" x14ac:dyDescent="0.3">
      <c r="A361" s="1">
        <v>45348</v>
      </c>
      <c r="B361" s="2" t="s">
        <v>16</v>
      </c>
      <c r="C361" s="2" t="s">
        <v>17</v>
      </c>
      <c r="D361" s="2" t="s">
        <v>13</v>
      </c>
      <c r="E361">
        <v>64.569999999999993</v>
      </c>
      <c r="F361">
        <v>10.55</v>
      </c>
      <c r="G361">
        <v>3</v>
      </c>
      <c r="H361">
        <f t="shared" si="5"/>
        <v>48675.899999999936</v>
      </c>
      <c r="I361" t="str">
        <f>IF(Sheet1[[#This Row],[Month_Revenue]] &lt; AVERAGE(Sheet1[Month_Revenue]), "Off-Peak", "Peak")</f>
        <v>Off-Peak</v>
      </c>
      <c r="J361">
        <f xml:space="preserve"> IF(Sheet1[[#This Row],[Ad Spend]] &gt; 0, (Sheet1[[#This Row],[Profit]] / Sheet1[[#This Row],[Ad Spend]]), 0)</f>
        <v>5.1203791469194302</v>
      </c>
      <c r="K361">
        <f>Sheet1[[#This Row],[Revenue]]-Sheet1[[#This Row],[Ad Spend]]</f>
        <v>54.019999999999996</v>
      </c>
      <c r="L361" s="2" t="s">
        <v>22</v>
      </c>
      <c r="M361">
        <v>2</v>
      </c>
      <c r="N361" s="2" t="s">
        <v>15</v>
      </c>
      <c r="O361">
        <v>21.52333333333333</v>
      </c>
    </row>
    <row r="362" spans="1:15" x14ac:dyDescent="0.3">
      <c r="A362" s="1">
        <v>45366</v>
      </c>
      <c r="B362" s="2" t="s">
        <v>23</v>
      </c>
      <c r="C362" s="2" t="s">
        <v>21</v>
      </c>
      <c r="D362" s="2" t="s">
        <v>13</v>
      </c>
      <c r="E362">
        <v>197.41</v>
      </c>
      <c r="F362">
        <v>3.8</v>
      </c>
      <c r="G362">
        <v>2</v>
      </c>
      <c r="H362">
        <f t="shared" si="5"/>
        <v>54735.250000000029</v>
      </c>
      <c r="I362" t="str">
        <f>IF(Sheet1[[#This Row],[Month_Revenue]] &lt; AVERAGE(Sheet1[Month_Revenue]), "Off-Peak", "Peak")</f>
        <v>Off-Peak</v>
      </c>
      <c r="J362">
        <f xml:space="preserve"> IF(Sheet1[[#This Row],[Ad Spend]] &gt; 0, (Sheet1[[#This Row],[Profit]] / Sheet1[[#This Row],[Ad Spend]]), 0)</f>
        <v>50.949999999999996</v>
      </c>
      <c r="K362">
        <f>Sheet1[[#This Row],[Revenue]]-Sheet1[[#This Row],[Ad Spend]]</f>
        <v>193.60999999999999</v>
      </c>
      <c r="L362" s="2" t="s">
        <v>22</v>
      </c>
      <c r="M362">
        <v>3</v>
      </c>
      <c r="N362" s="2" t="s">
        <v>19</v>
      </c>
      <c r="O362">
        <v>98.704999999999998</v>
      </c>
    </row>
    <row r="363" spans="1:15" x14ac:dyDescent="0.3">
      <c r="A363" s="1">
        <v>45355</v>
      </c>
      <c r="B363" s="2" t="s">
        <v>23</v>
      </c>
      <c r="C363" s="2" t="s">
        <v>21</v>
      </c>
      <c r="D363" s="2" t="s">
        <v>13</v>
      </c>
      <c r="E363">
        <v>113.6</v>
      </c>
      <c r="F363">
        <v>47.81</v>
      </c>
      <c r="G363">
        <v>2</v>
      </c>
      <c r="H363">
        <f t="shared" si="5"/>
        <v>54735.250000000029</v>
      </c>
      <c r="I363" t="str">
        <f>IF(Sheet1[[#This Row],[Month_Revenue]] &lt; AVERAGE(Sheet1[Month_Revenue]), "Off-Peak", "Peak")</f>
        <v>Off-Peak</v>
      </c>
      <c r="J363">
        <f xml:space="preserve"> IF(Sheet1[[#This Row],[Ad Spend]] &gt; 0, (Sheet1[[#This Row],[Profit]] / Sheet1[[#This Row],[Ad Spend]]), 0)</f>
        <v>1.3760719514745867</v>
      </c>
      <c r="K363">
        <f>Sheet1[[#This Row],[Revenue]]-Sheet1[[#This Row],[Ad Spend]]</f>
        <v>65.789999999999992</v>
      </c>
      <c r="L363" s="2" t="s">
        <v>22</v>
      </c>
      <c r="M363">
        <v>3</v>
      </c>
      <c r="N363" s="2" t="s">
        <v>19</v>
      </c>
      <c r="O363">
        <v>56.8</v>
      </c>
    </row>
    <row r="364" spans="1:15" x14ac:dyDescent="0.3">
      <c r="A364" s="1">
        <v>45336</v>
      </c>
      <c r="B364" s="2" t="s">
        <v>11</v>
      </c>
      <c r="C364" s="2" t="s">
        <v>17</v>
      </c>
      <c r="D364" s="2" t="s">
        <v>18</v>
      </c>
      <c r="E364">
        <v>32.42</v>
      </c>
      <c r="F364">
        <v>43.72</v>
      </c>
      <c r="G364">
        <v>1</v>
      </c>
      <c r="H364">
        <f t="shared" si="5"/>
        <v>48675.899999999936</v>
      </c>
      <c r="I364" t="str">
        <f>IF(Sheet1[[#This Row],[Month_Revenue]] &lt; AVERAGE(Sheet1[Month_Revenue]), "Off-Peak", "Peak")</f>
        <v>Off-Peak</v>
      </c>
      <c r="J364">
        <f xml:space="preserve"> IF(Sheet1[[#This Row],[Ad Spend]] &gt; 0, (Sheet1[[#This Row],[Profit]] / Sheet1[[#This Row],[Ad Spend]]), 0)</f>
        <v>-0.25846294602012804</v>
      </c>
      <c r="K364">
        <f>Sheet1[[#This Row],[Revenue]]-Sheet1[[#This Row],[Ad Spend]]</f>
        <v>-11.299999999999997</v>
      </c>
      <c r="L364" s="2" t="s">
        <v>22</v>
      </c>
      <c r="M364">
        <v>2</v>
      </c>
      <c r="N364" s="2" t="s">
        <v>15</v>
      </c>
      <c r="O364">
        <v>32.42</v>
      </c>
    </row>
    <row r="365" spans="1:15" x14ac:dyDescent="0.3">
      <c r="A365" s="1">
        <v>45406</v>
      </c>
      <c r="B365" s="2" t="s">
        <v>23</v>
      </c>
      <c r="C365" s="2" t="s">
        <v>17</v>
      </c>
      <c r="D365" s="2" t="s">
        <v>13</v>
      </c>
      <c r="E365">
        <v>199.93</v>
      </c>
      <c r="F365">
        <v>12.71</v>
      </c>
      <c r="G365">
        <v>0</v>
      </c>
      <c r="H365">
        <f t="shared" si="5"/>
        <v>58562.910000000018</v>
      </c>
      <c r="I365" t="str">
        <f>IF(Sheet1[[#This Row],[Month_Revenue]] &lt; AVERAGE(Sheet1[Month_Revenue]), "Off-Peak", "Peak")</f>
        <v>Peak</v>
      </c>
      <c r="J365">
        <f xml:space="preserve"> IF(Sheet1[[#This Row],[Ad Spend]] &gt; 0, (Sheet1[[#This Row],[Profit]] / Sheet1[[#This Row],[Ad Spend]]), 0)</f>
        <v>14.730133752950431</v>
      </c>
      <c r="K365">
        <f>Sheet1[[#This Row],[Revenue]]-Sheet1[[#This Row],[Ad Spend]]</f>
        <v>187.22</v>
      </c>
      <c r="L365" s="2" t="s">
        <v>22</v>
      </c>
      <c r="M365">
        <v>4</v>
      </c>
      <c r="N365" s="2" t="s">
        <v>19</v>
      </c>
      <c r="O365">
        <v>0</v>
      </c>
    </row>
    <row r="366" spans="1:15" x14ac:dyDescent="0.3">
      <c r="A366" s="1">
        <v>45371</v>
      </c>
      <c r="B366" s="2" t="s">
        <v>16</v>
      </c>
      <c r="C366" s="2" t="s">
        <v>12</v>
      </c>
      <c r="D366" s="2" t="s">
        <v>13</v>
      </c>
      <c r="E366">
        <v>61.41</v>
      </c>
      <c r="F366">
        <v>14.65</v>
      </c>
      <c r="G366">
        <v>1</v>
      </c>
      <c r="H366">
        <f t="shared" si="5"/>
        <v>54735.250000000029</v>
      </c>
      <c r="I366" t="str">
        <f>IF(Sheet1[[#This Row],[Month_Revenue]] &lt; AVERAGE(Sheet1[Month_Revenue]), "Off-Peak", "Peak")</f>
        <v>Off-Peak</v>
      </c>
      <c r="J366">
        <f xml:space="preserve"> IF(Sheet1[[#This Row],[Ad Spend]] &gt; 0, (Sheet1[[#This Row],[Profit]] / Sheet1[[#This Row],[Ad Spend]]), 0)</f>
        <v>3.1918088737201362</v>
      </c>
      <c r="K366">
        <f>Sheet1[[#This Row],[Revenue]]-Sheet1[[#This Row],[Ad Spend]]</f>
        <v>46.76</v>
      </c>
      <c r="L366" s="2" t="s">
        <v>14</v>
      </c>
      <c r="M366">
        <v>3</v>
      </c>
      <c r="N366" s="2" t="s">
        <v>19</v>
      </c>
      <c r="O366">
        <v>61.41</v>
      </c>
    </row>
    <row r="367" spans="1:15" x14ac:dyDescent="0.3">
      <c r="A367" s="1">
        <v>45337</v>
      </c>
      <c r="B367" s="2" t="s">
        <v>24</v>
      </c>
      <c r="C367" s="2" t="s">
        <v>12</v>
      </c>
      <c r="D367" s="2" t="s">
        <v>18</v>
      </c>
      <c r="E367">
        <v>188.65</v>
      </c>
      <c r="F367">
        <v>45.15</v>
      </c>
      <c r="G367">
        <v>0</v>
      </c>
      <c r="H367">
        <f t="shared" si="5"/>
        <v>48675.899999999936</v>
      </c>
      <c r="I367" t="str">
        <f>IF(Sheet1[[#This Row],[Month_Revenue]] &lt; AVERAGE(Sheet1[Month_Revenue]), "Off-Peak", "Peak")</f>
        <v>Off-Peak</v>
      </c>
      <c r="J367">
        <f xml:space="preserve"> IF(Sheet1[[#This Row],[Ad Spend]] &gt; 0, (Sheet1[[#This Row],[Profit]] / Sheet1[[#This Row],[Ad Spend]]), 0)</f>
        <v>3.1782945736434112</v>
      </c>
      <c r="K367">
        <f>Sheet1[[#This Row],[Revenue]]-Sheet1[[#This Row],[Ad Spend]]</f>
        <v>143.5</v>
      </c>
      <c r="L367" s="2" t="s">
        <v>22</v>
      </c>
      <c r="M367">
        <v>2</v>
      </c>
      <c r="N367" s="2" t="s">
        <v>15</v>
      </c>
      <c r="O367">
        <v>0</v>
      </c>
    </row>
    <row r="368" spans="1:15" x14ac:dyDescent="0.3">
      <c r="A368" s="1">
        <v>45310</v>
      </c>
      <c r="B368" s="2" t="s">
        <v>20</v>
      </c>
      <c r="C368" s="2" t="s">
        <v>12</v>
      </c>
      <c r="D368" s="2" t="s">
        <v>18</v>
      </c>
      <c r="E368">
        <v>173.46</v>
      </c>
      <c r="F368">
        <v>37.1</v>
      </c>
      <c r="G368">
        <v>0</v>
      </c>
      <c r="H368">
        <f t="shared" si="5"/>
        <v>61207.979999999989</v>
      </c>
      <c r="I368" t="str">
        <f>IF(Sheet1[[#This Row],[Month_Revenue]] &lt; AVERAGE(Sheet1[Month_Revenue]), "Off-Peak", "Peak")</f>
        <v>Peak</v>
      </c>
      <c r="J368">
        <f xml:space="preserve"> IF(Sheet1[[#This Row],[Ad Spend]] &gt; 0, (Sheet1[[#This Row],[Profit]] / Sheet1[[#This Row],[Ad Spend]]), 0)</f>
        <v>3.6754716981132076</v>
      </c>
      <c r="K368">
        <f>Sheet1[[#This Row],[Revenue]]-Sheet1[[#This Row],[Ad Spend]]</f>
        <v>136.36000000000001</v>
      </c>
      <c r="L368" s="2" t="s">
        <v>22</v>
      </c>
      <c r="M368">
        <v>1</v>
      </c>
      <c r="N368" s="2" t="s">
        <v>15</v>
      </c>
      <c r="O368">
        <v>0</v>
      </c>
    </row>
    <row r="369" spans="1:15" x14ac:dyDescent="0.3">
      <c r="A369" s="1">
        <v>45386</v>
      </c>
      <c r="B369" s="2" t="s">
        <v>24</v>
      </c>
      <c r="C369" s="2" t="s">
        <v>17</v>
      </c>
      <c r="D369" s="2" t="s">
        <v>13</v>
      </c>
      <c r="E369">
        <v>51.65</v>
      </c>
      <c r="F369">
        <v>30.87</v>
      </c>
      <c r="G369">
        <v>3</v>
      </c>
      <c r="H369">
        <f t="shared" si="5"/>
        <v>58562.910000000018</v>
      </c>
      <c r="I369" t="str">
        <f>IF(Sheet1[[#This Row],[Month_Revenue]] &lt; AVERAGE(Sheet1[Month_Revenue]), "Off-Peak", "Peak")</f>
        <v>Peak</v>
      </c>
      <c r="J369">
        <f xml:space="preserve"> IF(Sheet1[[#This Row],[Ad Spend]] &gt; 0, (Sheet1[[#This Row],[Profit]] / Sheet1[[#This Row],[Ad Spend]]), 0)</f>
        <v>0.67314544865565262</v>
      </c>
      <c r="K369">
        <f>Sheet1[[#This Row],[Revenue]]-Sheet1[[#This Row],[Ad Spend]]</f>
        <v>20.779999999999998</v>
      </c>
      <c r="L369" s="2" t="s">
        <v>14</v>
      </c>
      <c r="M369">
        <v>4</v>
      </c>
      <c r="N369" s="2" t="s">
        <v>19</v>
      </c>
      <c r="O369">
        <v>17.216666666666665</v>
      </c>
    </row>
    <row r="370" spans="1:15" x14ac:dyDescent="0.3">
      <c r="A370" s="1">
        <v>45319</v>
      </c>
      <c r="B370" s="2" t="s">
        <v>20</v>
      </c>
      <c r="C370" s="2" t="s">
        <v>17</v>
      </c>
      <c r="D370" s="2" t="s">
        <v>13</v>
      </c>
      <c r="E370">
        <v>141.85</v>
      </c>
      <c r="F370">
        <v>3.42</v>
      </c>
      <c r="G370">
        <v>3</v>
      </c>
      <c r="H370">
        <f t="shared" si="5"/>
        <v>61207.979999999989</v>
      </c>
      <c r="I370" t="str">
        <f>IF(Sheet1[[#This Row],[Month_Revenue]] &lt; AVERAGE(Sheet1[Month_Revenue]), "Off-Peak", "Peak")</f>
        <v>Peak</v>
      </c>
      <c r="J370">
        <f xml:space="preserve"> IF(Sheet1[[#This Row],[Ad Spend]] &gt; 0, (Sheet1[[#This Row],[Profit]] / Sheet1[[#This Row],[Ad Spend]]), 0)</f>
        <v>40.476608187134502</v>
      </c>
      <c r="K370">
        <f>Sheet1[[#This Row],[Revenue]]-Sheet1[[#This Row],[Ad Spend]]</f>
        <v>138.43</v>
      </c>
      <c r="L370" s="2" t="s">
        <v>14</v>
      </c>
      <c r="M370">
        <v>1</v>
      </c>
      <c r="N370" s="2" t="s">
        <v>15</v>
      </c>
      <c r="O370">
        <v>47.283333333333331</v>
      </c>
    </row>
    <row r="371" spans="1:15" x14ac:dyDescent="0.3">
      <c r="A371" s="1">
        <v>45292</v>
      </c>
      <c r="B371" s="2" t="s">
        <v>16</v>
      </c>
      <c r="C371" s="2" t="s">
        <v>17</v>
      </c>
      <c r="D371" s="2" t="s">
        <v>13</v>
      </c>
      <c r="E371">
        <v>152.19999999999999</v>
      </c>
      <c r="F371">
        <v>16.940000000000001</v>
      </c>
      <c r="G371">
        <v>0</v>
      </c>
      <c r="H371">
        <f t="shared" si="5"/>
        <v>61207.979999999989</v>
      </c>
      <c r="I371" t="str">
        <f>IF(Sheet1[[#This Row],[Month_Revenue]] &lt; AVERAGE(Sheet1[Month_Revenue]), "Off-Peak", "Peak")</f>
        <v>Peak</v>
      </c>
      <c r="J371">
        <f xml:space="preserve"> IF(Sheet1[[#This Row],[Ad Spend]] &gt; 0, (Sheet1[[#This Row],[Profit]] / Sheet1[[#This Row],[Ad Spend]]), 0)</f>
        <v>7.984651711924438</v>
      </c>
      <c r="K371">
        <f>Sheet1[[#This Row],[Revenue]]-Sheet1[[#This Row],[Ad Spend]]</f>
        <v>135.26</v>
      </c>
      <c r="L371" s="2" t="s">
        <v>14</v>
      </c>
      <c r="M371">
        <v>1</v>
      </c>
      <c r="N371" s="2" t="s">
        <v>15</v>
      </c>
      <c r="O371">
        <v>0</v>
      </c>
    </row>
    <row r="372" spans="1:15" x14ac:dyDescent="0.3">
      <c r="A372" s="1">
        <v>45301</v>
      </c>
      <c r="B372" s="2" t="s">
        <v>24</v>
      </c>
      <c r="C372" s="2" t="s">
        <v>12</v>
      </c>
      <c r="D372" s="2" t="s">
        <v>18</v>
      </c>
      <c r="E372">
        <v>36.03</v>
      </c>
      <c r="F372">
        <v>5.67</v>
      </c>
      <c r="G372">
        <v>2</v>
      </c>
      <c r="H372">
        <f t="shared" si="5"/>
        <v>61207.979999999989</v>
      </c>
      <c r="I372" t="str">
        <f>IF(Sheet1[[#This Row],[Month_Revenue]] &lt; AVERAGE(Sheet1[Month_Revenue]), "Off-Peak", "Peak")</f>
        <v>Peak</v>
      </c>
      <c r="J372">
        <f xml:space="preserve"> IF(Sheet1[[#This Row],[Ad Spend]] &gt; 0, (Sheet1[[#This Row],[Profit]] / Sheet1[[#This Row],[Ad Spend]]), 0)</f>
        <v>5.3544973544973544</v>
      </c>
      <c r="K372">
        <f>Sheet1[[#This Row],[Revenue]]-Sheet1[[#This Row],[Ad Spend]]</f>
        <v>30.36</v>
      </c>
      <c r="L372" s="2" t="s">
        <v>22</v>
      </c>
      <c r="M372">
        <v>1</v>
      </c>
      <c r="N372" s="2" t="s">
        <v>15</v>
      </c>
      <c r="O372">
        <v>18.015000000000001</v>
      </c>
    </row>
    <row r="373" spans="1:15" x14ac:dyDescent="0.3">
      <c r="A373" s="1">
        <v>45350</v>
      </c>
      <c r="B373" s="2" t="s">
        <v>16</v>
      </c>
      <c r="C373" s="2" t="s">
        <v>21</v>
      </c>
      <c r="D373" s="2" t="s">
        <v>13</v>
      </c>
      <c r="E373">
        <v>109.55</v>
      </c>
      <c r="F373">
        <v>30.74</v>
      </c>
      <c r="G373">
        <v>0</v>
      </c>
      <c r="H373">
        <f t="shared" si="5"/>
        <v>48675.899999999936</v>
      </c>
      <c r="I373" t="str">
        <f>IF(Sheet1[[#This Row],[Month_Revenue]] &lt; AVERAGE(Sheet1[Month_Revenue]), "Off-Peak", "Peak")</f>
        <v>Off-Peak</v>
      </c>
      <c r="J373">
        <f xml:space="preserve"> IF(Sheet1[[#This Row],[Ad Spend]] &gt; 0, (Sheet1[[#This Row],[Profit]] / Sheet1[[#This Row],[Ad Spend]]), 0)</f>
        <v>2.563760572543917</v>
      </c>
      <c r="K373">
        <f>Sheet1[[#This Row],[Revenue]]-Sheet1[[#This Row],[Ad Spend]]</f>
        <v>78.81</v>
      </c>
      <c r="L373" s="2" t="s">
        <v>22</v>
      </c>
      <c r="M373">
        <v>2</v>
      </c>
      <c r="N373" s="2" t="s">
        <v>15</v>
      </c>
      <c r="O373">
        <v>0</v>
      </c>
    </row>
    <row r="374" spans="1:15" x14ac:dyDescent="0.3">
      <c r="A374" s="1">
        <v>45319</v>
      </c>
      <c r="B374" s="2" t="s">
        <v>11</v>
      </c>
      <c r="C374" s="2" t="s">
        <v>21</v>
      </c>
      <c r="D374" s="2" t="s">
        <v>18</v>
      </c>
      <c r="E374">
        <v>50.12</v>
      </c>
      <c r="F374">
        <v>8.1</v>
      </c>
      <c r="G374">
        <v>1</v>
      </c>
      <c r="H374">
        <f t="shared" si="5"/>
        <v>61207.979999999989</v>
      </c>
      <c r="I374" t="str">
        <f>IF(Sheet1[[#This Row],[Month_Revenue]] &lt; AVERAGE(Sheet1[Month_Revenue]), "Off-Peak", "Peak")</f>
        <v>Peak</v>
      </c>
      <c r="J374">
        <f xml:space="preserve"> IF(Sheet1[[#This Row],[Ad Spend]] &gt; 0, (Sheet1[[#This Row],[Profit]] / Sheet1[[#This Row],[Ad Spend]]), 0)</f>
        <v>5.1876543209876544</v>
      </c>
      <c r="K374">
        <f>Sheet1[[#This Row],[Revenue]]-Sheet1[[#This Row],[Ad Spend]]</f>
        <v>42.019999999999996</v>
      </c>
      <c r="L374" s="2" t="s">
        <v>22</v>
      </c>
      <c r="M374">
        <v>1</v>
      </c>
      <c r="N374" s="2" t="s">
        <v>15</v>
      </c>
      <c r="O374">
        <v>50.12</v>
      </c>
    </row>
    <row r="375" spans="1:15" x14ac:dyDescent="0.3">
      <c r="A375" s="1">
        <v>45400</v>
      </c>
      <c r="B375" s="2" t="s">
        <v>11</v>
      </c>
      <c r="C375" s="2" t="s">
        <v>21</v>
      </c>
      <c r="D375" s="2" t="s">
        <v>18</v>
      </c>
      <c r="E375">
        <v>88.43</v>
      </c>
      <c r="F375">
        <v>18.91</v>
      </c>
      <c r="G375">
        <v>3</v>
      </c>
      <c r="H375">
        <f t="shared" si="5"/>
        <v>58562.910000000018</v>
      </c>
      <c r="I375" t="str">
        <f>IF(Sheet1[[#This Row],[Month_Revenue]] &lt; AVERAGE(Sheet1[Month_Revenue]), "Off-Peak", "Peak")</f>
        <v>Peak</v>
      </c>
      <c r="J375">
        <f xml:space="preserve"> IF(Sheet1[[#This Row],[Ad Spend]] &gt; 0, (Sheet1[[#This Row],[Profit]] / Sheet1[[#This Row],[Ad Spend]]), 0)</f>
        <v>3.6763617133791651</v>
      </c>
      <c r="K375">
        <f>Sheet1[[#This Row],[Revenue]]-Sheet1[[#This Row],[Ad Spend]]</f>
        <v>69.52000000000001</v>
      </c>
      <c r="L375" s="2" t="s">
        <v>14</v>
      </c>
      <c r="M375">
        <v>4</v>
      </c>
      <c r="N375" s="2" t="s">
        <v>19</v>
      </c>
      <c r="O375">
        <v>29.47666666666667</v>
      </c>
    </row>
    <row r="376" spans="1:15" x14ac:dyDescent="0.3">
      <c r="A376" s="1">
        <v>45333</v>
      </c>
      <c r="B376" s="2" t="s">
        <v>16</v>
      </c>
      <c r="C376" s="2" t="s">
        <v>17</v>
      </c>
      <c r="D376" s="2" t="s">
        <v>18</v>
      </c>
      <c r="E376">
        <v>159.58000000000001</v>
      </c>
      <c r="F376">
        <v>3.22</v>
      </c>
      <c r="G376">
        <v>1</v>
      </c>
      <c r="H376">
        <f t="shared" si="5"/>
        <v>48675.899999999936</v>
      </c>
      <c r="I376" t="str">
        <f>IF(Sheet1[[#This Row],[Month_Revenue]] &lt; AVERAGE(Sheet1[Month_Revenue]), "Off-Peak", "Peak")</f>
        <v>Off-Peak</v>
      </c>
      <c r="J376">
        <f xml:space="preserve"> IF(Sheet1[[#This Row],[Ad Spend]] &gt; 0, (Sheet1[[#This Row],[Profit]] / Sheet1[[#This Row],[Ad Spend]]), 0)</f>
        <v>48.559006211180126</v>
      </c>
      <c r="K376">
        <f>Sheet1[[#This Row],[Revenue]]-Sheet1[[#This Row],[Ad Spend]]</f>
        <v>156.36000000000001</v>
      </c>
      <c r="L376" s="2" t="s">
        <v>14</v>
      </c>
      <c r="M376">
        <v>2</v>
      </c>
      <c r="N376" s="2" t="s">
        <v>15</v>
      </c>
      <c r="O376">
        <v>159.58000000000001</v>
      </c>
    </row>
    <row r="377" spans="1:15" x14ac:dyDescent="0.3">
      <c r="A377" s="1">
        <v>45338</v>
      </c>
      <c r="B377" s="2" t="s">
        <v>16</v>
      </c>
      <c r="C377" s="2" t="s">
        <v>21</v>
      </c>
      <c r="D377" s="2" t="s">
        <v>18</v>
      </c>
      <c r="E377">
        <v>164.01</v>
      </c>
      <c r="F377">
        <v>35.71</v>
      </c>
      <c r="G377">
        <v>1</v>
      </c>
      <c r="H377">
        <f t="shared" si="5"/>
        <v>48675.899999999936</v>
      </c>
      <c r="I377" t="str">
        <f>IF(Sheet1[[#This Row],[Month_Revenue]] &lt; AVERAGE(Sheet1[Month_Revenue]), "Off-Peak", "Peak")</f>
        <v>Off-Peak</v>
      </c>
      <c r="J377">
        <f xml:space="preserve"> IF(Sheet1[[#This Row],[Ad Spend]] &gt; 0, (Sheet1[[#This Row],[Profit]] / Sheet1[[#This Row],[Ad Spend]]), 0)</f>
        <v>3.5928311397367678</v>
      </c>
      <c r="K377">
        <f>Sheet1[[#This Row],[Revenue]]-Sheet1[[#This Row],[Ad Spend]]</f>
        <v>128.29999999999998</v>
      </c>
      <c r="L377" s="2" t="s">
        <v>14</v>
      </c>
      <c r="M377">
        <v>2</v>
      </c>
      <c r="N377" s="2" t="s">
        <v>15</v>
      </c>
      <c r="O377">
        <v>164.01</v>
      </c>
    </row>
    <row r="378" spans="1:15" x14ac:dyDescent="0.3">
      <c r="A378" s="1">
        <v>45356</v>
      </c>
      <c r="B378" s="2" t="s">
        <v>24</v>
      </c>
      <c r="C378" s="2" t="s">
        <v>21</v>
      </c>
      <c r="D378" s="2" t="s">
        <v>18</v>
      </c>
      <c r="E378">
        <v>94.64</v>
      </c>
      <c r="F378">
        <v>41.06</v>
      </c>
      <c r="G378">
        <v>3</v>
      </c>
      <c r="H378">
        <f t="shared" si="5"/>
        <v>54735.250000000029</v>
      </c>
      <c r="I378" t="str">
        <f>IF(Sheet1[[#This Row],[Month_Revenue]] &lt; AVERAGE(Sheet1[Month_Revenue]), "Off-Peak", "Peak")</f>
        <v>Off-Peak</v>
      </c>
      <c r="J378">
        <f xml:space="preserve"> IF(Sheet1[[#This Row],[Ad Spend]] &gt; 0, (Sheet1[[#This Row],[Profit]] / Sheet1[[#This Row],[Ad Spend]]), 0)</f>
        <v>1.3049196298100341</v>
      </c>
      <c r="K378">
        <f>Sheet1[[#This Row],[Revenue]]-Sheet1[[#This Row],[Ad Spend]]</f>
        <v>53.58</v>
      </c>
      <c r="L378" s="2" t="s">
        <v>22</v>
      </c>
      <c r="M378">
        <v>3</v>
      </c>
      <c r="N378" s="2" t="s">
        <v>19</v>
      </c>
      <c r="O378">
        <v>31.546666666666667</v>
      </c>
    </row>
    <row r="379" spans="1:15" x14ac:dyDescent="0.3">
      <c r="A379" s="1">
        <v>45369</v>
      </c>
      <c r="B379" s="2" t="s">
        <v>20</v>
      </c>
      <c r="C379" s="2" t="s">
        <v>21</v>
      </c>
      <c r="D379" s="2" t="s">
        <v>18</v>
      </c>
      <c r="E379">
        <v>138.94999999999999</v>
      </c>
      <c r="F379">
        <v>1.19</v>
      </c>
      <c r="G379">
        <v>3</v>
      </c>
      <c r="H379">
        <f t="shared" si="5"/>
        <v>54735.250000000029</v>
      </c>
      <c r="I379" t="str">
        <f>IF(Sheet1[[#This Row],[Month_Revenue]] &lt; AVERAGE(Sheet1[Month_Revenue]), "Off-Peak", "Peak")</f>
        <v>Off-Peak</v>
      </c>
      <c r="J379">
        <f xml:space="preserve"> IF(Sheet1[[#This Row],[Ad Spend]] &gt; 0, (Sheet1[[#This Row],[Profit]] / Sheet1[[#This Row],[Ad Spend]]), 0)</f>
        <v>115.76470588235294</v>
      </c>
      <c r="K379">
        <f>Sheet1[[#This Row],[Revenue]]-Sheet1[[#This Row],[Ad Spend]]</f>
        <v>137.76</v>
      </c>
      <c r="L379" s="2" t="s">
        <v>14</v>
      </c>
      <c r="M379">
        <v>3</v>
      </c>
      <c r="N379" s="2" t="s">
        <v>19</v>
      </c>
      <c r="O379">
        <v>46.316666666666663</v>
      </c>
    </row>
    <row r="380" spans="1:15" x14ac:dyDescent="0.3">
      <c r="A380" s="1">
        <v>45335</v>
      </c>
      <c r="B380" s="2" t="s">
        <v>11</v>
      </c>
      <c r="C380" s="2" t="s">
        <v>21</v>
      </c>
      <c r="D380" s="2" t="s">
        <v>18</v>
      </c>
      <c r="E380">
        <v>39.36</v>
      </c>
      <c r="F380">
        <v>43.16</v>
      </c>
      <c r="G380">
        <v>1</v>
      </c>
      <c r="H380">
        <f t="shared" si="5"/>
        <v>48675.899999999936</v>
      </c>
      <c r="I380" t="str">
        <f>IF(Sheet1[[#This Row],[Month_Revenue]] &lt; AVERAGE(Sheet1[Month_Revenue]), "Off-Peak", "Peak")</f>
        <v>Off-Peak</v>
      </c>
      <c r="J380">
        <f xml:space="preserve"> IF(Sheet1[[#This Row],[Ad Spend]] &gt; 0, (Sheet1[[#This Row],[Profit]] / Sheet1[[#This Row],[Ad Spend]]), 0)</f>
        <v>-8.8044485634847028E-2</v>
      </c>
      <c r="K380">
        <f>Sheet1[[#This Row],[Revenue]]-Sheet1[[#This Row],[Ad Spend]]</f>
        <v>-3.7999999999999972</v>
      </c>
      <c r="L380" s="2" t="s">
        <v>14</v>
      </c>
      <c r="M380">
        <v>2</v>
      </c>
      <c r="N380" s="2" t="s">
        <v>15</v>
      </c>
      <c r="O380">
        <v>39.36</v>
      </c>
    </row>
    <row r="381" spans="1:15" x14ac:dyDescent="0.3">
      <c r="A381" s="1">
        <v>45392</v>
      </c>
      <c r="B381" s="2" t="s">
        <v>23</v>
      </c>
      <c r="C381" s="2" t="s">
        <v>12</v>
      </c>
      <c r="D381" s="2" t="s">
        <v>18</v>
      </c>
      <c r="E381">
        <v>78.14</v>
      </c>
      <c r="F381">
        <v>24.04</v>
      </c>
      <c r="G381">
        <v>0</v>
      </c>
      <c r="H381">
        <f t="shared" si="5"/>
        <v>58562.910000000018</v>
      </c>
      <c r="I381" t="str">
        <f>IF(Sheet1[[#This Row],[Month_Revenue]] &lt; AVERAGE(Sheet1[Month_Revenue]), "Off-Peak", "Peak")</f>
        <v>Peak</v>
      </c>
      <c r="J381">
        <f xml:space="preserve"> IF(Sheet1[[#This Row],[Ad Spend]] &gt; 0, (Sheet1[[#This Row],[Profit]] / Sheet1[[#This Row],[Ad Spend]]), 0)</f>
        <v>2.250415973377704</v>
      </c>
      <c r="K381">
        <f>Sheet1[[#This Row],[Revenue]]-Sheet1[[#This Row],[Ad Spend]]</f>
        <v>54.1</v>
      </c>
      <c r="L381" s="2" t="s">
        <v>14</v>
      </c>
      <c r="M381">
        <v>4</v>
      </c>
      <c r="N381" s="2" t="s">
        <v>19</v>
      </c>
      <c r="O381">
        <v>0</v>
      </c>
    </row>
    <row r="382" spans="1:15" x14ac:dyDescent="0.3">
      <c r="A382" s="1">
        <v>45353</v>
      </c>
      <c r="B382" s="2" t="s">
        <v>24</v>
      </c>
      <c r="C382" s="2" t="s">
        <v>12</v>
      </c>
      <c r="D382" s="2" t="s">
        <v>13</v>
      </c>
      <c r="E382">
        <v>74.02</v>
      </c>
      <c r="F382">
        <v>48.33</v>
      </c>
      <c r="G382">
        <v>0</v>
      </c>
      <c r="H382">
        <f t="shared" si="5"/>
        <v>54735.250000000029</v>
      </c>
      <c r="I382" t="str">
        <f>IF(Sheet1[[#This Row],[Month_Revenue]] &lt; AVERAGE(Sheet1[Month_Revenue]), "Off-Peak", "Peak")</f>
        <v>Off-Peak</v>
      </c>
      <c r="J382">
        <f xml:space="preserve"> IF(Sheet1[[#This Row],[Ad Spend]] &gt; 0, (Sheet1[[#This Row],[Profit]] / Sheet1[[#This Row],[Ad Spend]]), 0)</f>
        <v>0.53155390026898408</v>
      </c>
      <c r="K382">
        <f>Sheet1[[#This Row],[Revenue]]-Sheet1[[#This Row],[Ad Spend]]</f>
        <v>25.689999999999998</v>
      </c>
      <c r="L382" s="2" t="s">
        <v>22</v>
      </c>
      <c r="M382">
        <v>3</v>
      </c>
      <c r="N382" s="2" t="s">
        <v>19</v>
      </c>
      <c r="O382">
        <v>0</v>
      </c>
    </row>
    <row r="383" spans="1:15" x14ac:dyDescent="0.3">
      <c r="A383" s="1">
        <v>45363</v>
      </c>
      <c r="B383" s="2" t="s">
        <v>23</v>
      </c>
      <c r="C383" s="2" t="s">
        <v>12</v>
      </c>
      <c r="D383" s="2" t="s">
        <v>18</v>
      </c>
      <c r="E383">
        <v>112.65</v>
      </c>
      <c r="F383">
        <v>13.39</v>
      </c>
      <c r="G383">
        <v>2</v>
      </c>
      <c r="H383">
        <f t="shared" si="5"/>
        <v>54735.250000000029</v>
      </c>
      <c r="I383" t="str">
        <f>IF(Sheet1[[#This Row],[Month_Revenue]] &lt; AVERAGE(Sheet1[Month_Revenue]), "Off-Peak", "Peak")</f>
        <v>Off-Peak</v>
      </c>
      <c r="J383">
        <f xml:space="preserve"> IF(Sheet1[[#This Row],[Ad Spend]] &gt; 0, (Sheet1[[#This Row],[Profit]] / Sheet1[[#This Row],[Ad Spend]]), 0)</f>
        <v>7.4129947722180729</v>
      </c>
      <c r="K383">
        <f>Sheet1[[#This Row],[Revenue]]-Sheet1[[#This Row],[Ad Spend]]</f>
        <v>99.26</v>
      </c>
      <c r="L383" s="2" t="s">
        <v>22</v>
      </c>
      <c r="M383">
        <v>3</v>
      </c>
      <c r="N383" s="2" t="s">
        <v>19</v>
      </c>
      <c r="O383">
        <v>56.325000000000003</v>
      </c>
    </row>
    <row r="384" spans="1:15" x14ac:dyDescent="0.3">
      <c r="A384" s="1">
        <v>45330</v>
      </c>
      <c r="B384" s="2" t="s">
        <v>23</v>
      </c>
      <c r="C384" s="2" t="s">
        <v>17</v>
      </c>
      <c r="D384" s="2" t="s">
        <v>18</v>
      </c>
      <c r="E384">
        <v>166.48</v>
      </c>
      <c r="F384">
        <v>1.71</v>
      </c>
      <c r="G384">
        <v>1</v>
      </c>
      <c r="H384">
        <f t="shared" si="5"/>
        <v>48675.899999999936</v>
      </c>
      <c r="I384" t="str">
        <f>IF(Sheet1[[#This Row],[Month_Revenue]] &lt; AVERAGE(Sheet1[Month_Revenue]), "Off-Peak", "Peak")</f>
        <v>Off-Peak</v>
      </c>
      <c r="J384">
        <f xml:space="preserve"> IF(Sheet1[[#This Row],[Ad Spend]] &gt; 0, (Sheet1[[#This Row],[Profit]] / Sheet1[[#This Row],[Ad Spend]]), 0)</f>
        <v>96.356725146198826</v>
      </c>
      <c r="K384">
        <f>Sheet1[[#This Row],[Revenue]]-Sheet1[[#This Row],[Ad Spend]]</f>
        <v>164.76999999999998</v>
      </c>
      <c r="L384" s="2" t="s">
        <v>22</v>
      </c>
      <c r="M384">
        <v>2</v>
      </c>
      <c r="N384" s="2" t="s">
        <v>15</v>
      </c>
      <c r="O384">
        <v>166.48</v>
      </c>
    </row>
    <row r="385" spans="1:15" x14ac:dyDescent="0.3">
      <c r="A385" s="1">
        <v>45315</v>
      </c>
      <c r="B385" s="2" t="s">
        <v>23</v>
      </c>
      <c r="C385" s="2" t="s">
        <v>12</v>
      </c>
      <c r="D385" s="2" t="s">
        <v>13</v>
      </c>
      <c r="E385">
        <v>93.54</v>
      </c>
      <c r="F385">
        <v>36.89</v>
      </c>
      <c r="G385">
        <v>3</v>
      </c>
      <c r="H385">
        <f t="shared" si="5"/>
        <v>61207.979999999989</v>
      </c>
      <c r="I385" t="str">
        <f>IF(Sheet1[[#This Row],[Month_Revenue]] &lt; AVERAGE(Sheet1[Month_Revenue]), "Off-Peak", "Peak")</f>
        <v>Peak</v>
      </c>
      <c r="J385">
        <f xml:space="preserve"> IF(Sheet1[[#This Row],[Ad Spend]] &gt; 0, (Sheet1[[#This Row],[Profit]] / Sheet1[[#This Row],[Ad Spend]]), 0)</f>
        <v>1.5356465166711848</v>
      </c>
      <c r="K385">
        <f>Sheet1[[#This Row],[Revenue]]-Sheet1[[#This Row],[Ad Spend]]</f>
        <v>56.650000000000006</v>
      </c>
      <c r="L385" s="2" t="s">
        <v>14</v>
      </c>
      <c r="M385">
        <v>1</v>
      </c>
      <c r="N385" s="2" t="s">
        <v>15</v>
      </c>
      <c r="O385">
        <v>31.180000000000003</v>
      </c>
    </row>
    <row r="386" spans="1:15" x14ac:dyDescent="0.3">
      <c r="A386" s="1">
        <v>45314</v>
      </c>
      <c r="B386" s="2" t="s">
        <v>11</v>
      </c>
      <c r="C386" s="2" t="s">
        <v>21</v>
      </c>
      <c r="D386" s="2" t="s">
        <v>18</v>
      </c>
      <c r="E386">
        <v>21.71</v>
      </c>
      <c r="F386">
        <v>15.98</v>
      </c>
      <c r="G386">
        <v>3</v>
      </c>
      <c r="H386">
        <f t="shared" ref="H386:H449" si="6">SUMIFS($E$2:$E$2001, $M$2:$M$2001, M386)</f>
        <v>61207.979999999989</v>
      </c>
      <c r="I386" t="str">
        <f>IF(Sheet1[[#This Row],[Month_Revenue]] &lt; AVERAGE(Sheet1[Month_Revenue]), "Off-Peak", "Peak")</f>
        <v>Peak</v>
      </c>
      <c r="J386">
        <f xml:space="preserve"> IF(Sheet1[[#This Row],[Ad Spend]] &gt; 0, (Sheet1[[#This Row],[Profit]] / Sheet1[[#This Row],[Ad Spend]]), 0)</f>
        <v>0.35857321652065083</v>
      </c>
      <c r="K386">
        <f>Sheet1[[#This Row],[Revenue]]-Sheet1[[#This Row],[Ad Spend]]</f>
        <v>5.73</v>
      </c>
      <c r="L386" s="2" t="s">
        <v>14</v>
      </c>
      <c r="M386">
        <v>1</v>
      </c>
      <c r="N386" s="2" t="s">
        <v>15</v>
      </c>
      <c r="O386">
        <v>7.2366666666666672</v>
      </c>
    </row>
    <row r="387" spans="1:15" x14ac:dyDescent="0.3">
      <c r="A387" s="1">
        <v>45391</v>
      </c>
      <c r="B387" s="2" t="s">
        <v>24</v>
      </c>
      <c r="C387" s="2" t="s">
        <v>17</v>
      </c>
      <c r="D387" s="2" t="s">
        <v>13</v>
      </c>
      <c r="E387">
        <v>175.47</v>
      </c>
      <c r="F387">
        <v>30.66</v>
      </c>
      <c r="G387">
        <v>0</v>
      </c>
      <c r="H387">
        <f t="shared" si="6"/>
        <v>58562.910000000018</v>
      </c>
      <c r="I387" t="str">
        <f>IF(Sheet1[[#This Row],[Month_Revenue]] &lt; AVERAGE(Sheet1[Month_Revenue]), "Off-Peak", "Peak")</f>
        <v>Peak</v>
      </c>
      <c r="J387">
        <f xml:space="preserve"> IF(Sheet1[[#This Row],[Ad Spend]] &gt; 0, (Sheet1[[#This Row],[Profit]] / Sheet1[[#This Row],[Ad Spend]]), 0)</f>
        <v>4.7230919765166339</v>
      </c>
      <c r="K387">
        <f>Sheet1[[#This Row],[Revenue]]-Sheet1[[#This Row],[Ad Spend]]</f>
        <v>144.81</v>
      </c>
      <c r="L387" s="2" t="s">
        <v>14</v>
      </c>
      <c r="M387">
        <v>4</v>
      </c>
      <c r="N387" s="2" t="s">
        <v>19</v>
      </c>
      <c r="O387">
        <v>0</v>
      </c>
    </row>
    <row r="388" spans="1:15" x14ac:dyDescent="0.3">
      <c r="A388" s="1">
        <v>45400</v>
      </c>
      <c r="B388" s="2" t="s">
        <v>11</v>
      </c>
      <c r="C388" s="2" t="s">
        <v>17</v>
      </c>
      <c r="D388" s="2" t="s">
        <v>13</v>
      </c>
      <c r="E388">
        <v>78.180000000000007</v>
      </c>
      <c r="F388">
        <v>34.24</v>
      </c>
      <c r="G388">
        <v>3</v>
      </c>
      <c r="H388">
        <f t="shared" si="6"/>
        <v>58562.910000000018</v>
      </c>
      <c r="I388" t="str">
        <f>IF(Sheet1[[#This Row],[Month_Revenue]] &lt; AVERAGE(Sheet1[Month_Revenue]), "Off-Peak", "Peak")</f>
        <v>Peak</v>
      </c>
      <c r="J388">
        <f xml:space="preserve"> IF(Sheet1[[#This Row],[Ad Spend]] &gt; 0, (Sheet1[[#This Row],[Profit]] / Sheet1[[#This Row],[Ad Spend]]), 0)</f>
        <v>1.2832943925233646</v>
      </c>
      <c r="K388">
        <f>Sheet1[[#This Row],[Revenue]]-Sheet1[[#This Row],[Ad Spend]]</f>
        <v>43.940000000000005</v>
      </c>
      <c r="L388" s="2" t="s">
        <v>14</v>
      </c>
      <c r="M388">
        <v>4</v>
      </c>
      <c r="N388" s="2" t="s">
        <v>19</v>
      </c>
      <c r="O388">
        <v>26.060000000000002</v>
      </c>
    </row>
    <row r="389" spans="1:15" x14ac:dyDescent="0.3">
      <c r="A389" s="1">
        <v>45335</v>
      </c>
      <c r="B389" s="2" t="s">
        <v>16</v>
      </c>
      <c r="C389" s="2" t="s">
        <v>12</v>
      </c>
      <c r="D389" s="2" t="s">
        <v>13</v>
      </c>
      <c r="E389">
        <v>60.53</v>
      </c>
      <c r="F389">
        <v>49.96</v>
      </c>
      <c r="G389">
        <v>0</v>
      </c>
      <c r="H389">
        <f t="shared" si="6"/>
        <v>48675.899999999936</v>
      </c>
      <c r="I389" t="str">
        <f>IF(Sheet1[[#This Row],[Month_Revenue]] &lt; AVERAGE(Sheet1[Month_Revenue]), "Off-Peak", "Peak")</f>
        <v>Off-Peak</v>
      </c>
      <c r="J389">
        <f xml:space="preserve"> IF(Sheet1[[#This Row],[Ad Spend]] &gt; 0, (Sheet1[[#This Row],[Profit]] / Sheet1[[#This Row],[Ad Spend]]), 0)</f>
        <v>0.21156925540432345</v>
      </c>
      <c r="K389">
        <f>Sheet1[[#This Row],[Revenue]]-Sheet1[[#This Row],[Ad Spend]]</f>
        <v>10.57</v>
      </c>
      <c r="L389" s="2" t="s">
        <v>14</v>
      </c>
      <c r="M389">
        <v>2</v>
      </c>
      <c r="N389" s="2" t="s">
        <v>15</v>
      </c>
      <c r="O389">
        <v>0</v>
      </c>
    </row>
    <row r="390" spans="1:15" x14ac:dyDescent="0.3">
      <c r="A390" s="1">
        <v>45297</v>
      </c>
      <c r="B390" s="2" t="s">
        <v>20</v>
      </c>
      <c r="C390" s="2" t="s">
        <v>21</v>
      </c>
      <c r="D390" s="2" t="s">
        <v>18</v>
      </c>
      <c r="E390">
        <v>135.21</v>
      </c>
      <c r="F390">
        <v>16.37</v>
      </c>
      <c r="G390">
        <v>0</v>
      </c>
      <c r="H390">
        <f t="shared" si="6"/>
        <v>61207.979999999989</v>
      </c>
      <c r="I390" t="str">
        <f>IF(Sheet1[[#This Row],[Month_Revenue]] &lt; AVERAGE(Sheet1[Month_Revenue]), "Off-Peak", "Peak")</f>
        <v>Peak</v>
      </c>
      <c r="J390">
        <f xml:space="preserve"> IF(Sheet1[[#This Row],[Ad Spend]] &gt; 0, (Sheet1[[#This Row],[Profit]] / Sheet1[[#This Row],[Ad Spend]]), 0)</f>
        <v>7.2596212583995108</v>
      </c>
      <c r="K390">
        <f>Sheet1[[#This Row],[Revenue]]-Sheet1[[#This Row],[Ad Spend]]</f>
        <v>118.84</v>
      </c>
      <c r="L390" s="2" t="s">
        <v>22</v>
      </c>
      <c r="M390">
        <v>1</v>
      </c>
      <c r="N390" s="2" t="s">
        <v>15</v>
      </c>
      <c r="O390">
        <v>0</v>
      </c>
    </row>
    <row r="391" spans="1:15" x14ac:dyDescent="0.3">
      <c r="A391" s="1">
        <v>45292</v>
      </c>
      <c r="B391" s="2" t="s">
        <v>20</v>
      </c>
      <c r="C391" s="2" t="s">
        <v>17</v>
      </c>
      <c r="D391" s="2" t="s">
        <v>13</v>
      </c>
      <c r="E391">
        <v>30.07</v>
      </c>
      <c r="F391">
        <v>2.16</v>
      </c>
      <c r="G391">
        <v>1</v>
      </c>
      <c r="H391">
        <f t="shared" si="6"/>
        <v>61207.979999999989</v>
      </c>
      <c r="I391" t="str">
        <f>IF(Sheet1[[#This Row],[Month_Revenue]] &lt; AVERAGE(Sheet1[Month_Revenue]), "Off-Peak", "Peak")</f>
        <v>Peak</v>
      </c>
      <c r="J391">
        <f xml:space="preserve"> IF(Sheet1[[#This Row],[Ad Spend]] &gt; 0, (Sheet1[[#This Row],[Profit]] / Sheet1[[#This Row],[Ad Spend]]), 0)</f>
        <v>12.921296296296296</v>
      </c>
      <c r="K391">
        <f>Sheet1[[#This Row],[Revenue]]-Sheet1[[#This Row],[Ad Spend]]</f>
        <v>27.91</v>
      </c>
      <c r="L391" s="2" t="s">
        <v>22</v>
      </c>
      <c r="M391">
        <v>1</v>
      </c>
      <c r="N391" s="2" t="s">
        <v>15</v>
      </c>
      <c r="O391">
        <v>30.07</v>
      </c>
    </row>
    <row r="392" spans="1:15" x14ac:dyDescent="0.3">
      <c r="A392" s="1">
        <v>45405</v>
      </c>
      <c r="B392" s="2" t="s">
        <v>23</v>
      </c>
      <c r="C392" s="2" t="s">
        <v>21</v>
      </c>
      <c r="D392" s="2" t="s">
        <v>13</v>
      </c>
      <c r="E392">
        <v>50.79</v>
      </c>
      <c r="F392">
        <v>19.63</v>
      </c>
      <c r="G392">
        <v>0</v>
      </c>
      <c r="H392">
        <f t="shared" si="6"/>
        <v>58562.910000000018</v>
      </c>
      <c r="I392" t="str">
        <f>IF(Sheet1[[#This Row],[Month_Revenue]] &lt; AVERAGE(Sheet1[Month_Revenue]), "Off-Peak", "Peak")</f>
        <v>Peak</v>
      </c>
      <c r="J392">
        <f xml:space="preserve"> IF(Sheet1[[#This Row],[Ad Spend]] &gt; 0, (Sheet1[[#This Row],[Profit]] / Sheet1[[#This Row],[Ad Spend]]), 0)</f>
        <v>1.5873662761079981</v>
      </c>
      <c r="K392">
        <f>Sheet1[[#This Row],[Revenue]]-Sheet1[[#This Row],[Ad Spend]]</f>
        <v>31.16</v>
      </c>
      <c r="L392" s="2" t="s">
        <v>22</v>
      </c>
      <c r="M392">
        <v>4</v>
      </c>
      <c r="N392" s="2" t="s">
        <v>19</v>
      </c>
      <c r="O392">
        <v>0</v>
      </c>
    </row>
    <row r="393" spans="1:15" x14ac:dyDescent="0.3">
      <c r="A393" s="1">
        <v>45383</v>
      </c>
      <c r="B393" s="2" t="s">
        <v>20</v>
      </c>
      <c r="C393" s="2" t="s">
        <v>21</v>
      </c>
      <c r="D393" s="2" t="s">
        <v>13</v>
      </c>
      <c r="E393">
        <v>93.56</v>
      </c>
      <c r="F393">
        <v>46.62</v>
      </c>
      <c r="G393">
        <v>1</v>
      </c>
      <c r="H393">
        <f t="shared" si="6"/>
        <v>58562.910000000018</v>
      </c>
      <c r="I393" t="str">
        <f>IF(Sheet1[[#This Row],[Month_Revenue]] &lt; AVERAGE(Sheet1[Month_Revenue]), "Off-Peak", "Peak")</f>
        <v>Peak</v>
      </c>
      <c r="J393">
        <f xml:space="preserve"> IF(Sheet1[[#This Row],[Ad Spend]] &gt; 0, (Sheet1[[#This Row],[Profit]] / Sheet1[[#This Row],[Ad Spend]]), 0)</f>
        <v>1.0068640068640071</v>
      </c>
      <c r="K393">
        <f>Sheet1[[#This Row],[Revenue]]-Sheet1[[#This Row],[Ad Spend]]</f>
        <v>46.940000000000005</v>
      </c>
      <c r="L393" s="2" t="s">
        <v>22</v>
      </c>
      <c r="M393">
        <v>4</v>
      </c>
      <c r="N393" s="2" t="s">
        <v>19</v>
      </c>
      <c r="O393">
        <v>93.56</v>
      </c>
    </row>
    <row r="394" spans="1:15" x14ac:dyDescent="0.3">
      <c r="A394" s="1">
        <v>45397</v>
      </c>
      <c r="B394" s="2" t="s">
        <v>20</v>
      </c>
      <c r="C394" s="2" t="s">
        <v>12</v>
      </c>
      <c r="D394" s="2" t="s">
        <v>18</v>
      </c>
      <c r="E394">
        <v>152.62</v>
      </c>
      <c r="F394">
        <v>43.85</v>
      </c>
      <c r="G394">
        <v>1</v>
      </c>
      <c r="H394">
        <f t="shared" si="6"/>
        <v>58562.910000000018</v>
      </c>
      <c r="I394" t="str">
        <f>IF(Sheet1[[#This Row],[Month_Revenue]] &lt; AVERAGE(Sheet1[Month_Revenue]), "Off-Peak", "Peak")</f>
        <v>Peak</v>
      </c>
      <c r="J394">
        <f xml:space="preserve"> IF(Sheet1[[#This Row],[Ad Spend]] &gt; 0, (Sheet1[[#This Row],[Profit]] / Sheet1[[#This Row],[Ad Spend]]), 0)</f>
        <v>2.480501710376283</v>
      </c>
      <c r="K394">
        <f>Sheet1[[#This Row],[Revenue]]-Sheet1[[#This Row],[Ad Spend]]</f>
        <v>108.77000000000001</v>
      </c>
      <c r="L394" s="2" t="s">
        <v>14</v>
      </c>
      <c r="M394">
        <v>4</v>
      </c>
      <c r="N394" s="2" t="s">
        <v>19</v>
      </c>
      <c r="O394">
        <v>152.62</v>
      </c>
    </row>
    <row r="395" spans="1:15" x14ac:dyDescent="0.3">
      <c r="A395" s="1">
        <v>45311</v>
      </c>
      <c r="B395" s="2" t="s">
        <v>16</v>
      </c>
      <c r="C395" s="2" t="s">
        <v>17</v>
      </c>
      <c r="D395" s="2" t="s">
        <v>13</v>
      </c>
      <c r="E395">
        <v>97.61</v>
      </c>
      <c r="F395">
        <v>8.58</v>
      </c>
      <c r="G395">
        <v>3</v>
      </c>
      <c r="H395">
        <f t="shared" si="6"/>
        <v>61207.979999999989</v>
      </c>
      <c r="I395" t="str">
        <f>IF(Sheet1[[#This Row],[Month_Revenue]] &lt; AVERAGE(Sheet1[Month_Revenue]), "Off-Peak", "Peak")</f>
        <v>Peak</v>
      </c>
      <c r="J395">
        <f xml:space="preserve"> IF(Sheet1[[#This Row],[Ad Spend]] &gt; 0, (Sheet1[[#This Row],[Profit]] / Sheet1[[#This Row],[Ad Spend]]), 0)</f>
        <v>10.376456876456876</v>
      </c>
      <c r="K395">
        <f>Sheet1[[#This Row],[Revenue]]-Sheet1[[#This Row],[Ad Spend]]</f>
        <v>89.03</v>
      </c>
      <c r="L395" s="2" t="s">
        <v>14</v>
      </c>
      <c r="M395">
        <v>1</v>
      </c>
      <c r="N395" s="2" t="s">
        <v>15</v>
      </c>
      <c r="O395">
        <v>32.536666666666669</v>
      </c>
    </row>
    <row r="396" spans="1:15" x14ac:dyDescent="0.3">
      <c r="A396" s="1">
        <v>45334</v>
      </c>
      <c r="B396" s="2" t="s">
        <v>16</v>
      </c>
      <c r="C396" s="2" t="s">
        <v>12</v>
      </c>
      <c r="D396" s="2" t="s">
        <v>13</v>
      </c>
      <c r="E396">
        <v>130.63999999999999</v>
      </c>
      <c r="F396">
        <v>32.44</v>
      </c>
      <c r="G396">
        <v>2</v>
      </c>
      <c r="H396">
        <f t="shared" si="6"/>
        <v>48675.899999999936</v>
      </c>
      <c r="I396" t="str">
        <f>IF(Sheet1[[#This Row],[Month_Revenue]] &lt; AVERAGE(Sheet1[Month_Revenue]), "Off-Peak", "Peak")</f>
        <v>Off-Peak</v>
      </c>
      <c r="J396">
        <f xml:space="preserve"> IF(Sheet1[[#This Row],[Ad Spend]] &gt; 0, (Sheet1[[#This Row],[Profit]] / Sheet1[[#This Row],[Ad Spend]]), 0)</f>
        <v>3.0271270036991367</v>
      </c>
      <c r="K396">
        <f>Sheet1[[#This Row],[Revenue]]-Sheet1[[#This Row],[Ad Spend]]</f>
        <v>98.199999999999989</v>
      </c>
      <c r="L396" s="2" t="s">
        <v>14</v>
      </c>
      <c r="M396">
        <v>2</v>
      </c>
      <c r="N396" s="2" t="s">
        <v>15</v>
      </c>
      <c r="O396">
        <v>65.319999999999993</v>
      </c>
    </row>
    <row r="397" spans="1:15" x14ac:dyDescent="0.3">
      <c r="A397" s="1">
        <v>45331</v>
      </c>
      <c r="B397" s="2" t="s">
        <v>23</v>
      </c>
      <c r="C397" s="2" t="s">
        <v>21</v>
      </c>
      <c r="D397" s="2" t="s">
        <v>18</v>
      </c>
      <c r="E397">
        <v>64.930000000000007</v>
      </c>
      <c r="F397">
        <v>49.02</v>
      </c>
      <c r="G397">
        <v>1</v>
      </c>
      <c r="H397">
        <f t="shared" si="6"/>
        <v>48675.899999999936</v>
      </c>
      <c r="I397" t="str">
        <f>IF(Sheet1[[#This Row],[Month_Revenue]] &lt; AVERAGE(Sheet1[Month_Revenue]), "Off-Peak", "Peak")</f>
        <v>Off-Peak</v>
      </c>
      <c r="J397">
        <f xml:space="preserve"> IF(Sheet1[[#This Row],[Ad Spend]] &gt; 0, (Sheet1[[#This Row],[Profit]] / Sheet1[[#This Row],[Ad Spend]]), 0)</f>
        <v>0.324561403508772</v>
      </c>
      <c r="K397">
        <f>Sheet1[[#This Row],[Revenue]]-Sheet1[[#This Row],[Ad Spend]]</f>
        <v>15.910000000000004</v>
      </c>
      <c r="L397" s="2" t="s">
        <v>22</v>
      </c>
      <c r="M397">
        <v>2</v>
      </c>
      <c r="N397" s="2" t="s">
        <v>15</v>
      </c>
      <c r="O397">
        <v>64.930000000000007</v>
      </c>
    </row>
    <row r="398" spans="1:15" x14ac:dyDescent="0.3">
      <c r="A398" s="1">
        <v>45317</v>
      </c>
      <c r="B398" s="2" t="s">
        <v>24</v>
      </c>
      <c r="C398" s="2" t="s">
        <v>21</v>
      </c>
      <c r="D398" s="2" t="s">
        <v>18</v>
      </c>
      <c r="E398">
        <v>81.3</v>
      </c>
      <c r="F398">
        <v>47.02</v>
      </c>
      <c r="G398">
        <v>1</v>
      </c>
      <c r="H398">
        <f t="shared" si="6"/>
        <v>61207.979999999989</v>
      </c>
      <c r="I398" t="str">
        <f>IF(Sheet1[[#This Row],[Month_Revenue]] &lt; AVERAGE(Sheet1[Month_Revenue]), "Off-Peak", "Peak")</f>
        <v>Peak</v>
      </c>
      <c r="J398">
        <f xml:space="preserve"> IF(Sheet1[[#This Row],[Ad Spend]] &gt; 0, (Sheet1[[#This Row],[Profit]] / Sheet1[[#This Row],[Ad Spend]]), 0)</f>
        <v>0.72905146746065486</v>
      </c>
      <c r="K398">
        <f>Sheet1[[#This Row],[Revenue]]-Sheet1[[#This Row],[Ad Spend]]</f>
        <v>34.279999999999994</v>
      </c>
      <c r="L398" s="2" t="s">
        <v>14</v>
      </c>
      <c r="M398">
        <v>1</v>
      </c>
      <c r="N398" s="2" t="s">
        <v>15</v>
      </c>
      <c r="O398">
        <v>81.3</v>
      </c>
    </row>
    <row r="399" spans="1:15" x14ac:dyDescent="0.3">
      <c r="A399" s="1">
        <v>45348</v>
      </c>
      <c r="B399" s="2" t="s">
        <v>23</v>
      </c>
      <c r="C399" s="2" t="s">
        <v>21</v>
      </c>
      <c r="D399" s="2" t="s">
        <v>13</v>
      </c>
      <c r="E399">
        <v>28.04</v>
      </c>
      <c r="F399">
        <v>7.22</v>
      </c>
      <c r="G399">
        <v>0</v>
      </c>
      <c r="H399">
        <f t="shared" si="6"/>
        <v>48675.899999999936</v>
      </c>
      <c r="I399" t="str">
        <f>IF(Sheet1[[#This Row],[Month_Revenue]] &lt; AVERAGE(Sheet1[Month_Revenue]), "Off-Peak", "Peak")</f>
        <v>Off-Peak</v>
      </c>
      <c r="J399">
        <f xml:space="preserve"> IF(Sheet1[[#This Row],[Ad Spend]] &gt; 0, (Sheet1[[#This Row],[Profit]] / Sheet1[[#This Row],[Ad Spend]]), 0)</f>
        <v>2.8836565096952911</v>
      </c>
      <c r="K399">
        <f>Sheet1[[#This Row],[Revenue]]-Sheet1[[#This Row],[Ad Spend]]</f>
        <v>20.82</v>
      </c>
      <c r="L399" s="2" t="s">
        <v>14</v>
      </c>
      <c r="M399">
        <v>2</v>
      </c>
      <c r="N399" s="2" t="s">
        <v>15</v>
      </c>
      <c r="O399">
        <v>0</v>
      </c>
    </row>
    <row r="400" spans="1:15" x14ac:dyDescent="0.3">
      <c r="A400" s="1">
        <v>45342</v>
      </c>
      <c r="B400" s="2" t="s">
        <v>23</v>
      </c>
      <c r="C400" s="2" t="s">
        <v>21</v>
      </c>
      <c r="D400" s="2" t="s">
        <v>18</v>
      </c>
      <c r="E400">
        <v>70.459999999999994</v>
      </c>
      <c r="F400">
        <v>8.1199999999999992</v>
      </c>
      <c r="G400">
        <v>2</v>
      </c>
      <c r="H400">
        <f t="shared" si="6"/>
        <v>48675.899999999936</v>
      </c>
      <c r="I400" t="str">
        <f>IF(Sheet1[[#This Row],[Month_Revenue]] &lt; AVERAGE(Sheet1[Month_Revenue]), "Off-Peak", "Peak")</f>
        <v>Off-Peak</v>
      </c>
      <c r="J400">
        <f xml:space="preserve"> IF(Sheet1[[#This Row],[Ad Spend]] &gt; 0, (Sheet1[[#This Row],[Profit]] / Sheet1[[#This Row],[Ad Spend]]), 0)</f>
        <v>7.6773399014778327</v>
      </c>
      <c r="K400">
        <f>Sheet1[[#This Row],[Revenue]]-Sheet1[[#This Row],[Ad Spend]]</f>
        <v>62.339999999999996</v>
      </c>
      <c r="L400" s="2" t="s">
        <v>14</v>
      </c>
      <c r="M400">
        <v>2</v>
      </c>
      <c r="N400" s="2" t="s">
        <v>15</v>
      </c>
      <c r="O400">
        <v>35.229999999999997</v>
      </c>
    </row>
    <row r="401" spans="1:15" x14ac:dyDescent="0.3">
      <c r="A401" s="1">
        <v>45347</v>
      </c>
      <c r="B401" s="2" t="s">
        <v>24</v>
      </c>
      <c r="C401" s="2" t="s">
        <v>17</v>
      </c>
      <c r="D401" s="2" t="s">
        <v>18</v>
      </c>
      <c r="E401">
        <v>95.7</v>
      </c>
      <c r="F401">
        <v>3.86</v>
      </c>
      <c r="G401">
        <v>1</v>
      </c>
      <c r="H401">
        <f t="shared" si="6"/>
        <v>48675.899999999936</v>
      </c>
      <c r="I401" t="str">
        <f>IF(Sheet1[[#This Row],[Month_Revenue]] &lt; AVERAGE(Sheet1[Month_Revenue]), "Off-Peak", "Peak")</f>
        <v>Off-Peak</v>
      </c>
      <c r="J401">
        <f xml:space="preserve"> IF(Sheet1[[#This Row],[Ad Spend]] &gt; 0, (Sheet1[[#This Row],[Profit]] / Sheet1[[#This Row],[Ad Spend]]), 0)</f>
        <v>23.79274611398964</v>
      </c>
      <c r="K401">
        <f>Sheet1[[#This Row],[Revenue]]-Sheet1[[#This Row],[Ad Spend]]</f>
        <v>91.84</v>
      </c>
      <c r="L401" s="2" t="s">
        <v>22</v>
      </c>
      <c r="M401">
        <v>2</v>
      </c>
      <c r="N401" s="2" t="s">
        <v>15</v>
      </c>
      <c r="O401">
        <v>95.7</v>
      </c>
    </row>
    <row r="402" spans="1:15" x14ac:dyDescent="0.3">
      <c r="A402" s="1">
        <v>45348</v>
      </c>
      <c r="B402" s="2" t="s">
        <v>24</v>
      </c>
      <c r="C402" s="2" t="s">
        <v>12</v>
      </c>
      <c r="D402" s="2" t="s">
        <v>18</v>
      </c>
      <c r="E402">
        <v>78.25</v>
      </c>
      <c r="F402">
        <v>39.56</v>
      </c>
      <c r="G402">
        <v>1</v>
      </c>
      <c r="H402">
        <f t="shared" si="6"/>
        <v>48675.899999999936</v>
      </c>
      <c r="I402" t="str">
        <f>IF(Sheet1[[#This Row],[Month_Revenue]] &lt; AVERAGE(Sheet1[Month_Revenue]), "Off-Peak", "Peak")</f>
        <v>Off-Peak</v>
      </c>
      <c r="J402">
        <f xml:space="preserve"> IF(Sheet1[[#This Row],[Ad Spend]] &gt; 0, (Sheet1[[#This Row],[Profit]] / Sheet1[[#This Row],[Ad Spend]]), 0)</f>
        <v>0.97800808897876634</v>
      </c>
      <c r="K402">
        <f>Sheet1[[#This Row],[Revenue]]-Sheet1[[#This Row],[Ad Spend]]</f>
        <v>38.69</v>
      </c>
      <c r="L402" s="2" t="s">
        <v>22</v>
      </c>
      <c r="M402">
        <v>2</v>
      </c>
      <c r="N402" s="2" t="s">
        <v>15</v>
      </c>
      <c r="O402">
        <v>78.25</v>
      </c>
    </row>
    <row r="403" spans="1:15" x14ac:dyDescent="0.3">
      <c r="A403" s="1">
        <v>45313</v>
      </c>
      <c r="B403" s="2" t="s">
        <v>20</v>
      </c>
      <c r="C403" s="2" t="s">
        <v>21</v>
      </c>
      <c r="D403" s="2" t="s">
        <v>18</v>
      </c>
      <c r="E403">
        <v>149.22</v>
      </c>
      <c r="F403">
        <v>37.58</v>
      </c>
      <c r="G403">
        <v>0</v>
      </c>
      <c r="H403">
        <f t="shared" si="6"/>
        <v>61207.979999999989</v>
      </c>
      <c r="I403" t="str">
        <f>IF(Sheet1[[#This Row],[Month_Revenue]] &lt; AVERAGE(Sheet1[Month_Revenue]), "Off-Peak", "Peak")</f>
        <v>Peak</v>
      </c>
      <c r="J403">
        <f xml:space="preserve"> IF(Sheet1[[#This Row],[Ad Spend]] &gt; 0, (Sheet1[[#This Row],[Profit]] / Sheet1[[#This Row],[Ad Spend]]), 0)</f>
        <v>2.9707291112293777</v>
      </c>
      <c r="K403">
        <f>Sheet1[[#This Row],[Revenue]]-Sheet1[[#This Row],[Ad Spend]]</f>
        <v>111.64</v>
      </c>
      <c r="L403" s="2" t="s">
        <v>22</v>
      </c>
      <c r="M403">
        <v>1</v>
      </c>
      <c r="N403" s="2" t="s">
        <v>15</v>
      </c>
      <c r="O403">
        <v>0</v>
      </c>
    </row>
    <row r="404" spans="1:15" x14ac:dyDescent="0.3">
      <c r="A404" s="1">
        <v>45369</v>
      </c>
      <c r="B404" s="2" t="s">
        <v>20</v>
      </c>
      <c r="C404" s="2" t="s">
        <v>12</v>
      </c>
      <c r="D404" s="2" t="s">
        <v>13</v>
      </c>
      <c r="E404">
        <v>27.71</v>
      </c>
      <c r="F404">
        <v>16.28</v>
      </c>
      <c r="G404">
        <v>0</v>
      </c>
      <c r="H404">
        <f t="shared" si="6"/>
        <v>54735.250000000029</v>
      </c>
      <c r="I404" t="str">
        <f>IF(Sheet1[[#This Row],[Month_Revenue]] &lt; AVERAGE(Sheet1[Month_Revenue]), "Off-Peak", "Peak")</f>
        <v>Off-Peak</v>
      </c>
      <c r="J404">
        <f xml:space="preserve"> IF(Sheet1[[#This Row],[Ad Spend]] &gt; 0, (Sheet1[[#This Row],[Profit]] / Sheet1[[#This Row],[Ad Spend]]), 0)</f>
        <v>0.70208845208845205</v>
      </c>
      <c r="K404">
        <f>Sheet1[[#This Row],[Revenue]]-Sheet1[[#This Row],[Ad Spend]]</f>
        <v>11.43</v>
      </c>
      <c r="L404" s="2" t="s">
        <v>22</v>
      </c>
      <c r="M404">
        <v>3</v>
      </c>
      <c r="N404" s="2" t="s">
        <v>19</v>
      </c>
      <c r="O404">
        <v>0</v>
      </c>
    </row>
    <row r="405" spans="1:15" x14ac:dyDescent="0.3">
      <c r="A405" s="1">
        <v>45295</v>
      </c>
      <c r="B405" s="2" t="s">
        <v>23</v>
      </c>
      <c r="C405" s="2" t="s">
        <v>21</v>
      </c>
      <c r="D405" s="2" t="s">
        <v>18</v>
      </c>
      <c r="E405">
        <v>52.59</v>
      </c>
      <c r="F405">
        <v>14.32</v>
      </c>
      <c r="G405">
        <v>3</v>
      </c>
      <c r="H405">
        <f t="shared" si="6"/>
        <v>61207.979999999989</v>
      </c>
      <c r="I405" t="str">
        <f>IF(Sheet1[[#This Row],[Month_Revenue]] &lt; AVERAGE(Sheet1[Month_Revenue]), "Off-Peak", "Peak")</f>
        <v>Peak</v>
      </c>
      <c r="J405">
        <f xml:space="preserve"> IF(Sheet1[[#This Row],[Ad Spend]] &gt; 0, (Sheet1[[#This Row],[Profit]] / Sheet1[[#This Row],[Ad Spend]]), 0)</f>
        <v>2.6724860335195531</v>
      </c>
      <c r="K405">
        <f>Sheet1[[#This Row],[Revenue]]-Sheet1[[#This Row],[Ad Spend]]</f>
        <v>38.270000000000003</v>
      </c>
      <c r="L405" s="2" t="s">
        <v>14</v>
      </c>
      <c r="M405">
        <v>1</v>
      </c>
      <c r="N405" s="2" t="s">
        <v>15</v>
      </c>
      <c r="O405">
        <v>17.53</v>
      </c>
    </row>
    <row r="406" spans="1:15" x14ac:dyDescent="0.3">
      <c r="A406" s="1">
        <v>45316</v>
      </c>
      <c r="B406" s="2" t="s">
        <v>20</v>
      </c>
      <c r="C406" s="2" t="s">
        <v>17</v>
      </c>
      <c r="D406" s="2" t="s">
        <v>18</v>
      </c>
      <c r="E406">
        <v>164.12</v>
      </c>
      <c r="F406">
        <v>31.41</v>
      </c>
      <c r="G406">
        <v>3</v>
      </c>
      <c r="H406">
        <f t="shared" si="6"/>
        <v>61207.979999999989</v>
      </c>
      <c r="I406" t="str">
        <f>IF(Sheet1[[#This Row],[Month_Revenue]] &lt; AVERAGE(Sheet1[Month_Revenue]), "Off-Peak", "Peak")</f>
        <v>Peak</v>
      </c>
      <c r="J406">
        <f xml:space="preserve"> IF(Sheet1[[#This Row],[Ad Spend]] &gt; 0, (Sheet1[[#This Row],[Profit]] / Sheet1[[#This Row],[Ad Spend]]), 0)</f>
        <v>4.2250875517351165</v>
      </c>
      <c r="K406">
        <f>Sheet1[[#This Row],[Revenue]]-Sheet1[[#This Row],[Ad Spend]]</f>
        <v>132.71</v>
      </c>
      <c r="L406" s="2" t="s">
        <v>14</v>
      </c>
      <c r="M406">
        <v>1</v>
      </c>
      <c r="N406" s="2" t="s">
        <v>15</v>
      </c>
      <c r="O406">
        <v>54.706666666666671</v>
      </c>
    </row>
    <row r="407" spans="1:15" x14ac:dyDescent="0.3">
      <c r="A407" s="1">
        <v>45331</v>
      </c>
      <c r="B407" s="2" t="s">
        <v>16</v>
      </c>
      <c r="C407" s="2" t="s">
        <v>12</v>
      </c>
      <c r="D407" s="2" t="s">
        <v>13</v>
      </c>
      <c r="E407">
        <v>174.63</v>
      </c>
      <c r="F407">
        <v>1.58</v>
      </c>
      <c r="G407">
        <v>0</v>
      </c>
      <c r="H407">
        <f t="shared" si="6"/>
        <v>48675.899999999936</v>
      </c>
      <c r="I407" t="str">
        <f>IF(Sheet1[[#This Row],[Month_Revenue]] &lt; AVERAGE(Sheet1[Month_Revenue]), "Off-Peak", "Peak")</f>
        <v>Off-Peak</v>
      </c>
      <c r="J407">
        <f xml:space="preserve"> IF(Sheet1[[#This Row],[Ad Spend]] &gt; 0, (Sheet1[[#This Row],[Profit]] / Sheet1[[#This Row],[Ad Spend]]), 0)</f>
        <v>109.52531645569618</v>
      </c>
      <c r="K407">
        <f>Sheet1[[#This Row],[Revenue]]-Sheet1[[#This Row],[Ad Spend]]</f>
        <v>173.04999999999998</v>
      </c>
      <c r="L407" s="2" t="s">
        <v>14</v>
      </c>
      <c r="M407">
        <v>2</v>
      </c>
      <c r="N407" s="2" t="s">
        <v>15</v>
      </c>
      <c r="O407">
        <v>0</v>
      </c>
    </row>
    <row r="408" spans="1:15" x14ac:dyDescent="0.3">
      <c r="A408" s="1">
        <v>45403</v>
      </c>
      <c r="B408" s="2" t="s">
        <v>24</v>
      </c>
      <c r="C408" s="2" t="s">
        <v>12</v>
      </c>
      <c r="D408" s="2" t="s">
        <v>18</v>
      </c>
      <c r="E408">
        <v>142.12</v>
      </c>
      <c r="F408">
        <v>4.17</v>
      </c>
      <c r="G408">
        <v>3</v>
      </c>
      <c r="H408">
        <f t="shared" si="6"/>
        <v>58562.910000000018</v>
      </c>
      <c r="I408" t="str">
        <f>IF(Sheet1[[#This Row],[Month_Revenue]] &lt; AVERAGE(Sheet1[Month_Revenue]), "Off-Peak", "Peak")</f>
        <v>Peak</v>
      </c>
      <c r="J408">
        <f xml:space="preserve"> IF(Sheet1[[#This Row],[Ad Spend]] &gt; 0, (Sheet1[[#This Row],[Profit]] / Sheet1[[#This Row],[Ad Spend]]), 0)</f>
        <v>33.081534772182259</v>
      </c>
      <c r="K408">
        <f>Sheet1[[#This Row],[Revenue]]-Sheet1[[#This Row],[Ad Spend]]</f>
        <v>137.95000000000002</v>
      </c>
      <c r="L408" s="2" t="s">
        <v>22</v>
      </c>
      <c r="M408">
        <v>4</v>
      </c>
      <c r="N408" s="2" t="s">
        <v>19</v>
      </c>
      <c r="O408">
        <v>47.373333333333335</v>
      </c>
    </row>
    <row r="409" spans="1:15" x14ac:dyDescent="0.3">
      <c r="A409" s="1">
        <v>45338</v>
      </c>
      <c r="B409" s="2" t="s">
        <v>24</v>
      </c>
      <c r="C409" s="2" t="s">
        <v>17</v>
      </c>
      <c r="D409" s="2" t="s">
        <v>18</v>
      </c>
      <c r="E409">
        <v>195.64</v>
      </c>
      <c r="F409">
        <v>11.86</v>
      </c>
      <c r="G409">
        <v>3</v>
      </c>
      <c r="H409">
        <f t="shared" si="6"/>
        <v>48675.899999999936</v>
      </c>
      <c r="I409" t="str">
        <f>IF(Sheet1[[#This Row],[Month_Revenue]] &lt; AVERAGE(Sheet1[Month_Revenue]), "Off-Peak", "Peak")</f>
        <v>Off-Peak</v>
      </c>
      <c r="J409">
        <f xml:space="preserve"> IF(Sheet1[[#This Row],[Ad Spend]] &gt; 0, (Sheet1[[#This Row],[Profit]] / Sheet1[[#This Row],[Ad Spend]]), 0)</f>
        <v>15.495784148397975</v>
      </c>
      <c r="K409">
        <f>Sheet1[[#This Row],[Revenue]]-Sheet1[[#This Row],[Ad Spend]]</f>
        <v>183.77999999999997</v>
      </c>
      <c r="L409" s="2" t="s">
        <v>22</v>
      </c>
      <c r="M409">
        <v>2</v>
      </c>
      <c r="N409" s="2" t="s">
        <v>15</v>
      </c>
      <c r="O409">
        <v>65.213333333333324</v>
      </c>
    </row>
    <row r="410" spans="1:15" x14ac:dyDescent="0.3">
      <c r="A410" s="1">
        <v>45369</v>
      </c>
      <c r="B410" s="2" t="s">
        <v>20</v>
      </c>
      <c r="C410" s="2" t="s">
        <v>21</v>
      </c>
      <c r="D410" s="2" t="s">
        <v>18</v>
      </c>
      <c r="E410">
        <v>34.36</v>
      </c>
      <c r="F410">
        <v>3.49</v>
      </c>
      <c r="G410">
        <v>1</v>
      </c>
      <c r="H410">
        <f t="shared" si="6"/>
        <v>54735.250000000029</v>
      </c>
      <c r="I410" t="str">
        <f>IF(Sheet1[[#This Row],[Month_Revenue]] &lt; AVERAGE(Sheet1[Month_Revenue]), "Off-Peak", "Peak")</f>
        <v>Off-Peak</v>
      </c>
      <c r="J410">
        <f xml:space="preserve"> IF(Sheet1[[#This Row],[Ad Spend]] &gt; 0, (Sheet1[[#This Row],[Profit]] / Sheet1[[#This Row],[Ad Spend]]), 0)</f>
        <v>8.8452722063037239</v>
      </c>
      <c r="K410">
        <f>Sheet1[[#This Row],[Revenue]]-Sheet1[[#This Row],[Ad Spend]]</f>
        <v>30.869999999999997</v>
      </c>
      <c r="L410" s="2" t="s">
        <v>22</v>
      </c>
      <c r="M410">
        <v>3</v>
      </c>
      <c r="N410" s="2" t="s">
        <v>19</v>
      </c>
      <c r="O410">
        <v>34.36</v>
      </c>
    </row>
    <row r="411" spans="1:15" x14ac:dyDescent="0.3">
      <c r="A411" s="1">
        <v>45357</v>
      </c>
      <c r="B411" s="2" t="s">
        <v>16</v>
      </c>
      <c r="C411" s="2" t="s">
        <v>21</v>
      </c>
      <c r="D411" s="2" t="s">
        <v>13</v>
      </c>
      <c r="E411">
        <v>98.04</v>
      </c>
      <c r="F411">
        <v>0.32</v>
      </c>
      <c r="G411">
        <v>1</v>
      </c>
      <c r="H411">
        <f t="shared" si="6"/>
        <v>54735.250000000029</v>
      </c>
      <c r="I411" t="str">
        <f>IF(Sheet1[[#This Row],[Month_Revenue]] &lt; AVERAGE(Sheet1[Month_Revenue]), "Off-Peak", "Peak")</f>
        <v>Off-Peak</v>
      </c>
      <c r="J411">
        <f xml:space="preserve"> IF(Sheet1[[#This Row],[Ad Spend]] &gt; 0, (Sheet1[[#This Row],[Profit]] / Sheet1[[#This Row],[Ad Spend]]), 0)</f>
        <v>305.37500000000006</v>
      </c>
      <c r="K411">
        <f>Sheet1[[#This Row],[Revenue]]-Sheet1[[#This Row],[Ad Spend]]</f>
        <v>97.720000000000013</v>
      </c>
      <c r="L411" s="2" t="s">
        <v>22</v>
      </c>
      <c r="M411">
        <v>3</v>
      </c>
      <c r="N411" s="2" t="s">
        <v>19</v>
      </c>
      <c r="O411">
        <v>98.04</v>
      </c>
    </row>
    <row r="412" spans="1:15" x14ac:dyDescent="0.3">
      <c r="A412" s="1">
        <v>45312</v>
      </c>
      <c r="B412" s="2" t="s">
        <v>16</v>
      </c>
      <c r="C412" s="2" t="s">
        <v>17</v>
      </c>
      <c r="D412" s="2" t="s">
        <v>13</v>
      </c>
      <c r="E412">
        <v>41.53</v>
      </c>
      <c r="F412">
        <v>23.69</v>
      </c>
      <c r="G412">
        <v>1</v>
      </c>
      <c r="H412">
        <f t="shared" si="6"/>
        <v>61207.979999999989</v>
      </c>
      <c r="I412" t="str">
        <f>IF(Sheet1[[#This Row],[Month_Revenue]] &lt; AVERAGE(Sheet1[Month_Revenue]), "Off-Peak", "Peak")</f>
        <v>Peak</v>
      </c>
      <c r="J412">
        <f xml:space="preserve"> IF(Sheet1[[#This Row],[Ad Spend]] &gt; 0, (Sheet1[[#This Row],[Profit]] / Sheet1[[#This Row],[Ad Spend]]), 0)</f>
        <v>0.75306036302237223</v>
      </c>
      <c r="K412">
        <f>Sheet1[[#This Row],[Revenue]]-Sheet1[[#This Row],[Ad Spend]]</f>
        <v>17.84</v>
      </c>
      <c r="L412" s="2" t="s">
        <v>14</v>
      </c>
      <c r="M412">
        <v>1</v>
      </c>
      <c r="N412" s="2" t="s">
        <v>15</v>
      </c>
      <c r="O412">
        <v>41.53</v>
      </c>
    </row>
    <row r="413" spans="1:15" x14ac:dyDescent="0.3">
      <c r="A413" s="1">
        <v>45351</v>
      </c>
      <c r="B413" s="2" t="s">
        <v>20</v>
      </c>
      <c r="C413" s="2" t="s">
        <v>17</v>
      </c>
      <c r="D413" s="2" t="s">
        <v>18</v>
      </c>
      <c r="E413">
        <v>134.76</v>
      </c>
      <c r="F413">
        <v>4.93</v>
      </c>
      <c r="G413">
        <v>3</v>
      </c>
      <c r="H413">
        <f t="shared" si="6"/>
        <v>48675.899999999936</v>
      </c>
      <c r="I413" t="str">
        <f>IF(Sheet1[[#This Row],[Month_Revenue]] &lt; AVERAGE(Sheet1[Month_Revenue]), "Off-Peak", "Peak")</f>
        <v>Off-Peak</v>
      </c>
      <c r="J413">
        <f xml:space="preserve"> IF(Sheet1[[#This Row],[Ad Spend]] &gt; 0, (Sheet1[[#This Row],[Profit]] / Sheet1[[#This Row],[Ad Spend]]), 0)</f>
        <v>26.334685598377281</v>
      </c>
      <c r="K413">
        <f>Sheet1[[#This Row],[Revenue]]-Sheet1[[#This Row],[Ad Spend]]</f>
        <v>129.82999999999998</v>
      </c>
      <c r="L413" s="2" t="s">
        <v>22</v>
      </c>
      <c r="M413">
        <v>2</v>
      </c>
      <c r="N413" s="2" t="s">
        <v>15</v>
      </c>
      <c r="O413">
        <v>44.919999999999995</v>
      </c>
    </row>
    <row r="414" spans="1:15" x14ac:dyDescent="0.3">
      <c r="A414" s="1">
        <v>45390</v>
      </c>
      <c r="B414" s="2" t="s">
        <v>23</v>
      </c>
      <c r="C414" s="2" t="s">
        <v>21</v>
      </c>
      <c r="D414" s="2" t="s">
        <v>18</v>
      </c>
      <c r="E414">
        <v>91.68</v>
      </c>
      <c r="F414">
        <v>35.33</v>
      </c>
      <c r="G414">
        <v>1</v>
      </c>
      <c r="H414">
        <f t="shared" si="6"/>
        <v>58562.910000000018</v>
      </c>
      <c r="I414" t="str">
        <f>IF(Sheet1[[#This Row],[Month_Revenue]] &lt; AVERAGE(Sheet1[Month_Revenue]), "Off-Peak", "Peak")</f>
        <v>Peak</v>
      </c>
      <c r="J414">
        <f xml:space="preserve"> IF(Sheet1[[#This Row],[Ad Spend]] &gt; 0, (Sheet1[[#This Row],[Profit]] / Sheet1[[#This Row],[Ad Spend]]), 0)</f>
        <v>1.5949617888480048</v>
      </c>
      <c r="K414">
        <f>Sheet1[[#This Row],[Revenue]]-Sheet1[[#This Row],[Ad Spend]]</f>
        <v>56.350000000000009</v>
      </c>
      <c r="L414" s="2" t="s">
        <v>14</v>
      </c>
      <c r="M414">
        <v>4</v>
      </c>
      <c r="N414" s="2" t="s">
        <v>19</v>
      </c>
      <c r="O414">
        <v>91.68</v>
      </c>
    </row>
    <row r="415" spans="1:15" x14ac:dyDescent="0.3">
      <c r="A415" s="1">
        <v>45318</v>
      </c>
      <c r="B415" s="2" t="s">
        <v>23</v>
      </c>
      <c r="C415" s="2" t="s">
        <v>17</v>
      </c>
      <c r="D415" s="2" t="s">
        <v>18</v>
      </c>
      <c r="E415">
        <v>147.82</v>
      </c>
      <c r="F415">
        <v>32.11</v>
      </c>
      <c r="G415">
        <v>0</v>
      </c>
      <c r="H415">
        <f t="shared" si="6"/>
        <v>61207.979999999989</v>
      </c>
      <c r="I415" t="str">
        <f>IF(Sheet1[[#This Row],[Month_Revenue]] &lt; AVERAGE(Sheet1[Month_Revenue]), "Off-Peak", "Peak")</f>
        <v>Peak</v>
      </c>
      <c r="J415">
        <f xml:space="preserve"> IF(Sheet1[[#This Row],[Ad Spend]] &gt; 0, (Sheet1[[#This Row],[Profit]] / Sheet1[[#This Row],[Ad Spend]]), 0)</f>
        <v>3.6035502958579881</v>
      </c>
      <c r="K415">
        <f>Sheet1[[#This Row],[Revenue]]-Sheet1[[#This Row],[Ad Spend]]</f>
        <v>115.71</v>
      </c>
      <c r="L415" s="2" t="s">
        <v>14</v>
      </c>
      <c r="M415">
        <v>1</v>
      </c>
      <c r="N415" s="2" t="s">
        <v>15</v>
      </c>
      <c r="O415">
        <v>0</v>
      </c>
    </row>
    <row r="416" spans="1:15" x14ac:dyDescent="0.3">
      <c r="A416" s="1">
        <v>45342</v>
      </c>
      <c r="B416" s="2" t="s">
        <v>16</v>
      </c>
      <c r="C416" s="2" t="s">
        <v>17</v>
      </c>
      <c r="D416" s="2" t="s">
        <v>13</v>
      </c>
      <c r="E416">
        <v>147</v>
      </c>
      <c r="F416">
        <v>14.3</v>
      </c>
      <c r="G416">
        <v>2</v>
      </c>
      <c r="H416">
        <f t="shared" si="6"/>
        <v>48675.899999999936</v>
      </c>
      <c r="I416" t="str">
        <f>IF(Sheet1[[#This Row],[Month_Revenue]] &lt; AVERAGE(Sheet1[Month_Revenue]), "Off-Peak", "Peak")</f>
        <v>Off-Peak</v>
      </c>
      <c r="J416">
        <f xml:space="preserve"> IF(Sheet1[[#This Row],[Ad Spend]] &gt; 0, (Sheet1[[#This Row],[Profit]] / Sheet1[[#This Row],[Ad Spend]]), 0)</f>
        <v>9.2797202797202782</v>
      </c>
      <c r="K416">
        <f>Sheet1[[#This Row],[Revenue]]-Sheet1[[#This Row],[Ad Spend]]</f>
        <v>132.69999999999999</v>
      </c>
      <c r="L416" s="2" t="s">
        <v>22</v>
      </c>
      <c r="M416">
        <v>2</v>
      </c>
      <c r="N416" s="2" t="s">
        <v>15</v>
      </c>
      <c r="O416">
        <v>73.5</v>
      </c>
    </row>
    <row r="417" spans="1:15" x14ac:dyDescent="0.3">
      <c r="A417" s="1">
        <v>45346</v>
      </c>
      <c r="B417" s="2" t="s">
        <v>20</v>
      </c>
      <c r="C417" s="2" t="s">
        <v>21</v>
      </c>
      <c r="D417" s="2" t="s">
        <v>13</v>
      </c>
      <c r="E417">
        <v>22.74</v>
      </c>
      <c r="F417">
        <v>34.06</v>
      </c>
      <c r="G417">
        <v>3</v>
      </c>
      <c r="H417">
        <f t="shared" si="6"/>
        <v>48675.899999999936</v>
      </c>
      <c r="I417" t="str">
        <f>IF(Sheet1[[#This Row],[Month_Revenue]] &lt; AVERAGE(Sheet1[Month_Revenue]), "Off-Peak", "Peak")</f>
        <v>Off-Peak</v>
      </c>
      <c r="J417">
        <f xml:space="preserve"> IF(Sheet1[[#This Row],[Ad Spend]] &gt; 0, (Sheet1[[#This Row],[Profit]] / Sheet1[[#This Row],[Ad Spend]]), 0)</f>
        <v>-0.3323546682325309</v>
      </c>
      <c r="K417">
        <f>Sheet1[[#This Row],[Revenue]]-Sheet1[[#This Row],[Ad Spend]]</f>
        <v>-11.320000000000004</v>
      </c>
      <c r="L417" s="2" t="s">
        <v>14</v>
      </c>
      <c r="M417">
        <v>2</v>
      </c>
      <c r="N417" s="2" t="s">
        <v>15</v>
      </c>
      <c r="O417">
        <v>7.5799999999999992</v>
      </c>
    </row>
    <row r="418" spans="1:15" x14ac:dyDescent="0.3">
      <c r="A418" s="1">
        <v>45353</v>
      </c>
      <c r="B418" s="2" t="s">
        <v>23</v>
      </c>
      <c r="C418" s="2" t="s">
        <v>17</v>
      </c>
      <c r="D418" s="2" t="s">
        <v>18</v>
      </c>
      <c r="E418">
        <v>149.6</v>
      </c>
      <c r="F418">
        <v>38.81</v>
      </c>
      <c r="G418">
        <v>3</v>
      </c>
      <c r="H418">
        <f t="shared" si="6"/>
        <v>54735.250000000029</v>
      </c>
      <c r="I418" t="str">
        <f>IF(Sheet1[[#This Row],[Month_Revenue]] &lt; AVERAGE(Sheet1[Month_Revenue]), "Off-Peak", "Peak")</f>
        <v>Off-Peak</v>
      </c>
      <c r="J418">
        <f xml:space="preserve"> IF(Sheet1[[#This Row],[Ad Spend]] &gt; 0, (Sheet1[[#This Row],[Profit]] / Sheet1[[#This Row],[Ad Spend]]), 0)</f>
        <v>2.854676629734604</v>
      </c>
      <c r="K418">
        <f>Sheet1[[#This Row],[Revenue]]-Sheet1[[#This Row],[Ad Spend]]</f>
        <v>110.78999999999999</v>
      </c>
      <c r="L418" s="2" t="s">
        <v>22</v>
      </c>
      <c r="M418">
        <v>3</v>
      </c>
      <c r="N418" s="2" t="s">
        <v>19</v>
      </c>
      <c r="O418">
        <v>49.866666666666667</v>
      </c>
    </row>
    <row r="419" spans="1:15" x14ac:dyDescent="0.3">
      <c r="A419" s="1">
        <v>45411</v>
      </c>
      <c r="B419" s="2" t="s">
        <v>16</v>
      </c>
      <c r="C419" s="2" t="s">
        <v>17</v>
      </c>
      <c r="D419" s="2" t="s">
        <v>13</v>
      </c>
      <c r="E419">
        <v>174.11</v>
      </c>
      <c r="F419">
        <v>31.22</v>
      </c>
      <c r="G419">
        <v>1</v>
      </c>
      <c r="H419">
        <f t="shared" si="6"/>
        <v>58562.910000000018</v>
      </c>
      <c r="I419" t="str">
        <f>IF(Sheet1[[#This Row],[Month_Revenue]] &lt; AVERAGE(Sheet1[Month_Revenue]), "Off-Peak", "Peak")</f>
        <v>Peak</v>
      </c>
      <c r="J419">
        <f xml:space="preserve"> IF(Sheet1[[#This Row],[Ad Spend]] &gt; 0, (Sheet1[[#This Row],[Profit]] / Sheet1[[#This Row],[Ad Spend]]), 0)</f>
        <v>4.5768737988468935</v>
      </c>
      <c r="K419">
        <f>Sheet1[[#This Row],[Revenue]]-Sheet1[[#This Row],[Ad Spend]]</f>
        <v>142.89000000000001</v>
      </c>
      <c r="L419" s="2" t="s">
        <v>14</v>
      </c>
      <c r="M419">
        <v>4</v>
      </c>
      <c r="N419" s="2" t="s">
        <v>19</v>
      </c>
      <c r="O419">
        <v>174.11</v>
      </c>
    </row>
    <row r="420" spans="1:15" x14ac:dyDescent="0.3">
      <c r="A420" s="1">
        <v>45341</v>
      </c>
      <c r="B420" s="2" t="s">
        <v>16</v>
      </c>
      <c r="C420" s="2" t="s">
        <v>17</v>
      </c>
      <c r="D420" s="2" t="s">
        <v>13</v>
      </c>
      <c r="E420">
        <v>103.01</v>
      </c>
      <c r="F420">
        <v>27.93</v>
      </c>
      <c r="G420">
        <v>0</v>
      </c>
      <c r="H420">
        <f t="shared" si="6"/>
        <v>48675.899999999936</v>
      </c>
      <c r="I420" t="str">
        <f>IF(Sheet1[[#This Row],[Month_Revenue]] &lt; AVERAGE(Sheet1[Month_Revenue]), "Off-Peak", "Peak")</f>
        <v>Off-Peak</v>
      </c>
      <c r="J420">
        <f xml:space="preserve"> IF(Sheet1[[#This Row],[Ad Spend]] &gt; 0, (Sheet1[[#This Row],[Profit]] / Sheet1[[#This Row],[Ad Spend]]), 0)</f>
        <v>2.6881489437880419</v>
      </c>
      <c r="K420">
        <f>Sheet1[[#This Row],[Revenue]]-Sheet1[[#This Row],[Ad Spend]]</f>
        <v>75.080000000000013</v>
      </c>
      <c r="L420" s="2" t="s">
        <v>22</v>
      </c>
      <c r="M420">
        <v>2</v>
      </c>
      <c r="N420" s="2" t="s">
        <v>15</v>
      </c>
      <c r="O420">
        <v>0</v>
      </c>
    </row>
    <row r="421" spans="1:15" x14ac:dyDescent="0.3">
      <c r="A421" s="1">
        <v>45304</v>
      </c>
      <c r="B421" s="2" t="s">
        <v>16</v>
      </c>
      <c r="C421" s="2" t="s">
        <v>21</v>
      </c>
      <c r="D421" s="2" t="s">
        <v>13</v>
      </c>
      <c r="E421">
        <v>194.62</v>
      </c>
      <c r="F421">
        <v>24.01</v>
      </c>
      <c r="G421">
        <v>0</v>
      </c>
      <c r="H421">
        <f t="shared" si="6"/>
        <v>61207.979999999989</v>
      </c>
      <c r="I421" t="str">
        <f>IF(Sheet1[[#This Row],[Month_Revenue]] &lt; AVERAGE(Sheet1[Month_Revenue]), "Off-Peak", "Peak")</f>
        <v>Peak</v>
      </c>
      <c r="J421">
        <f xml:space="preserve"> IF(Sheet1[[#This Row],[Ad Spend]] &gt; 0, (Sheet1[[#This Row],[Profit]] / Sheet1[[#This Row],[Ad Spend]]), 0)</f>
        <v>7.1057892544773011</v>
      </c>
      <c r="K421">
        <f>Sheet1[[#This Row],[Revenue]]-Sheet1[[#This Row],[Ad Spend]]</f>
        <v>170.61</v>
      </c>
      <c r="L421" s="2" t="s">
        <v>22</v>
      </c>
      <c r="M421">
        <v>1</v>
      </c>
      <c r="N421" s="2" t="s">
        <v>15</v>
      </c>
      <c r="O421">
        <v>0</v>
      </c>
    </row>
    <row r="422" spans="1:15" x14ac:dyDescent="0.3">
      <c r="A422" s="1">
        <v>45322</v>
      </c>
      <c r="B422" s="2" t="s">
        <v>23</v>
      </c>
      <c r="C422" s="2" t="s">
        <v>12</v>
      </c>
      <c r="D422" s="2" t="s">
        <v>18</v>
      </c>
      <c r="E422">
        <v>123.74</v>
      </c>
      <c r="F422">
        <v>40.81</v>
      </c>
      <c r="G422">
        <v>0</v>
      </c>
      <c r="H422">
        <f t="shared" si="6"/>
        <v>61207.979999999989</v>
      </c>
      <c r="I422" t="str">
        <f>IF(Sheet1[[#This Row],[Month_Revenue]] &lt; AVERAGE(Sheet1[Month_Revenue]), "Off-Peak", "Peak")</f>
        <v>Peak</v>
      </c>
      <c r="J422">
        <f xml:space="preserve"> IF(Sheet1[[#This Row],[Ad Spend]] &gt; 0, (Sheet1[[#This Row],[Profit]] / Sheet1[[#This Row],[Ad Spend]]), 0)</f>
        <v>2.0320999754962017</v>
      </c>
      <c r="K422">
        <f>Sheet1[[#This Row],[Revenue]]-Sheet1[[#This Row],[Ad Spend]]</f>
        <v>82.929999999999993</v>
      </c>
      <c r="L422" s="2" t="s">
        <v>14</v>
      </c>
      <c r="M422">
        <v>1</v>
      </c>
      <c r="N422" s="2" t="s">
        <v>15</v>
      </c>
      <c r="O422">
        <v>0</v>
      </c>
    </row>
    <row r="423" spans="1:15" x14ac:dyDescent="0.3">
      <c r="A423" s="1">
        <v>45314</v>
      </c>
      <c r="B423" s="2" t="s">
        <v>24</v>
      </c>
      <c r="C423" s="2" t="s">
        <v>12</v>
      </c>
      <c r="D423" s="2" t="s">
        <v>13</v>
      </c>
      <c r="E423">
        <v>32.29</v>
      </c>
      <c r="F423">
        <v>40.14</v>
      </c>
      <c r="G423">
        <v>0</v>
      </c>
      <c r="H423">
        <f t="shared" si="6"/>
        <v>61207.979999999989</v>
      </c>
      <c r="I423" t="str">
        <f>IF(Sheet1[[#This Row],[Month_Revenue]] &lt; AVERAGE(Sheet1[Month_Revenue]), "Off-Peak", "Peak")</f>
        <v>Peak</v>
      </c>
      <c r="J423">
        <f xml:space="preserve"> IF(Sheet1[[#This Row],[Ad Spend]] &gt; 0, (Sheet1[[#This Row],[Profit]] / Sheet1[[#This Row],[Ad Spend]]), 0)</f>
        <v>-0.19556552067762834</v>
      </c>
      <c r="K423">
        <f>Sheet1[[#This Row],[Revenue]]-Sheet1[[#This Row],[Ad Spend]]</f>
        <v>-7.8500000000000014</v>
      </c>
      <c r="L423" s="2" t="s">
        <v>14</v>
      </c>
      <c r="M423">
        <v>1</v>
      </c>
      <c r="N423" s="2" t="s">
        <v>15</v>
      </c>
      <c r="O423">
        <v>0</v>
      </c>
    </row>
    <row r="424" spans="1:15" x14ac:dyDescent="0.3">
      <c r="A424" s="1">
        <v>45410</v>
      </c>
      <c r="B424" s="2" t="s">
        <v>23</v>
      </c>
      <c r="C424" s="2" t="s">
        <v>12</v>
      </c>
      <c r="D424" s="2" t="s">
        <v>18</v>
      </c>
      <c r="E424">
        <v>197.05</v>
      </c>
      <c r="F424">
        <v>17.02</v>
      </c>
      <c r="G424">
        <v>2</v>
      </c>
      <c r="H424">
        <f t="shared" si="6"/>
        <v>58562.910000000018</v>
      </c>
      <c r="I424" t="str">
        <f>IF(Sheet1[[#This Row],[Month_Revenue]] &lt; AVERAGE(Sheet1[Month_Revenue]), "Off-Peak", "Peak")</f>
        <v>Peak</v>
      </c>
      <c r="J424">
        <f xml:space="preserve"> IF(Sheet1[[#This Row],[Ad Spend]] &gt; 0, (Sheet1[[#This Row],[Profit]] / Sheet1[[#This Row],[Ad Spend]]), 0)</f>
        <v>10.577555816686251</v>
      </c>
      <c r="K424">
        <f>Sheet1[[#This Row],[Revenue]]-Sheet1[[#This Row],[Ad Spend]]</f>
        <v>180.03</v>
      </c>
      <c r="L424" s="2" t="s">
        <v>22</v>
      </c>
      <c r="M424">
        <v>4</v>
      </c>
      <c r="N424" s="2" t="s">
        <v>19</v>
      </c>
      <c r="O424">
        <v>98.525000000000006</v>
      </c>
    </row>
    <row r="425" spans="1:15" x14ac:dyDescent="0.3">
      <c r="A425" s="1">
        <v>45326</v>
      </c>
      <c r="B425" s="2" t="s">
        <v>16</v>
      </c>
      <c r="C425" s="2" t="s">
        <v>12</v>
      </c>
      <c r="D425" s="2" t="s">
        <v>13</v>
      </c>
      <c r="E425">
        <v>152.86000000000001</v>
      </c>
      <c r="F425">
        <v>12.03</v>
      </c>
      <c r="G425">
        <v>3</v>
      </c>
      <c r="H425">
        <f t="shared" si="6"/>
        <v>48675.899999999936</v>
      </c>
      <c r="I425" t="str">
        <f>IF(Sheet1[[#This Row],[Month_Revenue]] &lt; AVERAGE(Sheet1[Month_Revenue]), "Off-Peak", "Peak")</f>
        <v>Off-Peak</v>
      </c>
      <c r="J425">
        <f xml:space="preserve"> IF(Sheet1[[#This Row],[Ad Spend]] &gt; 0, (Sheet1[[#This Row],[Profit]] / Sheet1[[#This Row],[Ad Spend]]), 0)</f>
        <v>11.706566916043228</v>
      </c>
      <c r="K425">
        <f>Sheet1[[#This Row],[Revenue]]-Sheet1[[#This Row],[Ad Spend]]</f>
        <v>140.83000000000001</v>
      </c>
      <c r="L425" s="2" t="s">
        <v>14</v>
      </c>
      <c r="M425">
        <v>2</v>
      </c>
      <c r="N425" s="2" t="s">
        <v>15</v>
      </c>
      <c r="O425">
        <v>50.95333333333334</v>
      </c>
    </row>
    <row r="426" spans="1:15" x14ac:dyDescent="0.3">
      <c r="A426" s="1">
        <v>45366</v>
      </c>
      <c r="B426" s="2" t="s">
        <v>11</v>
      </c>
      <c r="C426" s="2" t="s">
        <v>17</v>
      </c>
      <c r="D426" s="2" t="s">
        <v>18</v>
      </c>
      <c r="E426">
        <v>94.72</v>
      </c>
      <c r="F426">
        <v>11.66</v>
      </c>
      <c r="G426">
        <v>2</v>
      </c>
      <c r="H426">
        <f t="shared" si="6"/>
        <v>54735.250000000029</v>
      </c>
      <c r="I426" t="str">
        <f>IF(Sheet1[[#This Row],[Month_Revenue]] &lt; AVERAGE(Sheet1[Month_Revenue]), "Off-Peak", "Peak")</f>
        <v>Off-Peak</v>
      </c>
      <c r="J426">
        <f xml:space="preserve"> IF(Sheet1[[#This Row],[Ad Spend]] &gt; 0, (Sheet1[[#This Row],[Profit]] / Sheet1[[#This Row],[Ad Spend]]), 0)</f>
        <v>7.1234991423670673</v>
      </c>
      <c r="K426">
        <f>Sheet1[[#This Row],[Revenue]]-Sheet1[[#This Row],[Ad Spend]]</f>
        <v>83.06</v>
      </c>
      <c r="L426" s="2" t="s">
        <v>14</v>
      </c>
      <c r="M426">
        <v>3</v>
      </c>
      <c r="N426" s="2" t="s">
        <v>19</v>
      </c>
      <c r="O426">
        <v>47.36</v>
      </c>
    </row>
    <row r="427" spans="1:15" x14ac:dyDescent="0.3">
      <c r="A427" s="1">
        <v>45334</v>
      </c>
      <c r="B427" s="2" t="s">
        <v>24</v>
      </c>
      <c r="C427" s="2" t="s">
        <v>17</v>
      </c>
      <c r="D427" s="2" t="s">
        <v>18</v>
      </c>
      <c r="E427">
        <v>45.4</v>
      </c>
      <c r="F427">
        <v>38.630000000000003</v>
      </c>
      <c r="G427">
        <v>0</v>
      </c>
      <c r="H427">
        <f t="shared" si="6"/>
        <v>48675.899999999936</v>
      </c>
      <c r="I427" t="str">
        <f>IF(Sheet1[[#This Row],[Month_Revenue]] &lt; AVERAGE(Sheet1[Month_Revenue]), "Off-Peak", "Peak")</f>
        <v>Off-Peak</v>
      </c>
      <c r="J427">
        <f xml:space="preserve"> IF(Sheet1[[#This Row],[Ad Spend]] &gt; 0, (Sheet1[[#This Row],[Profit]] / Sheet1[[#This Row],[Ad Spend]]), 0)</f>
        <v>0.17525239451203717</v>
      </c>
      <c r="K427">
        <f>Sheet1[[#This Row],[Revenue]]-Sheet1[[#This Row],[Ad Spend]]</f>
        <v>6.769999999999996</v>
      </c>
      <c r="L427" s="2" t="s">
        <v>14</v>
      </c>
      <c r="M427">
        <v>2</v>
      </c>
      <c r="N427" s="2" t="s">
        <v>15</v>
      </c>
      <c r="O427">
        <v>0</v>
      </c>
    </row>
    <row r="428" spans="1:15" x14ac:dyDescent="0.3">
      <c r="A428" s="1">
        <v>45384</v>
      </c>
      <c r="B428" s="2" t="s">
        <v>23</v>
      </c>
      <c r="C428" s="2" t="s">
        <v>17</v>
      </c>
      <c r="D428" s="2" t="s">
        <v>13</v>
      </c>
      <c r="E428">
        <v>160.21</v>
      </c>
      <c r="F428">
        <v>45.98</v>
      </c>
      <c r="G428">
        <v>0</v>
      </c>
      <c r="H428">
        <f t="shared" si="6"/>
        <v>58562.910000000018</v>
      </c>
      <c r="I428" t="str">
        <f>IF(Sheet1[[#This Row],[Month_Revenue]] &lt; AVERAGE(Sheet1[Month_Revenue]), "Off-Peak", "Peak")</f>
        <v>Peak</v>
      </c>
      <c r="J428">
        <f xml:space="preserve"> IF(Sheet1[[#This Row],[Ad Spend]] &gt; 0, (Sheet1[[#This Row],[Profit]] / Sheet1[[#This Row],[Ad Spend]]), 0)</f>
        <v>2.4843410178338412</v>
      </c>
      <c r="K428">
        <f>Sheet1[[#This Row],[Revenue]]-Sheet1[[#This Row],[Ad Spend]]</f>
        <v>114.23000000000002</v>
      </c>
      <c r="L428" s="2" t="s">
        <v>14</v>
      </c>
      <c r="M428">
        <v>4</v>
      </c>
      <c r="N428" s="2" t="s">
        <v>19</v>
      </c>
      <c r="O428">
        <v>0</v>
      </c>
    </row>
    <row r="429" spans="1:15" x14ac:dyDescent="0.3">
      <c r="A429" s="1">
        <v>45300</v>
      </c>
      <c r="B429" s="2" t="s">
        <v>23</v>
      </c>
      <c r="C429" s="2" t="s">
        <v>12</v>
      </c>
      <c r="D429" s="2" t="s">
        <v>18</v>
      </c>
      <c r="E429">
        <v>124.96</v>
      </c>
      <c r="F429">
        <v>11.87</v>
      </c>
      <c r="G429">
        <v>3</v>
      </c>
      <c r="H429">
        <f t="shared" si="6"/>
        <v>61207.979999999989</v>
      </c>
      <c r="I429" t="str">
        <f>IF(Sheet1[[#This Row],[Month_Revenue]] &lt; AVERAGE(Sheet1[Month_Revenue]), "Off-Peak", "Peak")</f>
        <v>Peak</v>
      </c>
      <c r="J429">
        <f xml:space="preserve"> IF(Sheet1[[#This Row],[Ad Spend]] &gt; 0, (Sheet1[[#This Row],[Profit]] / Sheet1[[#This Row],[Ad Spend]]), 0)</f>
        <v>9.527379949452401</v>
      </c>
      <c r="K429">
        <f>Sheet1[[#This Row],[Revenue]]-Sheet1[[#This Row],[Ad Spend]]</f>
        <v>113.08999999999999</v>
      </c>
      <c r="L429" s="2" t="s">
        <v>14</v>
      </c>
      <c r="M429">
        <v>1</v>
      </c>
      <c r="N429" s="2" t="s">
        <v>15</v>
      </c>
      <c r="O429">
        <v>41.653333333333329</v>
      </c>
    </row>
    <row r="430" spans="1:15" x14ac:dyDescent="0.3">
      <c r="A430" s="1">
        <v>45301</v>
      </c>
      <c r="B430" s="2" t="s">
        <v>24</v>
      </c>
      <c r="C430" s="2" t="s">
        <v>17</v>
      </c>
      <c r="D430" s="2" t="s">
        <v>18</v>
      </c>
      <c r="E430">
        <v>64</v>
      </c>
      <c r="F430">
        <v>23</v>
      </c>
      <c r="G430">
        <v>1</v>
      </c>
      <c r="H430">
        <f t="shared" si="6"/>
        <v>61207.979999999989</v>
      </c>
      <c r="I430" t="str">
        <f>IF(Sheet1[[#This Row],[Month_Revenue]] &lt; AVERAGE(Sheet1[Month_Revenue]), "Off-Peak", "Peak")</f>
        <v>Peak</v>
      </c>
      <c r="J430">
        <f xml:space="preserve"> IF(Sheet1[[#This Row],[Ad Spend]] &gt; 0, (Sheet1[[#This Row],[Profit]] / Sheet1[[#This Row],[Ad Spend]]), 0)</f>
        <v>1.7826086956521738</v>
      </c>
      <c r="K430">
        <f>Sheet1[[#This Row],[Revenue]]-Sheet1[[#This Row],[Ad Spend]]</f>
        <v>41</v>
      </c>
      <c r="L430" s="2" t="s">
        <v>22</v>
      </c>
      <c r="M430">
        <v>1</v>
      </c>
      <c r="N430" s="2" t="s">
        <v>15</v>
      </c>
      <c r="O430">
        <v>64</v>
      </c>
    </row>
    <row r="431" spans="1:15" x14ac:dyDescent="0.3">
      <c r="A431" s="1">
        <v>45391</v>
      </c>
      <c r="B431" s="2" t="s">
        <v>24</v>
      </c>
      <c r="C431" s="2" t="s">
        <v>12</v>
      </c>
      <c r="D431" s="2" t="s">
        <v>18</v>
      </c>
      <c r="E431">
        <v>80.16</v>
      </c>
      <c r="F431">
        <v>39.340000000000003</v>
      </c>
      <c r="G431">
        <v>2</v>
      </c>
      <c r="H431">
        <f t="shared" si="6"/>
        <v>58562.910000000018</v>
      </c>
      <c r="I431" t="str">
        <f>IF(Sheet1[[#This Row],[Month_Revenue]] &lt; AVERAGE(Sheet1[Month_Revenue]), "Off-Peak", "Peak")</f>
        <v>Peak</v>
      </c>
      <c r="J431">
        <f xml:space="preserve"> IF(Sheet1[[#This Row],[Ad Spend]] &gt; 0, (Sheet1[[#This Row],[Profit]] / Sheet1[[#This Row],[Ad Spend]]), 0)</f>
        <v>1.0376207422470765</v>
      </c>
      <c r="K431">
        <f>Sheet1[[#This Row],[Revenue]]-Sheet1[[#This Row],[Ad Spend]]</f>
        <v>40.819999999999993</v>
      </c>
      <c r="L431" s="2" t="s">
        <v>14</v>
      </c>
      <c r="M431">
        <v>4</v>
      </c>
      <c r="N431" s="2" t="s">
        <v>19</v>
      </c>
      <c r="O431">
        <v>40.08</v>
      </c>
    </row>
    <row r="432" spans="1:15" x14ac:dyDescent="0.3">
      <c r="A432" s="1">
        <v>45411</v>
      </c>
      <c r="B432" s="2" t="s">
        <v>20</v>
      </c>
      <c r="C432" s="2" t="s">
        <v>12</v>
      </c>
      <c r="D432" s="2" t="s">
        <v>13</v>
      </c>
      <c r="E432">
        <v>173.65</v>
      </c>
      <c r="F432">
        <v>41.01</v>
      </c>
      <c r="G432">
        <v>3</v>
      </c>
      <c r="H432">
        <f t="shared" si="6"/>
        <v>58562.910000000018</v>
      </c>
      <c r="I432" t="str">
        <f>IF(Sheet1[[#This Row],[Month_Revenue]] &lt; AVERAGE(Sheet1[Month_Revenue]), "Off-Peak", "Peak")</f>
        <v>Peak</v>
      </c>
      <c r="J432">
        <f xml:space="preserve"> IF(Sheet1[[#This Row],[Ad Spend]] &gt; 0, (Sheet1[[#This Row],[Profit]] / Sheet1[[#This Row],[Ad Spend]]), 0)</f>
        <v>3.2343330894903688</v>
      </c>
      <c r="K432">
        <f>Sheet1[[#This Row],[Revenue]]-Sheet1[[#This Row],[Ad Spend]]</f>
        <v>132.64000000000001</v>
      </c>
      <c r="L432" s="2" t="s">
        <v>22</v>
      </c>
      <c r="M432">
        <v>4</v>
      </c>
      <c r="N432" s="2" t="s">
        <v>19</v>
      </c>
      <c r="O432">
        <v>57.883333333333333</v>
      </c>
    </row>
    <row r="433" spans="1:15" x14ac:dyDescent="0.3">
      <c r="A433" s="1">
        <v>45384</v>
      </c>
      <c r="B433" s="2" t="s">
        <v>11</v>
      </c>
      <c r="C433" s="2" t="s">
        <v>21</v>
      </c>
      <c r="D433" s="2" t="s">
        <v>13</v>
      </c>
      <c r="E433">
        <v>114.84</v>
      </c>
      <c r="F433">
        <v>45.73</v>
      </c>
      <c r="G433">
        <v>3</v>
      </c>
      <c r="H433">
        <f t="shared" si="6"/>
        <v>58562.910000000018</v>
      </c>
      <c r="I433" t="str">
        <f>IF(Sheet1[[#This Row],[Month_Revenue]] &lt; AVERAGE(Sheet1[Month_Revenue]), "Off-Peak", "Peak")</f>
        <v>Peak</v>
      </c>
      <c r="J433">
        <f xml:space="preserve"> IF(Sheet1[[#This Row],[Ad Spend]] &gt; 0, (Sheet1[[#This Row],[Profit]] / Sheet1[[#This Row],[Ad Spend]]), 0)</f>
        <v>1.5112617537721413</v>
      </c>
      <c r="K433">
        <f>Sheet1[[#This Row],[Revenue]]-Sheet1[[#This Row],[Ad Spend]]</f>
        <v>69.110000000000014</v>
      </c>
      <c r="L433" s="2" t="s">
        <v>14</v>
      </c>
      <c r="M433">
        <v>4</v>
      </c>
      <c r="N433" s="2" t="s">
        <v>19</v>
      </c>
      <c r="O433">
        <v>38.28</v>
      </c>
    </row>
    <row r="434" spans="1:15" x14ac:dyDescent="0.3">
      <c r="A434" s="1">
        <v>45393</v>
      </c>
      <c r="B434" s="2" t="s">
        <v>16</v>
      </c>
      <c r="C434" s="2" t="s">
        <v>17</v>
      </c>
      <c r="D434" s="2" t="s">
        <v>13</v>
      </c>
      <c r="E434">
        <v>129.52000000000001</v>
      </c>
      <c r="F434">
        <v>24.02</v>
      </c>
      <c r="G434">
        <v>2</v>
      </c>
      <c r="H434">
        <f t="shared" si="6"/>
        <v>58562.910000000018</v>
      </c>
      <c r="I434" t="str">
        <f>IF(Sheet1[[#This Row],[Month_Revenue]] &lt; AVERAGE(Sheet1[Month_Revenue]), "Off-Peak", "Peak")</f>
        <v>Peak</v>
      </c>
      <c r="J434">
        <f xml:space="preserve"> IF(Sheet1[[#This Row],[Ad Spend]] &gt; 0, (Sheet1[[#This Row],[Profit]] / Sheet1[[#This Row],[Ad Spend]]), 0)</f>
        <v>4.39217318900916</v>
      </c>
      <c r="K434">
        <f>Sheet1[[#This Row],[Revenue]]-Sheet1[[#This Row],[Ad Spend]]</f>
        <v>105.50000000000001</v>
      </c>
      <c r="L434" s="2" t="s">
        <v>22</v>
      </c>
      <c r="M434">
        <v>4</v>
      </c>
      <c r="N434" s="2" t="s">
        <v>19</v>
      </c>
      <c r="O434">
        <v>64.760000000000005</v>
      </c>
    </row>
    <row r="435" spans="1:15" x14ac:dyDescent="0.3">
      <c r="A435" s="1">
        <v>45346</v>
      </c>
      <c r="B435" s="2" t="s">
        <v>23</v>
      </c>
      <c r="C435" s="2" t="s">
        <v>12</v>
      </c>
      <c r="D435" s="2" t="s">
        <v>13</v>
      </c>
      <c r="E435">
        <v>90.12</v>
      </c>
      <c r="F435">
        <v>5.03</v>
      </c>
      <c r="G435">
        <v>1</v>
      </c>
      <c r="H435">
        <f t="shared" si="6"/>
        <v>48675.899999999936</v>
      </c>
      <c r="I435" t="str">
        <f>IF(Sheet1[[#This Row],[Month_Revenue]] &lt; AVERAGE(Sheet1[Month_Revenue]), "Off-Peak", "Peak")</f>
        <v>Off-Peak</v>
      </c>
      <c r="J435">
        <f xml:space="preserve"> IF(Sheet1[[#This Row],[Ad Spend]] &gt; 0, (Sheet1[[#This Row],[Profit]] / Sheet1[[#This Row],[Ad Spend]]), 0)</f>
        <v>16.916500994035786</v>
      </c>
      <c r="K435">
        <f>Sheet1[[#This Row],[Revenue]]-Sheet1[[#This Row],[Ad Spend]]</f>
        <v>85.09</v>
      </c>
      <c r="L435" s="2" t="s">
        <v>22</v>
      </c>
      <c r="M435">
        <v>2</v>
      </c>
      <c r="N435" s="2" t="s">
        <v>15</v>
      </c>
      <c r="O435">
        <v>90.12</v>
      </c>
    </row>
    <row r="436" spans="1:15" x14ac:dyDescent="0.3">
      <c r="A436" s="1">
        <v>45405</v>
      </c>
      <c r="B436" s="2" t="s">
        <v>16</v>
      </c>
      <c r="C436" s="2" t="s">
        <v>12</v>
      </c>
      <c r="D436" s="2" t="s">
        <v>18</v>
      </c>
      <c r="E436">
        <v>32.06</v>
      </c>
      <c r="F436">
        <v>30.44</v>
      </c>
      <c r="G436">
        <v>0</v>
      </c>
      <c r="H436">
        <f t="shared" si="6"/>
        <v>58562.910000000018</v>
      </c>
      <c r="I436" t="str">
        <f>IF(Sheet1[[#This Row],[Month_Revenue]] &lt; AVERAGE(Sheet1[Month_Revenue]), "Off-Peak", "Peak")</f>
        <v>Peak</v>
      </c>
      <c r="J436">
        <f xml:space="preserve"> IF(Sheet1[[#This Row],[Ad Spend]] &gt; 0, (Sheet1[[#This Row],[Profit]] / Sheet1[[#This Row],[Ad Spend]]), 0)</f>
        <v>5.3219448094612383E-2</v>
      </c>
      <c r="K436">
        <f>Sheet1[[#This Row],[Revenue]]-Sheet1[[#This Row],[Ad Spend]]</f>
        <v>1.620000000000001</v>
      </c>
      <c r="L436" s="2" t="s">
        <v>14</v>
      </c>
      <c r="M436">
        <v>4</v>
      </c>
      <c r="N436" s="2" t="s">
        <v>19</v>
      </c>
      <c r="O436">
        <v>0</v>
      </c>
    </row>
    <row r="437" spans="1:15" x14ac:dyDescent="0.3">
      <c r="A437" s="1">
        <v>45347</v>
      </c>
      <c r="B437" s="2" t="s">
        <v>20</v>
      </c>
      <c r="C437" s="2" t="s">
        <v>12</v>
      </c>
      <c r="D437" s="2" t="s">
        <v>13</v>
      </c>
      <c r="E437">
        <v>21.06</v>
      </c>
      <c r="F437">
        <v>17.64</v>
      </c>
      <c r="G437">
        <v>2</v>
      </c>
      <c r="H437">
        <f t="shared" si="6"/>
        <v>48675.899999999936</v>
      </c>
      <c r="I437" t="str">
        <f>IF(Sheet1[[#This Row],[Month_Revenue]] &lt; AVERAGE(Sheet1[Month_Revenue]), "Off-Peak", "Peak")</f>
        <v>Off-Peak</v>
      </c>
      <c r="J437">
        <f xml:space="preserve"> IF(Sheet1[[#This Row],[Ad Spend]] &gt; 0, (Sheet1[[#This Row],[Profit]] / Sheet1[[#This Row],[Ad Spend]]), 0)</f>
        <v>0.19387755102040805</v>
      </c>
      <c r="K437">
        <f>Sheet1[[#This Row],[Revenue]]-Sheet1[[#This Row],[Ad Spend]]</f>
        <v>3.4199999999999982</v>
      </c>
      <c r="L437" s="2" t="s">
        <v>14</v>
      </c>
      <c r="M437">
        <v>2</v>
      </c>
      <c r="N437" s="2" t="s">
        <v>15</v>
      </c>
      <c r="O437">
        <v>10.53</v>
      </c>
    </row>
    <row r="438" spans="1:15" x14ac:dyDescent="0.3">
      <c r="A438" s="1">
        <v>45398</v>
      </c>
      <c r="B438" s="2" t="s">
        <v>16</v>
      </c>
      <c r="C438" s="2" t="s">
        <v>17</v>
      </c>
      <c r="D438" s="2" t="s">
        <v>13</v>
      </c>
      <c r="E438">
        <v>180.87</v>
      </c>
      <c r="F438">
        <v>18.25</v>
      </c>
      <c r="G438">
        <v>2</v>
      </c>
      <c r="H438">
        <f t="shared" si="6"/>
        <v>58562.910000000018</v>
      </c>
      <c r="I438" t="str">
        <f>IF(Sheet1[[#This Row],[Month_Revenue]] &lt; AVERAGE(Sheet1[Month_Revenue]), "Off-Peak", "Peak")</f>
        <v>Peak</v>
      </c>
      <c r="J438">
        <f xml:space="preserve"> IF(Sheet1[[#This Row],[Ad Spend]] &gt; 0, (Sheet1[[#This Row],[Profit]] / Sheet1[[#This Row],[Ad Spend]]), 0)</f>
        <v>8.9106849315068501</v>
      </c>
      <c r="K438">
        <f>Sheet1[[#This Row],[Revenue]]-Sheet1[[#This Row],[Ad Spend]]</f>
        <v>162.62</v>
      </c>
      <c r="L438" s="2" t="s">
        <v>14</v>
      </c>
      <c r="M438">
        <v>4</v>
      </c>
      <c r="N438" s="2" t="s">
        <v>19</v>
      </c>
      <c r="O438">
        <v>90.435000000000002</v>
      </c>
    </row>
    <row r="439" spans="1:15" x14ac:dyDescent="0.3">
      <c r="A439" s="1">
        <v>45331</v>
      </c>
      <c r="B439" s="2" t="s">
        <v>11</v>
      </c>
      <c r="C439" s="2" t="s">
        <v>17</v>
      </c>
      <c r="D439" s="2" t="s">
        <v>13</v>
      </c>
      <c r="E439">
        <v>46.38</v>
      </c>
      <c r="F439">
        <v>15.56</v>
      </c>
      <c r="G439">
        <v>3</v>
      </c>
      <c r="H439">
        <f t="shared" si="6"/>
        <v>48675.899999999936</v>
      </c>
      <c r="I439" t="str">
        <f>IF(Sheet1[[#This Row],[Month_Revenue]] &lt; AVERAGE(Sheet1[Month_Revenue]), "Off-Peak", "Peak")</f>
        <v>Off-Peak</v>
      </c>
      <c r="J439">
        <f xml:space="preserve"> IF(Sheet1[[#This Row],[Ad Spend]] &gt; 0, (Sheet1[[#This Row],[Profit]] / Sheet1[[#This Row],[Ad Spend]]), 0)</f>
        <v>1.980719794344473</v>
      </c>
      <c r="K439">
        <f>Sheet1[[#This Row],[Revenue]]-Sheet1[[#This Row],[Ad Spend]]</f>
        <v>30.82</v>
      </c>
      <c r="L439" s="2" t="s">
        <v>22</v>
      </c>
      <c r="M439">
        <v>2</v>
      </c>
      <c r="N439" s="2" t="s">
        <v>15</v>
      </c>
      <c r="O439">
        <v>15.46</v>
      </c>
    </row>
    <row r="440" spans="1:15" x14ac:dyDescent="0.3">
      <c r="A440" s="1">
        <v>45401</v>
      </c>
      <c r="B440" s="2" t="s">
        <v>11</v>
      </c>
      <c r="C440" s="2" t="s">
        <v>21</v>
      </c>
      <c r="D440" s="2" t="s">
        <v>18</v>
      </c>
      <c r="E440">
        <v>190.53</v>
      </c>
      <c r="F440">
        <v>8.23</v>
      </c>
      <c r="G440">
        <v>3</v>
      </c>
      <c r="H440">
        <f t="shared" si="6"/>
        <v>58562.910000000018</v>
      </c>
      <c r="I440" t="str">
        <f>IF(Sheet1[[#This Row],[Month_Revenue]] &lt; AVERAGE(Sheet1[Month_Revenue]), "Off-Peak", "Peak")</f>
        <v>Peak</v>
      </c>
      <c r="J440">
        <f xml:space="preserve"> IF(Sheet1[[#This Row],[Ad Spend]] &gt; 0, (Sheet1[[#This Row],[Profit]] / Sheet1[[#This Row],[Ad Spend]]), 0)</f>
        <v>22.150668286755771</v>
      </c>
      <c r="K440">
        <f>Sheet1[[#This Row],[Revenue]]-Sheet1[[#This Row],[Ad Spend]]</f>
        <v>182.3</v>
      </c>
      <c r="L440" s="2" t="s">
        <v>14</v>
      </c>
      <c r="M440">
        <v>4</v>
      </c>
      <c r="N440" s="2" t="s">
        <v>19</v>
      </c>
      <c r="O440">
        <v>63.51</v>
      </c>
    </row>
    <row r="441" spans="1:15" x14ac:dyDescent="0.3">
      <c r="A441" s="1">
        <v>45294</v>
      </c>
      <c r="B441" s="2" t="s">
        <v>11</v>
      </c>
      <c r="C441" s="2" t="s">
        <v>21</v>
      </c>
      <c r="D441" s="2" t="s">
        <v>18</v>
      </c>
      <c r="E441">
        <v>79.19</v>
      </c>
      <c r="F441">
        <v>34.909999999999997</v>
      </c>
      <c r="G441">
        <v>0</v>
      </c>
      <c r="H441">
        <f t="shared" si="6"/>
        <v>61207.979999999989</v>
      </c>
      <c r="I441" t="str">
        <f>IF(Sheet1[[#This Row],[Month_Revenue]] &lt; AVERAGE(Sheet1[Month_Revenue]), "Off-Peak", "Peak")</f>
        <v>Peak</v>
      </c>
      <c r="J441">
        <f xml:space="preserve"> IF(Sheet1[[#This Row],[Ad Spend]] &gt; 0, (Sheet1[[#This Row],[Profit]] / Sheet1[[#This Row],[Ad Spend]]), 0)</f>
        <v>1.2684044686336295</v>
      </c>
      <c r="K441">
        <f>Sheet1[[#This Row],[Revenue]]-Sheet1[[#This Row],[Ad Spend]]</f>
        <v>44.28</v>
      </c>
      <c r="L441" s="2" t="s">
        <v>14</v>
      </c>
      <c r="M441">
        <v>1</v>
      </c>
      <c r="N441" s="2" t="s">
        <v>15</v>
      </c>
      <c r="O441">
        <v>0</v>
      </c>
    </row>
    <row r="442" spans="1:15" x14ac:dyDescent="0.3">
      <c r="A442" s="1">
        <v>45409</v>
      </c>
      <c r="B442" s="2" t="s">
        <v>24</v>
      </c>
      <c r="C442" s="2" t="s">
        <v>17</v>
      </c>
      <c r="D442" s="2" t="s">
        <v>18</v>
      </c>
      <c r="E442">
        <v>197.72</v>
      </c>
      <c r="F442">
        <v>18.66</v>
      </c>
      <c r="G442">
        <v>1</v>
      </c>
      <c r="H442">
        <f t="shared" si="6"/>
        <v>58562.910000000018</v>
      </c>
      <c r="I442" t="str">
        <f>IF(Sheet1[[#This Row],[Month_Revenue]] &lt; AVERAGE(Sheet1[Month_Revenue]), "Off-Peak", "Peak")</f>
        <v>Peak</v>
      </c>
      <c r="J442">
        <f xml:space="preserve"> IF(Sheet1[[#This Row],[Ad Spend]] &gt; 0, (Sheet1[[#This Row],[Profit]] / Sheet1[[#This Row],[Ad Spend]]), 0)</f>
        <v>9.595927116827438</v>
      </c>
      <c r="K442">
        <f>Sheet1[[#This Row],[Revenue]]-Sheet1[[#This Row],[Ad Spend]]</f>
        <v>179.06</v>
      </c>
      <c r="L442" s="2" t="s">
        <v>14</v>
      </c>
      <c r="M442">
        <v>4</v>
      </c>
      <c r="N442" s="2" t="s">
        <v>19</v>
      </c>
      <c r="O442">
        <v>197.72</v>
      </c>
    </row>
    <row r="443" spans="1:15" x14ac:dyDescent="0.3">
      <c r="A443" s="1">
        <v>45380</v>
      </c>
      <c r="B443" s="2" t="s">
        <v>20</v>
      </c>
      <c r="C443" s="2" t="s">
        <v>12</v>
      </c>
      <c r="D443" s="2" t="s">
        <v>13</v>
      </c>
      <c r="E443">
        <v>94.02</v>
      </c>
      <c r="F443">
        <v>31.4</v>
      </c>
      <c r="G443">
        <v>0</v>
      </c>
      <c r="H443">
        <f t="shared" si="6"/>
        <v>54735.250000000029</v>
      </c>
      <c r="I443" t="str">
        <f>IF(Sheet1[[#This Row],[Month_Revenue]] &lt; AVERAGE(Sheet1[Month_Revenue]), "Off-Peak", "Peak")</f>
        <v>Off-Peak</v>
      </c>
      <c r="J443">
        <f xml:space="preserve"> IF(Sheet1[[#This Row],[Ad Spend]] &gt; 0, (Sheet1[[#This Row],[Profit]] / Sheet1[[#This Row],[Ad Spend]]), 0)</f>
        <v>1.994267515923567</v>
      </c>
      <c r="K443">
        <f>Sheet1[[#This Row],[Revenue]]-Sheet1[[#This Row],[Ad Spend]]</f>
        <v>62.62</v>
      </c>
      <c r="L443" s="2" t="s">
        <v>14</v>
      </c>
      <c r="M443">
        <v>3</v>
      </c>
      <c r="N443" s="2" t="s">
        <v>19</v>
      </c>
      <c r="O443">
        <v>0</v>
      </c>
    </row>
    <row r="444" spans="1:15" x14ac:dyDescent="0.3">
      <c r="A444" s="1">
        <v>45349</v>
      </c>
      <c r="B444" s="2" t="s">
        <v>16</v>
      </c>
      <c r="C444" s="2" t="s">
        <v>12</v>
      </c>
      <c r="D444" s="2" t="s">
        <v>13</v>
      </c>
      <c r="E444">
        <v>53.15</v>
      </c>
      <c r="F444">
        <v>17.47</v>
      </c>
      <c r="G444">
        <v>3</v>
      </c>
      <c r="H444">
        <f t="shared" si="6"/>
        <v>48675.899999999936</v>
      </c>
      <c r="I444" t="str">
        <f>IF(Sheet1[[#This Row],[Month_Revenue]] &lt; AVERAGE(Sheet1[Month_Revenue]), "Off-Peak", "Peak")</f>
        <v>Off-Peak</v>
      </c>
      <c r="J444">
        <f xml:space="preserve"> IF(Sheet1[[#This Row],[Ad Spend]] &gt; 0, (Sheet1[[#This Row],[Profit]] / Sheet1[[#This Row],[Ad Spend]]), 0)</f>
        <v>2.0423583285632514</v>
      </c>
      <c r="K444">
        <f>Sheet1[[#This Row],[Revenue]]-Sheet1[[#This Row],[Ad Spend]]</f>
        <v>35.68</v>
      </c>
      <c r="L444" s="2" t="s">
        <v>14</v>
      </c>
      <c r="M444">
        <v>2</v>
      </c>
      <c r="N444" s="2" t="s">
        <v>15</v>
      </c>
      <c r="O444">
        <v>17.716666666666665</v>
      </c>
    </row>
    <row r="445" spans="1:15" x14ac:dyDescent="0.3">
      <c r="A445" s="1">
        <v>45346</v>
      </c>
      <c r="B445" s="2" t="s">
        <v>11</v>
      </c>
      <c r="C445" s="2" t="s">
        <v>17</v>
      </c>
      <c r="D445" s="2" t="s">
        <v>13</v>
      </c>
      <c r="E445">
        <v>172.21</v>
      </c>
      <c r="F445">
        <v>14.9</v>
      </c>
      <c r="G445">
        <v>3</v>
      </c>
      <c r="H445">
        <f t="shared" si="6"/>
        <v>48675.899999999936</v>
      </c>
      <c r="I445" t="str">
        <f>IF(Sheet1[[#This Row],[Month_Revenue]] &lt; AVERAGE(Sheet1[Month_Revenue]), "Off-Peak", "Peak")</f>
        <v>Off-Peak</v>
      </c>
      <c r="J445">
        <f xml:space="preserve"> IF(Sheet1[[#This Row],[Ad Spend]] &gt; 0, (Sheet1[[#This Row],[Profit]] / Sheet1[[#This Row],[Ad Spend]]), 0)</f>
        <v>10.557718120805369</v>
      </c>
      <c r="K445">
        <f>Sheet1[[#This Row],[Revenue]]-Sheet1[[#This Row],[Ad Spend]]</f>
        <v>157.31</v>
      </c>
      <c r="L445" s="2" t="s">
        <v>22</v>
      </c>
      <c r="M445">
        <v>2</v>
      </c>
      <c r="N445" s="2" t="s">
        <v>15</v>
      </c>
      <c r="O445">
        <v>57.403333333333336</v>
      </c>
    </row>
    <row r="446" spans="1:15" x14ac:dyDescent="0.3">
      <c r="A446" s="1">
        <v>45364</v>
      </c>
      <c r="B446" s="2" t="s">
        <v>16</v>
      </c>
      <c r="C446" s="2" t="s">
        <v>17</v>
      </c>
      <c r="D446" s="2" t="s">
        <v>18</v>
      </c>
      <c r="E446">
        <v>104.99</v>
      </c>
      <c r="F446">
        <v>40.29</v>
      </c>
      <c r="G446">
        <v>3</v>
      </c>
      <c r="H446">
        <f t="shared" si="6"/>
        <v>54735.250000000029</v>
      </c>
      <c r="I446" t="str">
        <f>IF(Sheet1[[#This Row],[Month_Revenue]] &lt; AVERAGE(Sheet1[Month_Revenue]), "Off-Peak", "Peak")</f>
        <v>Off-Peak</v>
      </c>
      <c r="J446">
        <f xml:space="preserve"> IF(Sheet1[[#This Row],[Ad Spend]] &gt; 0, (Sheet1[[#This Row],[Profit]] / Sheet1[[#This Row],[Ad Spend]]), 0)</f>
        <v>1.6058575328865721</v>
      </c>
      <c r="K446">
        <f>Sheet1[[#This Row],[Revenue]]-Sheet1[[#This Row],[Ad Spend]]</f>
        <v>64.699999999999989</v>
      </c>
      <c r="L446" s="2" t="s">
        <v>14</v>
      </c>
      <c r="M446">
        <v>3</v>
      </c>
      <c r="N446" s="2" t="s">
        <v>19</v>
      </c>
      <c r="O446">
        <v>34.996666666666663</v>
      </c>
    </row>
    <row r="447" spans="1:15" x14ac:dyDescent="0.3">
      <c r="A447" s="1">
        <v>45321</v>
      </c>
      <c r="B447" s="2" t="s">
        <v>24</v>
      </c>
      <c r="C447" s="2" t="s">
        <v>21</v>
      </c>
      <c r="D447" s="2" t="s">
        <v>18</v>
      </c>
      <c r="E447">
        <v>45.39</v>
      </c>
      <c r="F447">
        <v>47.19</v>
      </c>
      <c r="G447">
        <v>3</v>
      </c>
      <c r="H447">
        <f t="shared" si="6"/>
        <v>61207.979999999989</v>
      </c>
      <c r="I447" t="str">
        <f>IF(Sheet1[[#This Row],[Month_Revenue]] &lt; AVERAGE(Sheet1[Month_Revenue]), "Off-Peak", "Peak")</f>
        <v>Peak</v>
      </c>
      <c r="J447">
        <f xml:space="preserve"> IF(Sheet1[[#This Row],[Ad Spend]] &gt; 0, (Sheet1[[#This Row],[Profit]] / Sheet1[[#This Row],[Ad Spend]]), 0)</f>
        <v>-3.8143674507310814E-2</v>
      </c>
      <c r="K447">
        <f>Sheet1[[#This Row],[Revenue]]-Sheet1[[#This Row],[Ad Spend]]</f>
        <v>-1.7999999999999972</v>
      </c>
      <c r="L447" s="2" t="s">
        <v>22</v>
      </c>
      <c r="M447">
        <v>1</v>
      </c>
      <c r="N447" s="2" t="s">
        <v>15</v>
      </c>
      <c r="O447">
        <v>15.13</v>
      </c>
    </row>
    <row r="448" spans="1:15" x14ac:dyDescent="0.3">
      <c r="A448" s="1">
        <v>45373</v>
      </c>
      <c r="B448" s="2" t="s">
        <v>11</v>
      </c>
      <c r="C448" s="2" t="s">
        <v>17</v>
      </c>
      <c r="D448" s="2" t="s">
        <v>18</v>
      </c>
      <c r="E448">
        <v>178.96</v>
      </c>
      <c r="F448">
        <v>31.49</v>
      </c>
      <c r="G448">
        <v>1</v>
      </c>
      <c r="H448">
        <f t="shared" si="6"/>
        <v>54735.250000000029</v>
      </c>
      <c r="I448" t="str">
        <f>IF(Sheet1[[#This Row],[Month_Revenue]] &lt; AVERAGE(Sheet1[Month_Revenue]), "Off-Peak", "Peak")</f>
        <v>Off-Peak</v>
      </c>
      <c r="J448">
        <f xml:space="preserve"> IF(Sheet1[[#This Row],[Ad Spend]] &gt; 0, (Sheet1[[#This Row],[Profit]] / Sheet1[[#This Row],[Ad Spend]]), 0)</f>
        <v>4.6830739917434112</v>
      </c>
      <c r="K448">
        <f>Sheet1[[#This Row],[Revenue]]-Sheet1[[#This Row],[Ad Spend]]</f>
        <v>147.47</v>
      </c>
      <c r="L448" s="2" t="s">
        <v>14</v>
      </c>
      <c r="M448">
        <v>3</v>
      </c>
      <c r="N448" s="2" t="s">
        <v>19</v>
      </c>
      <c r="O448">
        <v>178.96</v>
      </c>
    </row>
    <row r="449" spans="1:15" x14ac:dyDescent="0.3">
      <c r="A449" s="1">
        <v>45396</v>
      </c>
      <c r="B449" s="2" t="s">
        <v>23</v>
      </c>
      <c r="C449" s="2" t="s">
        <v>17</v>
      </c>
      <c r="D449" s="2" t="s">
        <v>13</v>
      </c>
      <c r="E449">
        <v>109.34</v>
      </c>
      <c r="F449">
        <v>30.83</v>
      </c>
      <c r="G449">
        <v>1</v>
      </c>
      <c r="H449">
        <f t="shared" si="6"/>
        <v>58562.910000000018</v>
      </c>
      <c r="I449" t="str">
        <f>IF(Sheet1[[#This Row],[Month_Revenue]] &lt; AVERAGE(Sheet1[Month_Revenue]), "Off-Peak", "Peak")</f>
        <v>Peak</v>
      </c>
      <c r="J449">
        <f xml:space="preserve"> IF(Sheet1[[#This Row],[Ad Spend]] &gt; 0, (Sheet1[[#This Row],[Profit]] / Sheet1[[#This Row],[Ad Spend]]), 0)</f>
        <v>2.546545572494324</v>
      </c>
      <c r="K449">
        <f>Sheet1[[#This Row],[Revenue]]-Sheet1[[#This Row],[Ad Spend]]</f>
        <v>78.510000000000005</v>
      </c>
      <c r="L449" s="2" t="s">
        <v>14</v>
      </c>
      <c r="M449">
        <v>4</v>
      </c>
      <c r="N449" s="2" t="s">
        <v>19</v>
      </c>
      <c r="O449">
        <v>109.34</v>
      </c>
    </row>
    <row r="450" spans="1:15" x14ac:dyDescent="0.3">
      <c r="A450" s="1">
        <v>45361</v>
      </c>
      <c r="B450" s="2" t="s">
        <v>24</v>
      </c>
      <c r="C450" s="2" t="s">
        <v>21</v>
      </c>
      <c r="D450" s="2" t="s">
        <v>13</v>
      </c>
      <c r="E450">
        <v>130.47999999999999</v>
      </c>
      <c r="F450">
        <v>8.3000000000000007</v>
      </c>
      <c r="G450">
        <v>0</v>
      </c>
      <c r="H450">
        <f t="shared" ref="H450:H513" si="7">SUMIFS($E$2:$E$2001, $M$2:$M$2001, M450)</f>
        <v>54735.250000000029</v>
      </c>
      <c r="I450" t="str">
        <f>IF(Sheet1[[#This Row],[Month_Revenue]] &lt; AVERAGE(Sheet1[Month_Revenue]), "Off-Peak", "Peak")</f>
        <v>Off-Peak</v>
      </c>
      <c r="J450">
        <f xml:space="preserve"> IF(Sheet1[[#This Row],[Ad Spend]] &gt; 0, (Sheet1[[#This Row],[Profit]] / Sheet1[[#This Row],[Ad Spend]]), 0)</f>
        <v>14.720481927710841</v>
      </c>
      <c r="K450">
        <f>Sheet1[[#This Row],[Revenue]]-Sheet1[[#This Row],[Ad Spend]]</f>
        <v>122.17999999999999</v>
      </c>
      <c r="L450" s="2" t="s">
        <v>22</v>
      </c>
      <c r="M450">
        <v>3</v>
      </c>
      <c r="N450" s="2" t="s">
        <v>19</v>
      </c>
      <c r="O450">
        <v>0</v>
      </c>
    </row>
    <row r="451" spans="1:15" x14ac:dyDescent="0.3">
      <c r="A451" s="1">
        <v>45310</v>
      </c>
      <c r="B451" s="2" t="s">
        <v>16</v>
      </c>
      <c r="C451" s="2" t="s">
        <v>12</v>
      </c>
      <c r="D451" s="2" t="s">
        <v>18</v>
      </c>
      <c r="E451">
        <v>93.48</v>
      </c>
      <c r="F451">
        <v>49</v>
      </c>
      <c r="G451">
        <v>0</v>
      </c>
      <c r="H451">
        <f t="shared" si="7"/>
        <v>61207.979999999989</v>
      </c>
      <c r="I451" t="str">
        <f>IF(Sheet1[[#This Row],[Month_Revenue]] &lt; AVERAGE(Sheet1[Month_Revenue]), "Off-Peak", "Peak")</f>
        <v>Peak</v>
      </c>
      <c r="J451">
        <f xml:space="preserve"> IF(Sheet1[[#This Row],[Ad Spend]] &gt; 0, (Sheet1[[#This Row],[Profit]] / Sheet1[[#This Row],[Ad Spend]]), 0)</f>
        <v>0.90775510204081644</v>
      </c>
      <c r="K451">
        <f>Sheet1[[#This Row],[Revenue]]-Sheet1[[#This Row],[Ad Spend]]</f>
        <v>44.480000000000004</v>
      </c>
      <c r="L451" s="2" t="s">
        <v>22</v>
      </c>
      <c r="M451">
        <v>1</v>
      </c>
      <c r="N451" s="2" t="s">
        <v>15</v>
      </c>
      <c r="O451">
        <v>0</v>
      </c>
    </row>
    <row r="452" spans="1:15" x14ac:dyDescent="0.3">
      <c r="A452" s="1">
        <v>45412</v>
      </c>
      <c r="B452" s="2" t="s">
        <v>23</v>
      </c>
      <c r="C452" s="2" t="s">
        <v>17</v>
      </c>
      <c r="D452" s="2" t="s">
        <v>18</v>
      </c>
      <c r="E452">
        <v>169.05</v>
      </c>
      <c r="F452">
        <v>23.33</v>
      </c>
      <c r="G452">
        <v>0</v>
      </c>
      <c r="H452">
        <f t="shared" si="7"/>
        <v>58562.910000000018</v>
      </c>
      <c r="I452" t="str">
        <f>IF(Sheet1[[#This Row],[Month_Revenue]] &lt; AVERAGE(Sheet1[Month_Revenue]), "Off-Peak", "Peak")</f>
        <v>Peak</v>
      </c>
      <c r="J452">
        <f xml:space="preserve"> IF(Sheet1[[#This Row],[Ad Spend]] &gt; 0, (Sheet1[[#This Row],[Profit]] / Sheet1[[#This Row],[Ad Spend]]), 0)</f>
        <v>6.2460351478782696</v>
      </c>
      <c r="K452">
        <f>Sheet1[[#This Row],[Revenue]]-Sheet1[[#This Row],[Ad Spend]]</f>
        <v>145.72000000000003</v>
      </c>
      <c r="L452" s="2" t="s">
        <v>22</v>
      </c>
      <c r="M452">
        <v>4</v>
      </c>
      <c r="N452" s="2" t="s">
        <v>19</v>
      </c>
      <c r="O452">
        <v>0</v>
      </c>
    </row>
    <row r="453" spans="1:15" x14ac:dyDescent="0.3">
      <c r="A453" s="1">
        <v>45309</v>
      </c>
      <c r="B453" s="2" t="s">
        <v>11</v>
      </c>
      <c r="C453" s="2" t="s">
        <v>12</v>
      </c>
      <c r="D453" s="2" t="s">
        <v>13</v>
      </c>
      <c r="E453">
        <v>179.86</v>
      </c>
      <c r="F453">
        <v>26.77</v>
      </c>
      <c r="G453">
        <v>1</v>
      </c>
      <c r="H453">
        <f t="shared" si="7"/>
        <v>61207.979999999989</v>
      </c>
      <c r="I453" t="str">
        <f>IF(Sheet1[[#This Row],[Month_Revenue]] &lt; AVERAGE(Sheet1[Month_Revenue]), "Off-Peak", "Peak")</f>
        <v>Peak</v>
      </c>
      <c r="J453">
        <f xml:space="preserve"> IF(Sheet1[[#This Row],[Ad Spend]] &gt; 0, (Sheet1[[#This Row],[Profit]] / Sheet1[[#This Row],[Ad Spend]]), 0)</f>
        <v>5.7187149794546137</v>
      </c>
      <c r="K453">
        <f>Sheet1[[#This Row],[Revenue]]-Sheet1[[#This Row],[Ad Spend]]</f>
        <v>153.09</v>
      </c>
      <c r="L453" s="2" t="s">
        <v>22</v>
      </c>
      <c r="M453">
        <v>1</v>
      </c>
      <c r="N453" s="2" t="s">
        <v>15</v>
      </c>
      <c r="O453">
        <v>179.86</v>
      </c>
    </row>
    <row r="454" spans="1:15" x14ac:dyDescent="0.3">
      <c r="A454" s="1">
        <v>45405</v>
      </c>
      <c r="B454" s="2" t="s">
        <v>24</v>
      </c>
      <c r="C454" s="2" t="s">
        <v>12</v>
      </c>
      <c r="D454" s="2" t="s">
        <v>18</v>
      </c>
      <c r="E454">
        <v>128.27000000000001</v>
      </c>
      <c r="F454">
        <v>16.84</v>
      </c>
      <c r="G454">
        <v>0</v>
      </c>
      <c r="H454">
        <f t="shared" si="7"/>
        <v>58562.910000000018</v>
      </c>
      <c r="I454" t="str">
        <f>IF(Sheet1[[#This Row],[Month_Revenue]] &lt; AVERAGE(Sheet1[Month_Revenue]), "Off-Peak", "Peak")</f>
        <v>Peak</v>
      </c>
      <c r="J454">
        <f xml:space="preserve"> IF(Sheet1[[#This Row],[Ad Spend]] &gt; 0, (Sheet1[[#This Row],[Profit]] / Sheet1[[#This Row],[Ad Spend]]), 0)</f>
        <v>6.6169833729216156</v>
      </c>
      <c r="K454">
        <f>Sheet1[[#This Row],[Revenue]]-Sheet1[[#This Row],[Ad Spend]]</f>
        <v>111.43</v>
      </c>
      <c r="L454" s="2" t="s">
        <v>22</v>
      </c>
      <c r="M454">
        <v>4</v>
      </c>
      <c r="N454" s="2" t="s">
        <v>19</v>
      </c>
      <c r="O454">
        <v>0</v>
      </c>
    </row>
    <row r="455" spans="1:15" x14ac:dyDescent="0.3">
      <c r="A455" s="1">
        <v>45368</v>
      </c>
      <c r="B455" s="2" t="s">
        <v>16</v>
      </c>
      <c r="C455" s="2" t="s">
        <v>21</v>
      </c>
      <c r="D455" s="2" t="s">
        <v>13</v>
      </c>
      <c r="E455">
        <v>75.180000000000007</v>
      </c>
      <c r="F455">
        <v>32.450000000000003</v>
      </c>
      <c r="G455">
        <v>1</v>
      </c>
      <c r="H455">
        <f t="shared" si="7"/>
        <v>54735.250000000029</v>
      </c>
      <c r="I455" t="str">
        <f>IF(Sheet1[[#This Row],[Month_Revenue]] &lt; AVERAGE(Sheet1[Month_Revenue]), "Off-Peak", "Peak")</f>
        <v>Off-Peak</v>
      </c>
      <c r="J455">
        <f xml:space="preserve"> IF(Sheet1[[#This Row],[Ad Spend]] &gt; 0, (Sheet1[[#This Row],[Profit]] / Sheet1[[#This Row],[Ad Spend]]), 0)</f>
        <v>1.3167950693374422</v>
      </c>
      <c r="K455">
        <f>Sheet1[[#This Row],[Revenue]]-Sheet1[[#This Row],[Ad Spend]]</f>
        <v>42.730000000000004</v>
      </c>
      <c r="L455" s="2" t="s">
        <v>22</v>
      </c>
      <c r="M455">
        <v>3</v>
      </c>
      <c r="N455" s="2" t="s">
        <v>19</v>
      </c>
      <c r="O455">
        <v>75.180000000000007</v>
      </c>
    </row>
    <row r="456" spans="1:15" x14ac:dyDescent="0.3">
      <c r="A456" s="1">
        <v>45298</v>
      </c>
      <c r="B456" s="2" t="s">
        <v>11</v>
      </c>
      <c r="C456" s="2" t="s">
        <v>21</v>
      </c>
      <c r="D456" s="2" t="s">
        <v>18</v>
      </c>
      <c r="E456">
        <v>186.22</v>
      </c>
      <c r="F456">
        <v>33.770000000000003</v>
      </c>
      <c r="G456">
        <v>3</v>
      </c>
      <c r="H456">
        <f t="shared" si="7"/>
        <v>61207.979999999989</v>
      </c>
      <c r="I456" t="str">
        <f>IF(Sheet1[[#This Row],[Month_Revenue]] &lt; AVERAGE(Sheet1[Month_Revenue]), "Off-Peak", "Peak")</f>
        <v>Peak</v>
      </c>
      <c r="J456">
        <f xml:space="preserve"> IF(Sheet1[[#This Row],[Ad Spend]] &gt; 0, (Sheet1[[#This Row],[Profit]] / Sheet1[[#This Row],[Ad Spend]]), 0)</f>
        <v>4.5143618596387318</v>
      </c>
      <c r="K456">
        <f>Sheet1[[#This Row],[Revenue]]-Sheet1[[#This Row],[Ad Spend]]</f>
        <v>152.44999999999999</v>
      </c>
      <c r="L456" s="2" t="s">
        <v>14</v>
      </c>
      <c r="M456">
        <v>1</v>
      </c>
      <c r="N456" s="2" t="s">
        <v>15</v>
      </c>
      <c r="O456">
        <v>62.073333333333331</v>
      </c>
    </row>
    <row r="457" spans="1:15" x14ac:dyDescent="0.3">
      <c r="A457" s="1">
        <v>45352</v>
      </c>
      <c r="B457" s="2" t="s">
        <v>16</v>
      </c>
      <c r="C457" s="2" t="s">
        <v>21</v>
      </c>
      <c r="D457" s="2" t="s">
        <v>13</v>
      </c>
      <c r="E457">
        <v>122.8</v>
      </c>
      <c r="F457">
        <v>45.51</v>
      </c>
      <c r="G457">
        <v>1</v>
      </c>
      <c r="H457">
        <f t="shared" si="7"/>
        <v>54735.250000000029</v>
      </c>
      <c r="I457" t="str">
        <f>IF(Sheet1[[#This Row],[Month_Revenue]] &lt; AVERAGE(Sheet1[Month_Revenue]), "Off-Peak", "Peak")</f>
        <v>Off-Peak</v>
      </c>
      <c r="J457">
        <f xml:space="preserve"> IF(Sheet1[[#This Row],[Ad Spend]] &gt; 0, (Sheet1[[#This Row],[Profit]] / Sheet1[[#This Row],[Ad Spend]]), 0)</f>
        <v>1.6983080641617225</v>
      </c>
      <c r="K457">
        <f>Sheet1[[#This Row],[Revenue]]-Sheet1[[#This Row],[Ad Spend]]</f>
        <v>77.289999999999992</v>
      </c>
      <c r="L457" s="2" t="s">
        <v>22</v>
      </c>
      <c r="M457">
        <v>3</v>
      </c>
      <c r="N457" s="2" t="s">
        <v>19</v>
      </c>
      <c r="O457">
        <v>122.8</v>
      </c>
    </row>
    <row r="458" spans="1:15" x14ac:dyDescent="0.3">
      <c r="A458" s="1">
        <v>45324</v>
      </c>
      <c r="B458" s="2" t="s">
        <v>24</v>
      </c>
      <c r="C458" s="2" t="s">
        <v>17</v>
      </c>
      <c r="D458" s="2" t="s">
        <v>13</v>
      </c>
      <c r="E458">
        <v>29.6</v>
      </c>
      <c r="F458">
        <v>43</v>
      </c>
      <c r="G458">
        <v>1</v>
      </c>
      <c r="H458">
        <f t="shared" si="7"/>
        <v>48675.899999999936</v>
      </c>
      <c r="I458" t="str">
        <f>IF(Sheet1[[#This Row],[Month_Revenue]] &lt; AVERAGE(Sheet1[Month_Revenue]), "Off-Peak", "Peak")</f>
        <v>Off-Peak</v>
      </c>
      <c r="J458">
        <f xml:space="preserve"> IF(Sheet1[[#This Row],[Ad Spend]] &gt; 0, (Sheet1[[#This Row],[Profit]] / Sheet1[[#This Row],[Ad Spend]]), 0)</f>
        <v>-0.31162790697674414</v>
      </c>
      <c r="K458">
        <f>Sheet1[[#This Row],[Revenue]]-Sheet1[[#This Row],[Ad Spend]]</f>
        <v>-13.399999999999999</v>
      </c>
      <c r="L458" s="2" t="s">
        <v>14</v>
      </c>
      <c r="M458">
        <v>2</v>
      </c>
      <c r="N458" s="2" t="s">
        <v>15</v>
      </c>
      <c r="O458">
        <v>29.6</v>
      </c>
    </row>
    <row r="459" spans="1:15" x14ac:dyDescent="0.3">
      <c r="A459" s="1">
        <v>45344</v>
      </c>
      <c r="B459" s="2" t="s">
        <v>24</v>
      </c>
      <c r="C459" s="2" t="s">
        <v>21</v>
      </c>
      <c r="D459" s="2" t="s">
        <v>13</v>
      </c>
      <c r="E459">
        <v>159.68</v>
      </c>
      <c r="F459">
        <v>8.2100000000000009</v>
      </c>
      <c r="G459">
        <v>0</v>
      </c>
      <c r="H459">
        <f t="shared" si="7"/>
        <v>48675.899999999936</v>
      </c>
      <c r="I459" t="str">
        <f>IF(Sheet1[[#This Row],[Month_Revenue]] &lt; AVERAGE(Sheet1[Month_Revenue]), "Off-Peak", "Peak")</f>
        <v>Off-Peak</v>
      </c>
      <c r="J459">
        <f xml:space="preserve"> IF(Sheet1[[#This Row],[Ad Spend]] &gt; 0, (Sheet1[[#This Row],[Profit]] / Sheet1[[#This Row],[Ad Spend]]), 0)</f>
        <v>18.449451887941532</v>
      </c>
      <c r="K459">
        <f>Sheet1[[#This Row],[Revenue]]-Sheet1[[#This Row],[Ad Spend]]</f>
        <v>151.47</v>
      </c>
      <c r="L459" s="2" t="s">
        <v>14</v>
      </c>
      <c r="M459">
        <v>2</v>
      </c>
      <c r="N459" s="2" t="s">
        <v>15</v>
      </c>
      <c r="O459">
        <v>0</v>
      </c>
    </row>
    <row r="460" spans="1:15" x14ac:dyDescent="0.3">
      <c r="A460" s="1">
        <v>45312</v>
      </c>
      <c r="B460" s="2" t="s">
        <v>24</v>
      </c>
      <c r="C460" s="2" t="s">
        <v>12</v>
      </c>
      <c r="D460" s="2" t="s">
        <v>18</v>
      </c>
      <c r="E460">
        <v>88.38</v>
      </c>
      <c r="F460">
        <v>18.510000000000002</v>
      </c>
      <c r="G460">
        <v>1</v>
      </c>
      <c r="H460">
        <f t="shared" si="7"/>
        <v>61207.979999999989</v>
      </c>
      <c r="I460" t="str">
        <f>IF(Sheet1[[#This Row],[Month_Revenue]] &lt; AVERAGE(Sheet1[Month_Revenue]), "Off-Peak", "Peak")</f>
        <v>Peak</v>
      </c>
      <c r="J460">
        <f xml:space="preserve"> IF(Sheet1[[#This Row],[Ad Spend]] &gt; 0, (Sheet1[[#This Row],[Profit]] / Sheet1[[#This Row],[Ad Spend]]), 0)</f>
        <v>3.7747163695299828</v>
      </c>
      <c r="K460">
        <f>Sheet1[[#This Row],[Revenue]]-Sheet1[[#This Row],[Ad Spend]]</f>
        <v>69.86999999999999</v>
      </c>
      <c r="L460" s="2" t="s">
        <v>14</v>
      </c>
      <c r="M460">
        <v>1</v>
      </c>
      <c r="N460" s="2" t="s">
        <v>15</v>
      </c>
      <c r="O460">
        <v>88.38</v>
      </c>
    </row>
    <row r="461" spans="1:15" x14ac:dyDescent="0.3">
      <c r="A461" s="1">
        <v>45410</v>
      </c>
      <c r="B461" s="2" t="s">
        <v>24</v>
      </c>
      <c r="C461" s="2" t="s">
        <v>17</v>
      </c>
      <c r="D461" s="2" t="s">
        <v>18</v>
      </c>
      <c r="E461">
        <v>136.84</v>
      </c>
      <c r="F461">
        <v>17.010000000000002</v>
      </c>
      <c r="G461">
        <v>0</v>
      </c>
      <c r="H461">
        <f t="shared" si="7"/>
        <v>58562.910000000018</v>
      </c>
      <c r="I461" t="str">
        <f>IF(Sheet1[[#This Row],[Month_Revenue]] &lt; AVERAGE(Sheet1[Month_Revenue]), "Off-Peak", "Peak")</f>
        <v>Peak</v>
      </c>
      <c r="J461">
        <f xml:space="preserve"> IF(Sheet1[[#This Row],[Ad Spend]] &gt; 0, (Sheet1[[#This Row],[Profit]] / Sheet1[[#This Row],[Ad Spend]]), 0)</f>
        <v>7.0446796002351553</v>
      </c>
      <c r="K461">
        <f>Sheet1[[#This Row],[Revenue]]-Sheet1[[#This Row],[Ad Spend]]</f>
        <v>119.83</v>
      </c>
      <c r="L461" s="2" t="s">
        <v>14</v>
      </c>
      <c r="M461">
        <v>4</v>
      </c>
      <c r="N461" s="2" t="s">
        <v>19</v>
      </c>
      <c r="O461">
        <v>0</v>
      </c>
    </row>
    <row r="462" spans="1:15" x14ac:dyDescent="0.3">
      <c r="A462" s="1">
        <v>45333</v>
      </c>
      <c r="B462" s="2" t="s">
        <v>20</v>
      </c>
      <c r="C462" s="2" t="s">
        <v>21</v>
      </c>
      <c r="D462" s="2" t="s">
        <v>13</v>
      </c>
      <c r="E462">
        <v>89.24</v>
      </c>
      <c r="F462">
        <v>34.75</v>
      </c>
      <c r="G462">
        <v>0</v>
      </c>
      <c r="H462">
        <f t="shared" si="7"/>
        <v>48675.899999999936</v>
      </c>
      <c r="I462" t="str">
        <f>IF(Sheet1[[#This Row],[Month_Revenue]] &lt; AVERAGE(Sheet1[Month_Revenue]), "Off-Peak", "Peak")</f>
        <v>Off-Peak</v>
      </c>
      <c r="J462">
        <f xml:space="preserve"> IF(Sheet1[[#This Row],[Ad Spend]] &gt; 0, (Sheet1[[#This Row],[Profit]] / Sheet1[[#This Row],[Ad Spend]]), 0)</f>
        <v>1.5680575539568344</v>
      </c>
      <c r="K462">
        <f>Sheet1[[#This Row],[Revenue]]-Sheet1[[#This Row],[Ad Spend]]</f>
        <v>54.489999999999995</v>
      </c>
      <c r="L462" s="2" t="s">
        <v>14</v>
      </c>
      <c r="M462">
        <v>2</v>
      </c>
      <c r="N462" s="2" t="s">
        <v>15</v>
      </c>
      <c r="O462">
        <v>0</v>
      </c>
    </row>
    <row r="463" spans="1:15" x14ac:dyDescent="0.3">
      <c r="A463" s="1">
        <v>45369</v>
      </c>
      <c r="B463" s="2" t="s">
        <v>20</v>
      </c>
      <c r="C463" s="2" t="s">
        <v>21</v>
      </c>
      <c r="D463" s="2" t="s">
        <v>13</v>
      </c>
      <c r="E463">
        <v>140.91</v>
      </c>
      <c r="F463">
        <v>37.47</v>
      </c>
      <c r="G463">
        <v>0</v>
      </c>
      <c r="H463">
        <f t="shared" si="7"/>
        <v>54735.250000000029</v>
      </c>
      <c r="I463" t="str">
        <f>IF(Sheet1[[#This Row],[Month_Revenue]] &lt; AVERAGE(Sheet1[Month_Revenue]), "Off-Peak", "Peak")</f>
        <v>Off-Peak</v>
      </c>
      <c r="J463">
        <f xml:space="preserve"> IF(Sheet1[[#This Row],[Ad Spend]] &gt; 0, (Sheet1[[#This Row],[Profit]] / Sheet1[[#This Row],[Ad Spend]]), 0)</f>
        <v>2.7606084867894314</v>
      </c>
      <c r="K463">
        <f>Sheet1[[#This Row],[Revenue]]-Sheet1[[#This Row],[Ad Spend]]</f>
        <v>103.44</v>
      </c>
      <c r="L463" s="2" t="s">
        <v>14</v>
      </c>
      <c r="M463">
        <v>3</v>
      </c>
      <c r="N463" s="2" t="s">
        <v>19</v>
      </c>
      <c r="O463">
        <v>0</v>
      </c>
    </row>
    <row r="464" spans="1:15" x14ac:dyDescent="0.3">
      <c r="A464" s="1">
        <v>45302</v>
      </c>
      <c r="B464" s="2" t="s">
        <v>24</v>
      </c>
      <c r="C464" s="2" t="s">
        <v>17</v>
      </c>
      <c r="D464" s="2" t="s">
        <v>13</v>
      </c>
      <c r="E464">
        <v>98.54</v>
      </c>
      <c r="F464">
        <v>32.11</v>
      </c>
      <c r="G464">
        <v>0</v>
      </c>
      <c r="H464">
        <f t="shared" si="7"/>
        <v>61207.979999999989</v>
      </c>
      <c r="I464" t="str">
        <f>IF(Sheet1[[#This Row],[Month_Revenue]] &lt; AVERAGE(Sheet1[Month_Revenue]), "Off-Peak", "Peak")</f>
        <v>Peak</v>
      </c>
      <c r="J464">
        <f xml:space="preserve"> IF(Sheet1[[#This Row],[Ad Spend]] &gt; 0, (Sheet1[[#This Row],[Profit]] / Sheet1[[#This Row],[Ad Spend]]), 0)</f>
        <v>2.0688259109311744</v>
      </c>
      <c r="K464">
        <f>Sheet1[[#This Row],[Revenue]]-Sheet1[[#This Row],[Ad Spend]]</f>
        <v>66.430000000000007</v>
      </c>
      <c r="L464" s="2" t="s">
        <v>22</v>
      </c>
      <c r="M464">
        <v>1</v>
      </c>
      <c r="N464" s="2" t="s">
        <v>15</v>
      </c>
      <c r="O464">
        <v>0</v>
      </c>
    </row>
    <row r="465" spans="1:15" x14ac:dyDescent="0.3">
      <c r="A465" s="1">
        <v>45306</v>
      </c>
      <c r="B465" s="2" t="s">
        <v>24</v>
      </c>
      <c r="C465" s="2" t="s">
        <v>17</v>
      </c>
      <c r="D465" s="2" t="s">
        <v>18</v>
      </c>
      <c r="E465">
        <v>130.29</v>
      </c>
      <c r="F465">
        <v>9.5299999999999994</v>
      </c>
      <c r="G465">
        <v>3</v>
      </c>
      <c r="H465">
        <f t="shared" si="7"/>
        <v>61207.979999999989</v>
      </c>
      <c r="I465" t="str">
        <f>IF(Sheet1[[#This Row],[Month_Revenue]] &lt; AVERAGE(Sheet1[Month_Revenue]), "Off-Peak", "Peak")</f>
        <v>Peak</v>
      </c>
      <c r="J465">
        <f xml:space="preserve"> IF(Sheet1[[#This Row],[Ad Spend]] &gt; 0, (Sheet1[[#This Row],[Profit]] / Sheet1[[#This Row],[Ad Spend]]), 0)</f>
        <v>12.671563483735572</v>
      </c>
      <c r="K465">
        <f>Sheet1[[#This Row],[Revenue]]-Sheet1[[#This Row],[Ad Spend]]</f>
        <v>120.75999999999999</v>
      </c>
      <c r="L465" s="2" t="s">
        <v>22</v>
      </c>
      <c r="M465">
        <v>1</v>
      </c>
      <c r="N465" s="2" t="s">
        <v>15</v>
      </c>
      <c r="O465">
        <v>43.43</v>
      </c>
    </row>
    <row r="466" spans="1:15" x14ac:dyDescent="0.3">
      <c r="A466" s="1">
        <v>45390</v>
      </c>
      <c r="B466" s="2" t="s">
        <v>23</v>
      </c>
      <c r="C466" s="2" t="s">
        <v>12</v>
      </c>
      <c r="D466" s="2" t="s">
        <v>13</v>
      </c>
      <c r="E466">
        <v>148.34</v>
      </c>
      <c r="F466">
        <v>44.42</v>
      </c>
      <c r="G466">
        <v>2</v>
      </c>
      <c r="H466">
        <f t="shared" si="7"/>
        <v>58562.910000000018</v>
      </c>
      <c r="I466" t="str">
        <f>IF(Sheet1[[#This Row],[Month_Revenue]] &lt; AVERAGE(Sheet1[Month_Revenue]), "Off-Peak", "Peak")</f>
        <v>Peak</v>
      </c>
      <c r="J466">
        <f xml:space="preserve"> IF(Sheet1[[#This Row],[Ad Spend]] &gt; 0, (Sheet1[[#This Row],[Profit]] / Sheet1[[#This Row],[Ad Spend]]), 0)</f>
        <v>2.339486717694732</v>
      </c>
      <c r="K466">
        <f>Sheet1[[#This Row],[Revenue]]-Sheet1[[#This Row],[Ad Spend]]</f>
        <v>103.92</v>
      </c>
      <c r="L466" s="2" t="s">
        <v>22</v>
      </c>
      <c r="M466">
        <v>4</v>
      </c>
      <c r="N466" s="2" t="s">
        <v>19</v>
      </c>
      <c r="O466">
        <v>74.17</v>
      </c>
    </row>
    <row r="467" spans="1:15" x14ac:dyDescent="0.3">
      <c r="A467" s="1">
        <v>45331</v>
      </c>
      <c r="B467" s="2" t="s">
        <v>20</v>
      </c>
      <c r="C467" s="2" t="s">
        <v>21</v>
      </c>
      <c r="D467" s="2" t="s">
        <v>18</v>
      </c>
      <c r="E467">
        <v>161.75</v>
      </c>
      <c r="F467">
        <v>28.98</v>
      </c>
      <c r="G467">
        <v>3</v>
      </c>
      <c r="H467">
        <f t="shared" si="7"/>
        <v>48675.899999999936</v>
      </c>
      <c r="I467" t="str">
        <f>IF(Sheet1[[#This Row],[Month_Revenue]] &lt; AVERAGE(Sheet1[Month_Revenue]), "Off-Peak", "Peak")</f>
        <v>Off-Peak</v>
      </c>
      <c r="J467">
        <f xml:space="preserve"> IF(Sheet1[[#This Row],[Ad Spend]] &gt; 0, (Sheet1[[#This Row],[Profit]] / Sheet1[[#This Row],[Ad Spend]]), 0)</f>
        <v>4.5814354727398205</v>
      </c>
      <c r="K467">
        <f>Sheet1[[#This Row],[Revenue]]-Sheet1[[#This Row],[Ad Spend]]</f>
        <v>132.77000000000001</v>
      </c>
      <c r="L467" s="2" t="s">
        <v>22</v>
      </c>
      <c r="M467">
        <v>2</v>
      </c>
      <c r="N467" s="2" t="s">
        <v>15</v>
      </c>
      <c r="O467">
        <v>53.916666666666664</v>
      </c>
    </row>
    <row r="468" spans="1:15" x14ac:dyDescent="0.3">
      <c r="A468" s="1">
        <v>45311</v>
      </c>
      <c r="B468" s="2" t="s">
        <v>20</v>
      </c>
      <c r="C468" s="2" t="s">
        <v>17</v>
      </c>
      <c r="D468" s="2" t="s">
        <v>18</v>
      </c>
      <c r="E468">
        <v>106.48</v>
      </c>
      <c r="F468">
        <v>19.62</v>
      </c>
      <c r="G468">
        <v>3</v>
      </c>
      <c r="H468">
        <f t="shared" si="7"/>
        <v>61207.979999999989</v>
      </c>
      <c r="I468" t="str">
        <f>IF(Sheet1[[#This Row],[Month_Revenue]] &lt; AVERAGE(Sheet1[Month_Revenue]), "Off-Peak", "Peak")</f>
        <v>Peak</v>
      </c>
      <c r="J468">
        <f xml:space="preserve"> IF(Sheet1[[#This Row],[Ad Spend]] &gt; 0, (Sheet1[[#This Row],[Profit]] / Sheet1[[#This Row],[Ad Spend]]), 0)</f>
        <v>4.4271151885830786</v>
      </c>
      <c r="K468">
        <f>Sheet1[[#This Row],[Revenue]]-Sheet1[[#This Row],[Ad Spend]]</f>
        <v>86.86</v>
      </c>
      <c r="L468" s="2" t="s">
        <v>14</v>
      </c>
      <c r="M468">
        <v>1</v>
      </c>
      <c r="N468" s="2" t="s">
        <v>15</v>
      </c>
      <c r="O468">
        <v>35.493333333333332</v>
      </c>
    </row>
    <row r="469" spans="1:15" x14ac:dyDescent="0.3">
      <c r="A469" s="1">
        <v>45388</v>
      </c>
      <c r="B469" s="2" t="s">
        <v>24</v>
      </c>
      <c r="C469" s="2" t="s">
        <v>17</v>
      </c>
      <c r="D469" s="2" t="s">
        <v>18</v>
      </c>
      <c r="E469">
        <v>184.12</v>
      </c>
      <c r="F469">
        <v>13.15</v>
      </c>
      <c r="G469">
        <v>0</v>
      </c>
      <c r="H469">
        <f t="shared" si="7"/>
        <v>58562.910000000018</v>
      </c>
      <c r="I469" t="str">
        <f>IF(Sheet1[[#This Row],[Month_Revenue]] &lt; AVERAGE(Sheet1[Month_Revenue]), "Off-Peak", "Peak")</f>
        <v>Peak</v>
      </c>
      <c r="J469">
        <f xml:space="preserve"> IF(Sheet1[[#This Row],[Ad Spend]] &gt; 0, (Sheet1[[#This Row],[Profit]] / Sheet1[[#This Row],[Ad Spend]]), 0)</f>
        <v>13.001520912547528</v>
      </c>
      <c r="K469">
        <f>Sheet1[[#This Row],[Revenue]]-Sheet1[[#This Row],[Ad Spend]]</f>
        <v>170.97</v>
      </c>
      <c r="L469" s="2" t="s">
        <v>22</v>
      </c>
      <c r="M469">
        <v>4</v>
      </c>
      <c r="N469" s="2" t="s">
        <v>19</v>
      </c>
      <c r="O469">
        <v>0</v>
      </c>
    </row>
    <row r="470" spans="1:15" x14ac:dyDescent="0.3">
      <c r="A470" s="1">
        <v>45385</v>
      </c>
      <c r="B470" s="2" t="s">
        <v>20</v>
      </c>
      <c r="C470" s="2" t="s">
        <v>21</v>
      </c>
      <c r="D470" s="2" t="s">
        <v>18</v>
      </c>
      <c r="E470">
        <v>21.99</v>
      </c>
      <c r="F470">
        <v>13.4</v>
      </c>
      <c r="G470">
        <v>3</v>
      </c>
      <c r="H470">
        <f t="shared" si="7"/>
        <v>58562.910000000018</v>
      </c>
      <c r="I470" t="str">
        <f>IF(Sheet1[[#This Row],[Month_Revenue]] &lt; AVERAGE(Sheet1[Month_Revenue]), "Off-Peak", "Peak")</f>
        <v>Peak</v>
      </c>
      <c r="J470">
        <f xml:space="preserve"> IF(Sheet1[[#This Row],[Ad Spend]] &gt; 0, (Sheet1[[#This Row],[Profit]] / Sheet1[[#This Row],[Ad Spend]]), 0)</f>
        <v>0.6410447761194028</v>
      </c>
      <c r="K470">
        <f>Sheet1[[#This Row],[Revenue]]-Sheet1[[#This Row],[Ad Spend]]</f>
        <v>8.5899999999999981</v>
      </c>
      <c r="L470" s="2" t="s">
        <v>14</v>
      </c>
      <c r="M470">
        <v>4</v>
      </c>
      <c r="N470" s="2" t="s">
        <v>19</v>
      </c>
      <c r="O470">
        <v>7.3299999999999992</v>
      </c>
    </row>
    <row r="471" spans="1:15" x14ac:dyDescent="0.3">
      <c r="A471" s="1">
        <v>45353</v>
      </c>
      <c r="B471" s="2" t="s">
        <v>16</v>
      </c>
      <c r="C471" s="2" t="s">
        <v>21</v>
      </c>
      <c r="D471" s="2" t="s">
        <v>13</v>
      </c>
      <c r="E471">
        <v>20.96</v>
      </c>
      <c r="F471">
        <v>4.33</v>
      </c>
      <c r="G471">
        <v>1</v>
      </c>
      <c r="H471">
        <f t="shared" si="7"/>
        <v>54735.250000000029</v>
      </c>
      <c r="I471" t="str">
        <f>IF(Sheet1[[#This Row],[Month_Revenue]] &lt; AVERAGE(Sheet1[Month_Revenue]), "Off-Peak", "Peak")</f>
        <v>Off-Peak</v>
      </c>
      <c r="J471">
        <f xml:space="preserve"> IF(Sheet1[[#This Row],[Ad Spend]] &gt; 0, (Sheet1[[#This Row],[Profit]] / Sheet1[[#This Row],[Ad Spend]]), 0)</f>
        <v>3.8406466512702084</v>
      </c>
      <c r="K471">
        <f>Sheet1[[#This Row],[Revenue]]-Sheet1[[#This Row],[Ad Spend]]</f>
        <v>16.630000000000003</v>
      </c>
      <c r="L471" s="2" t="s">
        <v>14</v>
      </c>
      <c r="M471">
        <v>3</v>
      </c>
      <c r="N471" s="2" t="s">
        <v>19</v>
      </c>
      <c r="O471">
        <v>20.96</v>
      </c>
    </row>
    <row r="472" spans="1:15" x14ac:dyDescent="0.3">
      <c r="A472" s="1">
        <v>45392</v>
      </c>
      <c r="B472" s="2" t="s">
        <v>24</v>
      </c>
      <c r="C472" s="2" t="s">
        <v>21</v>
      </c>
      <c r="D472" s="2" t="s">
        <v>13</v>
      </c>
      <c r="E472">
        <v>63.49</v>
      </c>
      <c r="F472">
        <v>14.82</v>
      </c>
      <c r="G472">
        <v>0</v>
      </c>
      <c r="H472">
        <f t="shared" si="7"/>
        <v>58562.910000000018</v>
      </c>
      <c r="I472" t="str">
        <f>IF(Sheet1[[#This Row],[Month_Revenue]] &lt; AVERAGE(Sheet1[Month_Revenue]), "Off-Peak", "Peak")</f>
        <v>Peak</v>
      </c>
      <c r="J472">
        <f xml:space="preserve"> IF(Sheet1[[#This Row],[Ad Spend]] &gt; 0, (Sheet1[[#This Row],[Profit]] / Sheet1[[#This Row],[Ad Spend]]), 0)</f>
        <v>3.2840755735492579</v>
      </c>
      <c r="K472">
        <f>Sheet1[[#This Row],[Revenue]]-Sheet1[[#This Row],[Ad Spend]]</f>
        <v>48.67</v>
      </c>
      <c r="L472" s="2" t="s">
        <v>14</v>
      </c>
      <c r="M472">
        <v>4</v>
      </c>
      <c r="N472" s="2" t="s">
        <v>19</v>
      </c>
      <c r="O472">
        <v>0</v>
      </c>
    </row>
    <row r="473" spans="1:15" x14ac:dyDescent="0.3">
      <c r="A473" s="1">
        <v>45317</v>
      </c>
      <c r="B473" s="2" t="s">
        <v>24</v>
      </c>
      <c r="C473" s="2" t="s">
        <v>17</v>
      </c>
      <c r="D473" s="2" t="s">
        <v>18</v>
      </c>
      <c r="E473">
        <v>125.96</v>
      </c>
      <c r="F473">
        <v>41.75</v>
      </c>
      <c r="G473">
        <v>3</v>
      </c>
      <c r="H473">
        <f t="shared" si="7"/>
        <v>61207.979999999989</v>
      </c>
      <c r="I473" t="str">
        <f>IF(Sheet1[[#This Row],[Month_Revenue]] &lt; AVERAGE(Sheet1[Month_Revenue]), "Off-Peak", "Peak")</f>
        <v>Peak</v>
      </c>
      <c r="J473">
        <f xml:space="preserve"> IF(Sheet1[[#This Row],[Ad Spend]] &gt; 0, (Sheet1[[#This Row],[Profit]] / Sheet1[[#This Row],[Ad Spend]]), 0)</f>
        <v>2.0170059880239521</v>
      </c>
      <c r="K473">
        <f>Sheet1[[#This Row],[Revenue]]-Sheet1[[#This Row],[Ad Spend]]</f>
        <v>84.21</v>
      </c>
      <c r="L473" s="2" t="s">
        <v>22</v>
      </c>
      <c r="M473">
        <v>1</v>
      </c>
      <c r="N473" s="2" t="s">
        <v>15</v>
      </c>
      <c r="O473">
        <v>41.986666666666665</v>
      </c>
    </row>
    <row r="474" spans="1:15" x14ac:dyDescent="0.3">
      <c r="A474" s="1">
        <v>45411</v>
      </c>
      <c r="B474" s="2" t="s">
        <v>23</v>
      </c>
      <c r="C474" s="2" t="s">
        <v>17</v>
      </c>
      <c r="D474" s="2" t="s">
        <v>18</v>
      </c>
      <c r="E474">
        <v>138.29</v>
      </c>
      <c r="F474">
        <v>25.65</v>
      </c>
      <c r="G474">
        <v>3</v>
      </c>
      <c r="H474">
        <f t="shared" si="7"/>
        <v>58562.910000000018</v>
      </c>
      <c r="I474" t="str">
        <f>IF(Sheet1[[#This Row],[Month_Revenue]] &lt; AVERAGE(Sheet1[Month_Revenue]), "Off-Peak", "Peak")</f>
        <v>Peak</v>
      </c>
      <c r="J474">
        <f xml:space="preserve"> IF(Sheet1[[#This Row],[Ad Spend]] &gt; 0, (Sheet1[[#This Row],[Profit]] / Sheet1[[#This Row],[Ad Spend]]), 0)</f>
        <v>4.3914230019493177</v>
      </c>
      <c r="K474">
        <f>Sheet1[[#This Row],[Revenue]]-Sheet1[[#This Row],[Ad Spend]]</f>
        <v>112.63999999999999</v>
      </c>
      <c r="L474" s="2" t="s">
        <v>22</v>
      </c>
      <c r="M474">
        <v>4</v>
      </c>
      <c r="N474" s="2" t="s">
        <v>19</v>
      </c>
      <c r="O474">
        <v>46.096666666666664</v>
      </c>
    </row>
    <row r="475" spans="1:15" x14ac:dyDescent="0.3">
      <c r="A475" s="1">
        <v>45392</v>
      </c>
      <c r="B475" s="2" t="s">
        <v>24</v>
      </c>
      <c r="C475" s="2" t="s">
        <v>21</v>
      </c>
      <c r="D475" s="2" t="s">
        <v>13</v>
      </c>
      <c r="E475">
        <v>134.76</v>
      </c>
      <c r="F475">
        <v>11.12</v>
      </c>
      <c r="G475">
        <v>3</v>
      </c>
      <c r="H475">
        <f t="shared" si="7"/>
        <v>58562.910000000018</v>
      </c>
      <c r="I475" t="str">
        <f>IF(Sheet1[[#This Row],[Month_Revenue]] &lt; AVERAGE(Sheet1[Month_Revenue]), "Off-Peak", "Peak")</f>
        <v>Peak</v>
      </c>
      <c r="J475">
        <f xml:space="preserve"> IF(Sheet1[[#This Row],[Ad Spend]] &gt; 0, (Sheet1[[#This Row],[Profit]] / Sheet1[[#This Row],[Ad Spend]]), 0)</f>
        <v>11.118705035971223</v>
      </c>
      <c r="K475">
        <f>Sheet1[[#This Row],[Revenue]]-Sheet1[[#This Row],[Ad Spend]]</f>
        <v>123.63999999999999</v>
      </c>
      <c r="L475" s="2" t="s">
        <v>22</v>
      </c>
      <c r="M475">
        <v>4</v>
      </c>
      <c r="N475" s="2" t="s">
        <v>19</v>
      </c>
      <c r="O475">
        <v>44.919999999999995</v>
      </c>
    </row>
    <row r="476" spans="1:15" x14ac:dyDescent="0.3">
      <c r="A476" s="1">
        <v>45321</v>
      </c>
      <c r="B476" s="2" t="s">
        <v>20</v>
      </c>
      <c r="C476" s="2" t="s">
        <v>17</v>
      </c>
      <c r="D476" s="2" t="s">
        <v>18</v>
      </c>
      <c r="E476">
        <v>51.65</v>
      </c>
      <c r="F476">
        <v>38.24</v>
      </c>
      <c r="G476">
        <v>2</v>
      </c>
      <c r="H476">
        <f t="shared" si="7"/>
        <v>61207.979999999989</v>
      </c>
      <c r="I476" t="str">
        <f>IF(Sheet1[[#This Row],[Month_Revenue]] &lt; AVERAGE(Sheet1[Month_Revenue]), "Off-Peak", "Peak")</f>
        <v>Peak</v>
      </c>
      <c r="J476">
        <f xml:space="preserve"> IF(Sheet1[[#This Row],[Ad Spend]] &gt; 0, (Sheet1[[#This Row],[Profit]] / Sheet1[[#This Row],[Ad Spend]]), 0)</f>
        <v>0.3506799163179915</v>
      </c>
      <c r="K476">
        <f>Sheet1[[#This Row],[Revenue]]-Sheet1[[#This Row],[Ad Spend]]</f>
        <v>13.409999999999997</v>
      </c>
      <c r="L476" s="2" t="s">
        <v>22</v>
      </c>
      <c r="M476">
        <v>1</v>
      </c>
      <c r="N476" s="2" t="s">
        <v>15</v>
      </c>
      <c r="O476">
        <v>25.824999999999999</v>
      </c>
    </row>
    <row r="477" spans="1:15" x14ac:dyDescent="0.3">
      <c r="A477" s="1">
        <v>45320</v>
      </c>
      <c r="B477" s="2" t="s">
        <v>16</v>
      </c>
      <c r="C477" s="2" t="s">
        <v>17</v>
      </c>
      <c r="D477" s="2" t="s">
        <v>13</v>
      </c>
      <c r="E477">
        <v>91.2</v>
      </c>
      <c r="F477">
        <v>41.21</v>
      </c>
      <c r="G477">
        <v>3</v>
      </c>
      <c r="H477">
        <f t="shared" si="7"/>
        <v>61207.979999999989</v>
      </c>
      <c r="I477" t="str">
        <f>IF(Sheet1[[#This Row],[Month_Revenue]] &lt; AVERAGE(Sheet1[Month_Revenue]), "Off-Peak", "Peak")</f>
        <v>Peak</v>
      </c>
      <c r="J477">
        <f xml:space="preserve"> IF(Sheet1[[#This Row],[Ad Spend]] &gt; 0, (Sheet1[[#This Row],[Profit]] / Sheet1[[#This Row],[Ad Spend]]), 0)</f>
        <v>1.2130550837175442</v>
      </c>
      <c r="K477">
        <f>Sheet1[[#This Row],[Revenue]]-Sheet1[[#This Row],[Ad Spend]]</f>
        <v>49.99</v>
      </c>
      <c r="L477" s="2" t="s">
        <v>22</v>
      </c>
      <c r="M477">
        <v>1</v>
      </c>
      <c r="N477" s="2" t="s">
        <v>15</v>
      </c>
      <c r="O477">
        <v>30.400000000000002</v>
      </c>
    </row>
    <row r="478" spans="1:15" x14ac:dyDescent="0.3">
      <c r="A478" s="1">
        <v>45381</v>
      </c>
      <c r="B478" s="2" t="s">
        <v>24</v>
      </c>
      <c r="C478" s="2" t="s">
        <v>12</v>
      </c>
      <c r="D478" s="2" t="s">
        <v>13</v>
      </c>
      <c r="E478">
        <v>124.49</v>
      </c>
      <c r="F478">
        <v>37.299999999999997</v>
      </c>
      <c r="G478">
        <v>3</v>
      </c>
      <c r="H478">
        <f t="shared" si="7"/>
        <v>54735.250000000029</v>
      </c>
      <c r="I478" t="str">
        <f>IF(Sheet1[[#This Row],[Month_Revenue]] &lt; AVERAGE(Sheet1[Month_Revenue]), "Off-Peak", "Peak")</f>
        <v>Off-Peak</v>
      </c>
      <c r="J478">
        <f xml:space="preserve"> IF(Sheet1[[#This Row],[Ad Spend]] &gt; 0, (Sheet1[[#This Row],[Profit]] / Sheet1[[#This Row],[Ad Spend]]), 0)</f>
        <v>2.3375335120643435</v>
      </c>
      <c r="K478">
        <f>Sheet1[[#This Row],[Revenue]]-Sheet1[[#This Row],[Ad Spend]]</f>
        <v>87.19</v>
      </c>
      <c r="L478" s="2" t="s">
        <v>22</v>
      </c>
      <c r="M478">
        <v>3</v>
      </c>
      <c r="N478" s="2" t="s">
        <v>19</v>
      </c>
      <c r="O478">
        <v>41.496666666666663</v>
      </c>
    </row>
    <row r="479" spans="1:15" x14ac:dyDescent="0.3">
      <c r="A479" s="1">
        <v>45348</v>
      </c>
      <c r="B479" s="2" t="s">
        <v>23</v>
      </c>
      <c r="C479" s="2" t="s">
        <v>12</v>
      </c>
      <c r="D479" s="2" t="s">
        <v>18</v>
      </c>
      <c r="E479">
        <v>187.78</v>
      </c>
      <c r="F479">
        <v>24.8</v>
      </c>
      <c r="G479">
        <v>3</v>
      </c>
      <c r="H479">
        <f t="shared" si="7"/>
        <v>48675.899999999936</v>
      </c>
      <c r="I479" t="str">
        <f>IF(Sheet1[[#This Row],[Month_Revenue]] &lt; AVERAGE(Sheet1[Month_Revenue]), "Off-Peak", "Peak")</f>
        <v>Off-Peak</v>
      </c>
      <c r="J479">
        <f xml:space="preserve"> IF(Sheet1[[#This Row],[Ad Spend]] &gt; 0, (Sheet1[[#This Row],[Profit]] / Sheet1[[#This Row],[Ad Spend]]), 0)</f>
        <v>6.5717741935483867</v>
      </c>
      <c r="K479">
        <f>Sheet1[[#This Row],[Revenue]]-Sheet1[[#This Row],[Ad Spend]]</f>
        <v>162.97999999999999</v>
      </c>
      <c r="L479" s="2" t="s">
        <v>14</v>
      </c>
      <c r="M479">
        <v>2</v>
      </c>
      <c r="N479" s="2" t="s">
        <v>15</v>
      </c>
      <c r="O479">
        <v>62.593333333333334</v>
      </c>
    </row>
    <row r="480" spans="1:15" x14ac:dyDescent="0.3">
      <c r="A480" s="1">
        <v>45311</v>
      </c>
      <c r="B480" s="2" t="s">
        <v>11</v>
      </c>
      <c r="C480" s="2" t="s">
        <v>21</v>
      </c>
      <c r="D480" s="2" t="s">
        <v>13</v>
      </c>
      <c r="E480">
        <v>90.1</v>
      </c>
      <c r="F480">
        <v>44.51</v>
      </c>
      <c r="G480">
        <v>1</v>
      </c>
      <c r="H480">
        <f t="shared" si="7"/>
        <v>61207.979999999989</v>
      </c>
      <c r="I480" t="str">
        <f>IF(Sheet1[[#This Row],[Month_Revenue]] &lt; AVERAGE(Sheet1[Month_Revenue]), "Off-Peak", "Peak")</f>
        <v>Peak</v>
      </c>
      <c r="J480">
        <f xml:space="preserve"> IF(Sheet1[[#This Row],[Ad Spend]] &gt; 0, (Sheet1[[#This Row],[Profit]] / Sheet1[[#This Row],[Ad Spend]]), 0)</f>
        <v>1.0242642102898225</v>
      </c>
      <c r="K480">
        <f>Sheet1[[#This Row],[Revenue]]-Sheet1[[#This Row],[Ad Spend]]</f>
        <v>45.589999999999996</v>
      </c>
      <c r="L480" s="2" t="s">
        <v>14</v>
      </c>
      <c r="M480">
        <v>1</v>
      </c>
      <c r="N480" s="2" t="s">
        <v>15</v>
      </c>
      <c r="O480">
        <v>90.1</v>
      </c>
    </row>
    <row r="481" spans="1:15" x14ac:dyDescent="0.3">
      <c r="A481" s="1">
        <v>45389</v>
      </c>
      <c r="B481" s="2" t="s">
        <v>11</v>
      </c>
      <c r="C481" s="2" t="s">
        <v>12</v>
      </c>
      <c r="D481" s="2" t="s">
        <v>18</v>
      </c>
      <c r="E481">
        <v>176.6</v>
      </c>
      <c r="F481">
        <v>32.43</v>
      </c>
      <c r="G481">
        <v>1</v>
      </c>
      <c r="H481">
        <f t="shared" si="7"/>
        <v>58562.910000000018</v>
      </c>
      <c r="I481" t="str">
        <f>IF(Sheet1[[#This Row],[Month_Revenue]] &lt; AVERAGE(Sheet1[Month_Revenue]), "Off-Peak", "Peak")</f>
        <v>Peak</v>
      </c>
      <c r="J481">
        <f xml:space="preserve"> IF(Sheet1[[#This Row],[Ad Spend]] &gt; 0, (Sheet1[[#This Row],[Profit]] / Sheet1[[#This Row],[Ad Spend]]), 0)</f>
        <v>4.4455750847980262</v>
      </c>
      <c r="K481">
        <f>Sheet1[[#This Row],[Revenue]]-Sheet1[[#This Row],[Ad Spend]]</f>
        <v>144.16999999999999</v>
      </c>
      <c r="L481" s="2" t="s">
        <v>22</v>
      </c>
      <c r="M481">
        <v>4</v>
      </c>
      <c r="N481" s="2" t="s">
        <v>19</v>
      </c>
      <c r="O481">
        <v>176.6</v>
      </c>
    </row>
    <row r="482" spans="1:15" x14ac:dyDescent="0.3">
      <c r="A482" s="1">
        <v>45312</v>
      </c>
      <c r="B482" s="2" t="s">
        <v>11</v>
      </c>
      <c r="C482" s="2" t="s">
        <v>17</v>
      </c>
      <c r="D482" s="2" t="s">
        <v>18</v>
      </c>
      <c r="E482">
        <v>25.52</v>
      </c>
      <c r="F482">
        <v>28.5</v>
      </c>
      <c r="G482">
        <v>1</v>
      </c>
      <c r="H482">
        <f t="shared" si="7"/>
        <v>61207.979999999989</v>
      </c>
      <c r="I482" t="str">
        <f>IF(Sheet1[[#This Row],[Month_Revenue]] &lt; AVERAGE(Sheet1[Month_Revenue]), "Off-Peak", "Peak")</f>
        <v>Peak</v>
      </c>
      <c r="J482">
        <f xml:space="preserve"> IF(Sheet1[[#This Row],[Ad Spend]] &gt; 0, (Sheet1[[#This Row],[Profit]] / Sheet1[[#This Row],[Ad Spend]]), 0)</f>
        <v>-0.10456140350877194</v>
      </c>
      <c r="K482">
        <f>Sheet1[[#This Row],[Revenue]]-Sheet1[[#This Row],[Ad Spend]]</f>
        <v>-2.9800000000000004</v>
      </c>
      <c r="L482" s="2" t="s">
        <v>22</v>
      </c>
      <c r="M482">
        <v>1</v>
      </c>
      <c r="N482" s="2" t="s">
        <v>15</v>
      </c>
      <c r="O482">
        <v>25.52</v>
      </c>
    </row>
    <row r="483" spans="1:15" x14ac:dyDescent="0.3">
      <c r="A483" s="1">
        <v>45307</v>
      </c>
      <c r="B483" s="2" t="s">
        <v>16</v>
      </c>
      <c r="C483" s="2" t="s">
        <v>12</v>
      </c>
      <c r="D483" s="2" t="s">
        <v>18</v>
      </c>
      <c r="E483">
        <v>163.5</v>
      </c>
      <c r="F483">
        <v>12.74</v>
      </c>
      <c r="G483">
        <v>0</v>
      </c>
      <c r="H483">
        <f t="shared" si="7"/>
        <v>61207.979999999989</v>
      </c>
      <c r="I483" t="str">
        <f>IF(Sheet1[[#This Row],[Month_Revenue]] &lt; AVERAGE(Sheet1[Month_Revenue]), "Off-Peak", "Peak")</f>
        <v>Peak</v>
      </c>
      <c r="J483">
        <f xml:space="preserve"> IF(Sheet1[[#This Row],[Ad Spend]] &gt; 0, (Sheet1[[#This Row],[Profit]] / Sheet1[[#This Row],[Ad Spend]]), 0)</f>
        <v>11.833594976452119</v>
      </c>
      <c r="K483">
        <f>Sheet1[[#This Row],[Revenue]]-Sheet1[[#This Row],[Ad Spend]]</f>
        <v>150.76</v>
      </c>
      <c r="L483" s="2" t="s">
        <v>14</v>
      </c>
      <c r="M483">
        <v>1</v>
      </c>
      <c r="N483" s="2" t="s">
        <v>15</v>
      </c>
      <c r="O483">
        <v>0</v>
      </c>
    </row>
    <row r="484" spans="1:15" x14ac:dyDescent="0.3">
      <c r="A484" s="1">
        <v>45339</v>
      </c>
      <c r="B484" s="2" t="s">
        <v>23</v>
      </c>
      <c r="C484" s="2" t="s">
        <v>17</v>
      </c>
      <c r="D484" s="2" t="s">
        <v>18</v>
      </c>
      <c r="E484">
        <v>173.81</v>
      </c>
      <c r="F484">
        <v>20.399999999999999</v>
      </c>
      <c r="G484">
        <v>0</v>
      </c>
      <c r="H484">
        <f t="shared" si="7"/>
        <v>48675.899999999936</v>
      </c>
      <c r="I484" t="str">
        <f>IF(Sheet1[[#This Row],[Month_Revenue]] &lt; AVERAGE(Sheet1[Month_Revenue]), "Off-Peak", "Peak")</f>
        <v>Off-Peak</v>
      </c>
      <c r="J484">
        <f xml:space="preserve"> IF(Sheet1[[#This Row],[Ad Spend]] &gt; 0, (Sheet1[[#This Row],[Profit]] / Sheet1[[#This Row],[Ad Spend]]), 0)</f>
        <v>7.5200980392156866</v>
      </c>
      <c r="K484">
        <f>Sheet1[[#This Row],[Revenue]]-Sheet1[[#This Row],[Ad Spend]]</f>
        <v>153.41</v>
      </c>
      <c r="L484" s="2" t="s">
        <v>22</v>
      </c>
      <c r="M484">
        <v>2</v>
      </c>
      <c r="N484" s="2" t="s">
        <v>15</v>
      </c>
      <c r="O484">
        <v>0</v>
      </c>
    </row>
    <row r="485" spans="1:15" x14ac:dyDescent="0.3">
      <c r="A485" s="1">
        <v>45407</v>
      </c>
      <c r="B485" s="2" t="s">
        <v>11</v>
      </c>
      <c r="C485" s="2" t="s">
        <v>21</v>
      </c>
      <c r="D485" s="2" t="s">
        <v>13</v>
      </c>
      <c r="E485">
        <v>174.82</v>
      </c>
      <c r="F485">
        <v>4.74</v>
      </c>
      <c r="G485">
        <v>0</v>
      </c>
      <c r="H485">
        <f t="shared" si="7"/>
        <v>58562.910000000018</v>
      </c>
      <c r="I485" t="str">
        <f>IF(Sheet1[[#This Row],[Month_Revenue]] &lt; AVERAGE(Sheet1[Month_Revenue]), "Off-Peak", "Peak")</f>
        <v>Peak</v>
      </c>
      <c r="J485">
        <f xml:space="preserve"> IF(Sheet1[[#This Row],[Ad Spend]] &gt; 0, (Sheet1[[#This Row],[Profit]] / Sheet1[[#This Row],[Ad Spend]]), 0)</f>
        <v>35.881856540084385</v>
      </c>
      <c r="K485">
        <f>Sheet1[[#This Row],[Revenue]]-Sheet1[[#This Row],[Ad Spend]]</f>
        <v>170.07999999999998</v>
      </c>
      <c r="L485" s="2" t="s">
        <v>14</v>
      </c>
      <c r="M485">
        <v>4</v>
      </c>
      <c r="N485" s="2" t="s">
        <v>19</v>
      </c>
      <c r="O485">
        <v>0</v>
      </c>
    </row>
    <row r="486" spans="1:15" x14ac:dyDescent="0.3">
      <c r="A486" s="1">
        <v>45319</v>
      </c>
      <c r="B486" s="2" t="s">
        <v>16</v>
      </c>
      <c r="C486" s="2" t="s">
        <v>17</v>
      </c>
      <c r="D486" s="2" t="s">
        <v>13</v>
      </c>
      <c r="E486">
        <v>102.68</v>
      </c>
      <c r="F486">
        <v>0.21</v>
      </c>
      <c r="G486">
        <v>0</v>
      </c>
      <c r="H486">
        <f t="shared" si="7"/>
        <v>61207.979999999989</v>
      </c>
      <c r="I486" t="str">
        <f>IF(Sheet1[[#This Row],[Month_Revenue]] &lt; AVERAGE(Sheet1[Month_Revenue]), "Off-Peak", "Peak")</f>
        <v>Peak</v>
      </c>
      <c r="J486">
        <f xml:space="preserve"> IF(Sheet1[[#This Row],[Ad Spend]] &gt; 0, (Sheet1[[#This Row],[Profit]] / Sheet1[[#This Row],[Ad Spend]]), 0)</f>
        <v>487.95238095238102</v>
      </c>
      <c r="K486">
        <f>Sheet1[[#This Row],[Revenue]]-Sheet1[[#This Row],[Ad Spend]]</f>
        <v>102.47000000000001</v>
      </c>
      <c r="L486" s="2" t="s">
        <v>22</v>
      </c>
      <c r="M486">
        <v>1</v>
      </c>
      <c r="N486" s="2" t="s">
        <v>15</v>
      </c>
      <c r="O486">
        <v>0</v>
      </c>
    </row>
    <row r="487" spans="1:15" x14ac:dyDescent="0.3">
      <c r="A487" s="1">
        <v>45306</v>
      </c>
      <c r="B487" s="2" t="s">
        <v>20</v>
      </c>
      <c r="C487" s="2" t="s">
        <v>21</v>
      </c>
      <c r="D487" s="2" t="s">
        <v>13</v>
      </c>
      <c r="E487">
        <v>107.05</v>
      </c>
      <c r="F487">
        <v>10.039999999999999</v>
      </c>
      <c r="G487">
        <v>2</v>
      </c>
      <c r="H487">
        <f t="shared" si="7"/>
        <v>61207.979999999989</v>
      </c>
      <c r="I487" t="str">
        <f>IF(Sheet1[[#This Row],[Month_Revenue]] &lt; AVERAGE(Sheet1[Month_Revenue]), "Off-Peak", "Peak")</f>
        <v>Peak</v>
      </c>
      <c r="J487">
        <f xml:space="preserve"> IF(Sheet1[[#This Row],[Ad Spend]] &gt; 0, (Sheet1[[#This Row],[Profit]] / Sheet1[[#This Row],[Ad Spend]]), 0)</f>
        <v>9.6623505976095618</v>
      </c>
      <c r="K487">
        <f>Sheet1[[#This Row],[Revenue]]-Sheet1[[#This Row],[Ad Spend]]</f>
        <v>97.009999999999991</v>
      </c>
      <c r="L487" s="2" t="s">
        <v>22</v>
      </c>
      <c r="M487">
        <v>1</v>
      </c>
      <c r="N487" s="2" t="s">
        <v>15</v>
      </c>
      <c r="O487">
        <v>53.524999999999999</v>
      </c>
    </row>
    <row r="488" spans="1:15" x14ac:dyDescent="0.3">
      <c r="A488" s="1">
        <v>45310</v>
      </c>
      <c r="B488" s="2" t="s">
        <v>20</v>
      </c>
      <c r="C488" s="2" t="s">
        <v>21</v>
      </c>
      <c r="D488" s="2" t="s">
        <v>18</v>
      </c>
      <c r="E488">
        <v>83.2</v>
      </c>
      <c r="F488">
        <v>20.6</v>
      </c>
      <c r="G488">
        <v>1</v>
      </c>
      <c r="H488">
        <f t="shared" si="7"/>
        <v>61207.979999999989</v>
      </c>
      <c r="I488" t="str">
        <f>IF(Sheet1[[#This Row],[Month_Revenue]] &lt; AVERAGE(Sheet1[Month_Revenue]), "Off-Peak", "Peak")</f>
        <v>Peak</v>
      </c>
      <c r="J488">
        <f xml:space="preserve"> IF(Sheet1[[#This Row],[Ad Spend]] &gt; 0, (Sheet1[[#This Row],[Profit]] / Sheet1[[#This Row],[Ad Spend]]), 0)</f>
        <v>3.0388349514563107</v>
      </c>
      <c r="K488">
        <f>Sheet1[[#This Row],[Revenue]]-Sheet1[[#This Row],[Ad Spend]]</f>
        <v>62.6</v>
      </c>
      <c r="L488" s="2" t="s">
        <v>14</v>
      </c>
      <c r="M488">
        <v>1</v>
      </c>
      <c r="N488" s="2" t="s">
        <v>15</v>
      </c>
      <c r="O488">
        <v>83.2</v>
      </c>
    </row>
    <row r="489" spans="1:15" x14ac:dyDescent="0.3">
      <c r="A489" s="1">
        <v>45330</v>
      </c>
      <c r="B489" s="2" t="s">
        <v>11</v>
      </c>
      <c r="C489" s="2" t="s">
        <v>12</v>
      </c>
      <c r="D489" s="2" t="s">
        <v>13</v>
      </c>
      <c r="E489">
        <v>117.82</v>
      </c>
      <c r="F489">
        <v>43.57</v>
      </c>
      <c r="G489">
        <v>3</v>
      </c>
      <c r="H489">
        <f t="shared" si="7"/>
        <v>48675.899999999936</v>
      </c>
      <c r="I489" t="str">
        <f>IF(Sheet1[[#This Row],[Month_Revenue]] &lt; AVERAGE(Sheet1[Month_Revenue]), "Off-Peak", "Peak")</f>
        <v>Off-Peak</v>
      </c>
      <c r="J489">
        <f xml:space="preserve"> IF(Sheet1[[#This Row],[Ad Spend]] &gt; 0, (Sheet1[[#This Row],[Profit]] / Sheet1[[#This Row],[Ad Spend]]), 0)</f>
        <v>1.7041542345650678</v>
      </c>
      <c r="K489">
        <f>Sheet1[[#This Row],[Revenue]]-Sheet1[[#This Row],[Ad Spend]]</f>
        <v>74.25</v>
      </c>
      <c r="L489" s="2" t="s">
        <v>14</v>
      </c>
      <c r="M489">
        <v>2</v>
      </c>
      <c r="N489" s="2" t="s">
        <v>15</v>
      </c>
      <c r="O489">
        <v>39.273333333333333</v>
      </c>
    </row>
    <row r="490" spans="1:15" x14ac:dyDescent="0.3">
      <c r="A490" s="1">
        <v>45395</v>
      </c>
      <c r="B490" s="2" t="s">
        <v>11</v>
      </c>
      <c r="C490" s="2" t="s">
        <v>17</v>
      </c>
      <c r="D490" s="2" t="s">
        <v>18</v>
      </c>
      <c r="E490">
        <v>38.36</v>
      </c>
      <c r="F490">
        <v>4.13</v>
      </c>
      <c r="G490">
        <v>1</v>
      </c>
      <c r="H490">
        <f t="shared" si="7"/>
        <v>58562.910000000018</v>
      </c>
      <c r="I490" t="str">
        <f>IF(Sheet1[[#This Row],[Month_Revenue]] &lt; AVERAGE(Sheet1[Month_Revenue]), "Off-Peak", "Peak")</f>
        <v>Peak</v>
      </c>
      <c r="J490">
        <f xml:space="preserve"> IF(Sheet1[[#This Row],[Ad Spend]] &gt; 0, (Sheet1[[#This Row],[Profit]] / Sheet1[[#This Row],[Ad Spend]]), 0)</f>
        <v>8.2881355932203391</v>
      </c>
      <c r="K490">
        <f>Sheet1[[#This Row],[Revenue]]-Sheet1[[#This Row],[Ad Spend]]</f>
        <v>34.229999999999997</v>
      </c>
      <c r="L490" s="2" t="s">
        <v>14</v>
      </c>
      <c r="M490">
        <v>4</v>
      </c>
      <c r="N490" s="2" t="s">
        <v>19</v>
      </c>
      <c r="O490">
        <v>38.36</v>
      </c>
    </row>
    <row r="491" spans="1:15" x14ac:dyDescent="0.3">
      <c r="A491" s="1">
        <v>45394</v>
      </c>
      <c r="B491" s="2" t="s">
        <v>23</v>
      </c>
      <c r="C491" s="2" t="s">
        <v>21</v>
      </c>
      <c r="D491" s="2" t="s">
        <v>13</v>
      </c>
      <c r="E491">
        <v>105.13</v>
      </c>
      <c r="F491">
        <v>4.7300000000000004</v>
      </c>
      <c r="G491">
        <v>2</v>
      </c>
      <c r="H491">
        <f t="shared" si="7"/>
        <v>58562.910000000018</v>
      </c>
      <c r="I491" t="str">
        <f>IF(Sheet1[[#This Row],[Month_Revenue]] &lt; AVERAGE(Sheet1[Month_Revenue]), "Off-Peak", "Peak")</f>
        <v>Peak</v>
      </c>
      <c r="J491">
        <f xml:space="preserve"> IF(Sheet1[[#This Row],[Ad Spend]] &gt; 0, (Sheet1[[#This Row],[Profit]] / Sheet1[[#This Row],[Ad Spend]]), 0)</f>
        <v>21.226215644820293</v>
      </c>
      <c r="K491">
        <f>Sheet1[[#This Row],[Revenue]]-Sheet1[[#This Row],[Ad Spend]]</f>
        <v>100.39999999999999</v>
      </c>
      <c r="L491" s="2" t="s">
        <v>14</v>
      </c>
      <c r="M491">
        <v>4</v>
      </c>
      <c r="N491" s="2" t="s">
        <v>19</v>
      </c>
      <c r="O491">
        <v>52.564999999999998</v>
      </c>
    </row>
    <row r="492" spans="1:15" x14ac:dyDescent="0.3">
      <c r="A492" s="1">
        <v>45317</v>
      </c>
      <c r="B492" s="2" t="s">
        <v>20</v>
      </c>
      <c r="C492" s="2" t="s">
        <v>12</v>
      </c>
      <c r="D492" s="2" t="s">
        <v>18</v>
      </c>
      <c r="E492">
        <v>198.67</v>
      </c>
      <c r="F492">
        <v>42.11</v>
      </c>
      <c r="G492">
        <v>3</v>
      </c>
      <c r="H492">
        <f t="shared" si="7"/>
        <v>61207.979999999989</v>
      </c>
      <c r="I492" t="str">
        <f>IF(Sheet1[[#This Row],[Month_Revenue]] &lt; AVERAGE(Sheet1[Month_Revenue]), "Off-Peak", "Peak")</f>
        <v>Peak</v>
      </c>
      <c r="J492">
        <f xml:space="preserve"> IF(Sheet1[[#This Row],[Ad Spend]] &gt; 0, (Sheet1[[#This Row],[Profit]] / Sheet1[[#This Row],[Ad Spend]]), 0)</f>
        <v>3.7178817383044409</v>
      </c>
      <c r="K492">
        <f>Sheet1[[#This Row],[Revenue]]-Sheet1[[#This Row],[Ad Spend]]</f>
        <v>156.56</v>
      </c>
      <c r="L492" s="2" t="s">
        <v>14</v>
      </c>
      <c r="M492">
        <v>1</v>
      </c>
      <c r="N492" s="2" t="s">
        <v>15</v>
      </c>
      <c r="O492">
        <v>66.223333333333329</v>
      </c>
    </row>
    <row r="493" spans="1:15" x14ac:dyDescent="0.3">
      <c r="A493" s="1">
        <v>45327</v>
      </c>
      <c r="B493" s="2" t="s">
        <v>20</v>
      </c>
      <c r="C493" s="2" t="s">
        <v>12</v>
      </c>
      <c r="D493" s="2" t="s">
        <v>18</v>
      </c>
      <c r="E493">
        <v>183.33</v>
      </c>
      <c r="F493">
        <v>10.51</v>
      </c>
      <c r="G493">
        <v>0</v>
      </c>
      <c r="H493">
        <f t="shared" si="7"/>
        <v>48675.899999999936</v>
      </c>
      <c r="I493" t="str">
        <f>IF(Sheet1[[#This Row],[Month_Revenue]] &lt; AVERAGE(Sheet1[Month_Revenue]), "Off-Peak", "Peak")</f>
        <v>Off-Peak</v>
      </c>
      <c r="J493">
        <f xml:space="preserve"> IF(Sheet1[[#This Row],[Ad Spend]] &gt; 0, (Sheet1[[#This Row],[Profit]] / Sheet1[[#This Row],[Ad Spend]]), 0)</f>
        <v>16.443387250237873</v>
      </c>
      <c r="K493">
        <f>Sheet1[[#This Row],[Revenue]]-Sheet1[[#This Row],[Ad Spend]]</f>
        <v>172.82000000000002</v>
      </c>
      <c r="L493" s="2" t="s">
        <v>22</v>
      </c>
      <c r="M493">
        <v>2</v>
      </c>
      <c r="N493" s="2" t="s">
        <v>15</v>
      </c>
      <c r="O493">
        <v>0</v>
      </c>
    </row>
    <row r="494" spans="1:15" x14ac:dyDescent="0.3">
      <c r="A494" s="1">
        <v>45366</v>
      </c>
      <c r="B494" s="2" t="s">
        <v>23</v>
      </c>
      <c r="C494" s="2" t="s">
        <v>21</v>
      </c>
      <c r="D494" s="2" t="s">
        <v>18</v>
      </c>
      <c r="E494">
        <v>58.58</v>
      </c>
      <c r="F494">
        <v>26.83</v>
      </c>
      <c r="G494">
        <v>2</v>
      </c>
      <c r="H494">
        <f t="shared" si="7"/>
        <v>54735.250000000029</v>
      </c>
      <c r="I494" t="str">
        <f>IF(Sheet1[[#This Row],[Month_Revenue]] &lt; AVERAGE(Sheet1[Month_Revenue]), "Off-Peak", "Peak")</f>
        <v>Off-Peak</v>
      </c>
      <c r="J494">
        <f xml:space="preserve"> IF(Sheet1[[#This Row],[Ad Spend]] &gt; 0, (Sheet1[[#This Row],[Profit]] / Sheet1[[#This Row],[Ad Spend]]), 0)</f>
        <v>1.1833768169959002</v>
      </c>
      <c r="K494">
        <f>Sheet1[[#This Row],[Revenue]]-Sheet1[[#This Row],[Ad Spend]]</f>
        <v>31.75</v>
      </c>
      <c r="L494" s="2" t="s">
        <v>14</v>
      </c>
      <c r="M494">
        <v>3</v>
      </c>
      <c r="N494" s="2" t="s">
        <v>19</v>
      </c>
      <c r="O494">
        <v>29.29</v>
      </c>
    </row>
    <row r="495" spans="1:15" x14ac:dyDescent="0.3">
      <c r="A495" s="1">
        <v>45310</v>
      </c>
      <c r="B495" s="2" t="s">
        <v>20</v>
      </c>
      <c r="C495" s="2" t="s">
        <v>21</v>
      </c>
      <c r="D495" s="2" t="s">
        <v>13</v>
      </c>
      <c r="E495">
        <v>120.13</v>
      </c>
      <c r="F495">
        <v>13.83</v>
      </c>
      <c r="G495">
        <v>1</v>
      </c>
      <c r="H495">
        <f t="shared" si="7"/>
        <v>61207.979999999989</v>
      </c>
      <c r="I495" t="str">
        <f>IF(Sheet1[[#This Row],[Month_Revenue]] &lt; AVERAGE(Sheet1[Month_Revenue]), "Off-Peak", "Peak")</f>
        <v>Peak</v>
      </c>
      <c r="J495">
        <f xml:space="preserve"> IF(Sheet1[[#This Row],[Ad Spend]] &gt; 0, (Sheet1[[#This Row],[Profit]] / Sheet1[[#This Row],[Ad Spend]]), 0)</f>
        <v>7.6861894432393347</v>
      </c>
      <c r="K495">
        <f>Sheet1[[#This Row],[Revenue]]-Sheet1[[#This Row],[Ad Spend]]</f>
        <v>106.3</v>
      </c>
      <c r="L495" s="2" t="s">
        <v>14</v>
      </c>
      <c r="M495">
        <v>1</v>
      </c>
      <c r="N495" s="2" t="s">
        <v>15</v>
      </c>
      <c r="O495">
        <v>120.13</v>
      </c>
    </row>
    <row r="496" spans="1:15" x14ac:dyDescent="0.3">
      <c r="A496" s="1">
        <v>45348</v>
      </c>
      <c r="B496" s="2" t="s">
        <v>24</v>
      </c>
      <c r="C496" s="2" t="s">
        <v>12</v>
      </c>
      <c r="D496" s="2" t="s">
        <v>13</v>
      </c>
      <c r="E496">
        <v>136.28</v>
      </c>
      <c r="F496">
        <v>25.01</v>
      </c>
      <c r="G496">
        <v>0</v>
      </c>
      <c r="H496">
        <f t="shared" si="7"/>
        <v>48675.899999999936</v>
      </c>
      <c r="I496" t="str">
        <f>IF(Sheet1[[#This Row],[Month_Revenue]] &lt; AVERAGE(Sheet1[Month_Revenue]), "Off-Peak", "Peak")</f>
        <v>Off-Peak</v>
      </c>
      <c r="J496">
        <f xml:space="preserve"> IF(Sheet1[[#This Row],[Ad Spend]] &gt; 0, (Sheet1[[#This Row],[Profit]] / Sheet1[[#This Row],[Ad Spend]]), 0)</f>
        <v>4.4490203918432627</v>
      </c>
      <c r="K496">
        <f>Sheet1[[#This Row],[Revenue]]-Sheet1[[#This Row],[Ad Spend]]</f>
        <v>111.27</v>
      </c>
      <c r="L496" s="2" t="s">
        <v>22</v>
      </c>
      <c r="M496">
        <v>2</v>
      </c>
      <c r="N496" s="2" t="s">
        <v>15</v>
      </c>
      <c r="O496">
        <v>0</v>
      </c>
    </row>
    <row r="497" spans="1:15" x14ac:dyDescent="0.3">
      <c r="A497" s="1">
        <v>45321</v>
      </c>
      <c r="B497" s="2" t="s">
        <v>23</v>
      </c>
      <c r="C497" s="2" t="s">
        <v>21</v>
      </c>
      <c r="D497" s="2" t="s">
        <v>18</v>
      </c>
      <c r="E497">
        <v>138.4</v>
      </c>
      <c r="F497">
        <v>35.659999999999997</v>
      </c>
      <c r="G497">
        <v>2</v>
      </c>
      <c r="H497">
        <f t="shared" si="7"/>
        <v>61207.979999999989</v>
      </c>
      <c r="I497" t="str">
        <f>IF(Sheet1[[#This Row],[Month_Revenue]] &lt; AVERAGE(Sheet1[Month_Revenue]), "Off-Peak", "Peak")</f>
        <v>Peak</v>
      </c>
      <c r="J497">
        <f xml:space="preserve"> IF(Sheet1[[#This Row],[Ad Spend]] &gt; 0, (Sheet1[[#This Row],[Profit]] / Sheet1[[#This Row],[Ad Spend]]), 0)</f>
        <v>2.881099270891756</v>
      </c>
      <c r="K497">
        <f>Sheet1[[#This Row],[Revenue]]-Sheet1[[#This Row],[Ad Spend]]</f>
        <v>102.74000000000001</v>
      </c>
      <c r="L497" s="2" t="s">
        <v>22</v>
      </c>
      <c r="M497">
        <v>1</v>
      </c>
      <c r="N497" s="2" t="s">
        <v>15</v>
      </c>
      <c r="O497">
        <v>69.2</v>
      </c>
    </row>
    <row r="498" spans="1:15" x14ac:dyDescent="0.3">
      <c r="A498" s="1">
        <v>45356</v>
      </c>
      <c r="B498" s="2" t="s">
        <v>16</v>
      </c>
      <c r="C498" s="2" t="s">
        <v>17</v>
      </c>
      <c r="D498" s="2" t="s">
        <v>13</v>
      </c>
      <c r="E498">
        <v>125.18</v>
      </c>
      <c r="F498">
        <v>26.65</v>
      </c>
      <c r="G498">
        <v>0</v>
      </c>
      <c r="H498">
        <f t="shared" si="7"/>
        <v>54735.250000000029</v>
      </c>
      <c r="I498" t="str">
        <f>IF(Sheet1[[#This Row],[Month_Revenue]] &lt; AVERAGE(Sheet1[Month_Revenue]), "Off-Peak", "Peak")</f>
        <v>Off-Peak</v>
      </c>
      <c r="J498">
        <f xml:space="preserve"> IF(Sheet1[[#This Row],[Ad Spend]] &gt; 0, (Sheet1[[#This Row],[Profit]] / Sheet1[[#This Row],[Ad Spend]]), 0)</f>
        <v>3.6971857410881803</v>
      </c>
      <c r="K498">
        <f>Sheet1[[#This Row],[Revenue]]-Sheet1[[#This Row],[Ad Spend]]</f>
        <v>98.53</v>
      </c>
      <c r="L498" s="2" t="s">
        <v>14</v>
      </c>
      <c r="M498">
        <v>3</v>
      </c>
      <c r="N498" s="2" t="s">
        <v>19</v>
      </c>
      <c r="O498">
        <v>0</v>
      </c>
    </row>
    <row r="499" spans="1:15" x14ac:dyDescent="0.3">
      <c r="A499" s="1">
        <v>45305</v>
      </c>
      <c r="B499" s="2" t="s">
        <v>24</v>
      </c>
      <c r="C499" s="2" t="s">
        <v>17</v>
      </c>
      <c r="D499" s="2" t="s">
        <v>18</v>
      </c>
      <c r="E499">
        <v>135.09</v>
      </c>
      <c r="F499">
        <v>47.76</v>
      </c>
      <c r="G499">
        <v>0</v>
      </c>
      <c r="H499">
        <f t="shared" si="7"/>
        <v>61207.979999999989</v>
      </c>
      <c r="I499" t="str">
        <f>IF(Sheet1[[#This Row],[Month_Revenue]] &lt; AVERAGE(Sheet1[Month_Revenue]), "Off-Peak", "Peak")</f>
        <v>Peak</v>
      </c>
      <c r="J499">
        <f xml:space="preserve"> IF(Sheet1[[#This Row],[Ad Spend]] &gt; 0, (Sheet1[[#This Row],[Profit]] / Sheet1[[#This Row],[Ad Spend]]), 0)</f>
        <v>1.8285175879396989</v>
      </c>
      <c r="K499">
        <f>Sheet1[[#This Row],[Revenue]]-Sheet1[[#This Row],[Ad Spend]]</f>
        <v>87.330000000000013</v>
      </c>
      <c r="L499" s="2" t="s">
        <v>22</v>
      </c>
      <c r="M499">
        <v>1</v>
      </c>
      <c r="N499" s="2" t="s">
        <v>15</v>
      </c>
      <c r="O499">
        <v>0</v>
      </c>
    </row>
    <row r="500" spans="1:15" x14ac:dyDescent="0.3">
      <c r="A500" s="1">
        <v>45346</v>
      </c>
      <c r="B500" s="2" t="s">
        <v>24</v>
      </c>
      <c r="C500" s="2" t="s">
        <v>21</v>
      </c>
      <c r="D500" s="2" t="s">
        <v>18</v>
      </c>
      <c r="E500">
        <v>21.3</v>
      </c>
      <c r="F500">
        <v>37.99</v>
      </c>
      <c r="G500">
        <v>0</v>
      </c>
      <c r="H500">
        <f t="shared" si="7"/>
        <v>48675.899999999936</v>
      </c>
      <c r="I500" t="str">
        <f>IF(Sheet1[[#This Row],[Month_Revenue]] &lt; AVERAGE(Sheet1[Month_Revenue]), "Off-Peak", "Peak")</f>
        <v>Off-Peak</v>
      </c>
      <c r="J500">
        <f xml:space="preserve"> IF(Sheet1[[#This Row],[Ad Spend]] &gt; 0, (Sheet1[[#This Row],[Profit]] / Sheet1[[#This Row],[Ad Spend]]), 0)</f>
        <v>-0.4393261384574888</v>
      </c>
      <c r="K500">
        <f>Sheet1[[#This Row],[Revenue]]-Sheet1[[#This Row],[Ad Spend]]</f>
        <v>-16.690000000000001</v>
      </c>
      <c r="L500" s="2" t="s">
        <v>14</v>
      </c>
      <c r="M500">
        <v>2</v>
      </c>
      <c r="N500" s="2" t="s">
        <v>15</v>
      </c>
      <c r="O500">
        <v>0</v>
      </c>
    </row>
    <row r="501" spans="1:15" x14ac:dyDescent="0.3">
      <c r="A501" s="1">
        <v>45347</v>
      </c>
      <c r="B501" s="2" t="s">
        <v>20</v>
      </c>
      <c r="C501" s="2" t="s">
        <v>17</v>
      </c>
      <c r="D501" s="2" t="s">
        <v>13</v>
      </c>
      <c r="E501">
        <v>74.73</v>
      </c>
      <c r="F501">
        <v>33.57</v>
      </c>
      <c r="G501">
        <v>1</v>
      </c>
      <c r="H501">
        <f t="shared" si="7"/>
        <v>48675.899999999936</v>
      </c>
      <c r="I501" t="str">
        <f>IF(Sheet1[[#This Row],[Month_Revenue]] &lt; AVERAGE(Sheet1[Month_Revenue]), "Off-Peak", "Peak")</f>
        <v>Off-Peak</v>
      </c>
      <c r="J501">
        <f xml:space="preserve"> IF(Sheet1[[#This Row],[Ad Spend]] &gt; 0, (Sheet1[[#This Row],[Profit]] / Sheet1[[#This Row],[Ad Spend]]), 0)</f>
        <v>1.2260947274352101</v>
      </c>
      <c r="K501">
        <f>Sheet1[[#This Row],[Revenue]]-Sheet1[[#This Row],[Ad Spend]]</f>
        <v>41.160000000000004</v>
      </c>
      <c r="L501" s="2" t="s">
        <v>14</v>
      </c>
      <c r="M501">
        <v>2</v>
      </c>
      <c r="N501" s="2" t="s">
        <v>15</v>
      </c>
      <c r="O501">
        <v>74.73</v>
      </c>
    </row>
    <row r="502" spans="1:15" x14ac:dyDescent="0.3">
      <c r="A502" s="1">
        <v>45378</v>
      </c>
      <c r="B502" s="2" t="s">
        <v>11</v>
      </c>
      <c r="C502" s="2" t="s">
        <v>12</v>
      </c>
      <c r="D502" s="2" t="s">
        <v>13</v>
      </c>
      <c r="E502">
        <v>157.38999999999999</v>
      </c>
      <c r="F502">
        <v>30.57</v>
      </c>
      <c r="G502">
        <v>0</v>
      </c>
      <c r="H502">
        <f t="shared" si="7"/>
        <v>54735.250000000029</v>
      </c>
      <c r="I502" t="str">
        <f>IF(Sheet1[[#This Row],[Month_Revenue]] &lt; AVERAGE(Sheet1[Month_Revenue]), "Off-Peak", "Peak")</f>
        <v>Off-Peak</v>
      </c>
      <c r="J502">
        <f xml:space="preserve"> IF(Sheet1[[#This Row],[Ad Spend]] &gt; 0, (Sheet1[[#This Row],[Profit]] / Sheet1[[#This Row],[Ad Spend]]), 0)</f>
        <v>4.1485116126921815</v>
      </c>
      <c r="K502">
        <f>Sheet1[[#This Row],[Revenue]]-Sheet1[[#This Row],[Ad Spend]]</f>
        <v>126.82</v>
      </c>
      <c r="L502" s="2" t="s">
        <v>22</v>
      </c>
      <c r="M502">
        <v>3</v>
      </c>
      <c r="N502" s="2" t="s">
        <v>19</v>
      </c>
      <c r="O502">
        <v>0</v>
      </c>
    </row>
    <row r="503" spans="1:15" x14ac:dyDescent="0.3">
      <c r="A503" s="1">
        <v>45370</v>
      </c>
      <c r="B503" s="2" t="s">
        <v>20</v>
      </c>
      <c r="C503" s="2" t="s">
        <v>17</v>
      </c>
      <c r="D503" s="2" t="s">
        <v>18</v>
      </c>
      <c r="E503">
        <v>108.61</v>
      </c>
      <c r="F503">
        <v>21.21</v>
      </c>
      <c r="G503">
        <v>0</v>
      </c>
      <c r="H503">
        <f t="shared" si="7"/>
        <v>54735.250000000029</v>
      </c>
      <c r="I503" t="str">
        <f>IF(Sheet1[[#This Row],[Month_Revenue]] &lt; AVERAGE(Sheet1[Month_Revenue]), "Off-Peak", "Peak")</f>
        <v>Off-Peak</v>
      </c>
      <c r="J503">
        <f xml:space="preserve"> IF(Sheet1[[#This Row],[Ad Spend]] &gt; 0, (Sheet1[[#This Row],[Profit]] / Sheet1[[#This Row],[Ad Spend]]), 0)</f>
        <v>4.120697784064121</v>
      </c>
      <c r="K503">
        <f>Sheet1[[#This Row],[Revenue]]-Sheet1[[#This Row],[Ad Spend]]</f>
        <v>87.4</v>
      </c>
      <c r="L503" s="2" t="s">
        <v>22</v>
      </c>
      <c r="M503">
        <v>3</v>
      </c>
      <c r="N503" s="2" t="s">
        <v>19</v>
      </c>
      <c r="O503">
        <v>0</v>
      </c>
    </row>
    <row r="504" spans="1:15" x14ac:dyDescent="0.3">
      <c r="A504" s="1">
        <v>45302</v>
      </c>
      <c r="B504" s="2" t="s">
        <v>20</v>
      </c>
      <c r="C504" s="2" t="s">
        <v>21</v>
      </c>
      <c r="D504" s="2" t="s">
        <v>13</v>
      </c>
      <c r="E504">
        <v>52.22</v>
      </c>
      <c r="F504">
        <v>4.59</v>
      </c>
      <c r="G504">
        <v>0</v>
      </c>
      <c r="H504">
        <f t="shared" si="7"/>
        <v>61207.979999999989</v>
      </c>
      <c r="I504" t="str">
        <f>IF(Sheet1[[#This Row],[Month_Revenue]] &lt; AVERAGE(Sheet1[Month_Revenue]), "Off-Peak", "Peak")</f>
        <v>Peak</v>
      </c>
      <c r="J504">
        <f xml:space="preserve"> IF(Sheet1[[#This Row],[Ad Spend]] &gt; 0, (Sheet1[[#This Row],[Profit]] / Sheet1[[#This Row],[Ad Spend]]), 0)</f>
        <v>10.376906318082789</v>
      </c>
      <c r="K504">
        <f>Sheet1[[#This Row],[Revenue]]-Sheet1[[#This Row],[Ad Spend]]</f>
        <v>47.629999999999995</v>
      </c>
      <c r="L504" s="2" t="s">
        <v>14</v>
      </c>
      <c r="M504">
        <v>1</v>
      </c>
      <c r="N504" s="2" t="s">
        <v>15</v>
      </c>
      <c r="O504">
        <v>0</v>
      </c>
    </row>
    <row r="505" spans="1:15" x14ac:dyDescent="0.3">
      <c r="A505" s="1">
        <v>45329</v>
      </c>
      <c r="B505" s="2" t="s">
        <v>11</v>
      </c>
      <c r="C505" s="2" t="s">
        <v>12</v>
      </c>
      <c r="D505" s="2" t="s">
        <v>18</v>
      </c>
      <c r="E505">
        <v>111.96</v>
      </c>
      <c r="F505">
        <v>10.31</v>
      </c>
      <c r="G505">
        <v>1</v>
      </c>
      <c r="H505">
        <f t="shared" si="7"/>
        <v>48675.899999999936</v>
      </c>
      <c r="I505" t="str">
        <f>IF(Sheet1[[#This Row],[Month_Revenue]] &lt; AVERAGE(Sheet1[Month_Revenue]), "Off-Peak", "Peak")</f>
        <v>Off-Peak</v>
      </c>
      <c r="J505">
        <f xml:space="preserve"> IF(Sheet1[[#This Row],[Ad Spend]] &gt; 0, (Sheet1[[#This Row],[Profit]] / Sheet1[[#This Row],[Ad Spend]]), 0)</f>
        <v>9.8593598448108626</v>
      </c>
      <c r="K505">
        <f>Sheet1[[#This Row],[Revenue]]-Sheet1[[#This Row],[Ad Spend]]</f>
        <v>101.64999999999999</v>
      </c>
      <c r="L505" s="2" t="s">
        <v>22</v>
      </c>
      <c r="M505">
        <v>2</v>
      </c>
      <c r="N505" s="2" t="s">
        <v>15</v>
      </c>
      <c r="O505">
        <v>111.96</v>
      </c>
    </row>
    <row r="506" spans="1:15" x14ac:dyDescent="0.3">
      <c r="A506" s="1">
        <v>45341</v>
      </c>
      <c r="B506" s="2" t="s">
        <v>20</v>
      </c>
      <c r="C506" s="2" t="s">
        <v>21</v>
      </c>
      <c r="D506" s="2" t="s">
        <v>18</v>
      </c>
      <c r="E506">
        <v>65.180000000000007</v>
      </c>
      <c r="F506">
        <v>25.69</v>
      </c>
      <c r="G506">
        <v>3</v>
      </c>
      <c r="H506">
        <f t="shared" si="7"/>
        <v>48675.899999999936</v>
      </c>
      <c r="I506" t="str">
        <f>IF(Sheet1[[#This Row],[Month_Revenue]] &lt; AVERAGE(Sheet1[Month_Revenue]), "Off-Peak", "Peak")</f>
        <v>Off-Peak</v>
      </c>
      <c r="J506">
        <f xml:space="preserve"> IF(Sheet1[[#This Row],[Ad Spend]] &gt; 0, (Sheet1[[#This Row],[Profit]] / Sheet1[[#This Row],[Ad Spend]]), 0)</f>
        <v>1.5371739976644612</v>
      </c>
      <c r="K506">
        <f>Sheet1[[#This Row],[Revenue]]-Sheet1[[#This Row],[Ad Spend]]</f>
        <v>39.490000000000009</v>
      </c>
      <c r="L506" s="2" t="s">
        <v>22</v>
      </c>
      <c r="M506">
        <v>2</v>
      </c>
      <c r="N506" s="2" t="s">
        <v>15</v>
      </c>
      <c r="O506">
        <v>21.72666666666667</v>
      </c>
    </row>
    <row r="507" spans="1:15" x14ac:dyDescent="0.3">
      <c r="A507" s="1">
        <v>45297</v>
      </c>
      <c r="B507" s="2" t="s">
        <v>20</v>
      </c>
      <c r="C507" s="2" t="s">
        <v>12</v>
      </c>
      <c r="D507" s="2" t="s">
        <v>18</v>
      </c>
      <c r="E507">
        <v>80.28</v>
      </c>
      <c r="F507">
        <v>26.71</v>
      </c>
      <c r="G507">
        <v>2</v>
      </c>
      <c r="H507">
        <f t="shared" si="7"/>
        <v>61207.979999999989</v>
      </c>
      <c r="I507" t="str">
        <f>IF(Sheet1[[#This Row],[Month_Revenue]] &lt; AVERAGE(Sheet1[Month_Revenue]), "Off-Peak", "Peak")</f>
        <v>Peak</v>
      </c>
      <c r="J507">
        <f xml:space="preserve"> IF(Sheet1[[#This Row],[Ad Spend]] &gt; 0, (Sheet1[[#This Row],[Profit]] / Sheet1[[#This Row],[Ad Spend]]), 0)</f>
        <v>2.0056158742044179</v>
      </c>
      <c r="K507">
        <f>Sheet1[[#This Row],[Revenue]]-Sheet1[[#This Row],[Ad Spend]]</f>
        <v>53.57</v>
      </c>
      <c r="L507" s="2" t="s">
        <v>22</v>
      </c>
      <c r="M507">
        <v>1</v>
      </c>
      <c r="N507" s="2" t="s">
        <v>15</v>
      </c>
      <c r="O507">
        <v>40.14</v>
      </c>
    </row>
    <row r="508" spans="1:15" x14ac:dyDescent="0.3">
      <c r="A508" s="1">
        <v>45393</v>
      </c>
      <c r="B508" s="2" t="s">
        <v>20</v>
      </c>
      <c r="C508" s="2" t="s">
        <v>12</v>
      </c>
      <c r="D508" s="2" t="s">
        <v>18</v>
      </c>
      <c r="E508">
        <v>70.13</v>
      </c>
      <c r="F508">
        <v>15.28</v>
      </c>
      <c r="G508">
        <v>1</v>
      </c>
      <c r="H508">
        <f t="shared" si="7"/>
        <v>58562.910000000018</v>
      </c>
      <c r="I508" t="str">
        <f>IF(Sheet1[[#This Row],[Month_Revenue]] &lt; AVERAGE(Sheet1[Month_Revenue]), "Off-Peak", "Peak")</f>
        <v>Peak</v>
      </c>
      <c r="J508">
        <f xml:space="preserve"> IF(Sheet1[[#This Row],[Ad Spend]] &gt; 0, (Sheet1[[#This Row],[Profit]] / Sheet1[[#This Row],[Ad Spend]]), 0)</f>
        <v>3.5896596858638743</v>
      </c>
      <c r="K508">
        <f>Sheet1[[#This Row],[Revenue]]-Sheet1[[#This Row],[Ad Spend]]</f>
        <v>54.849999999999994</v>
      </c>
      <c r="L508" s="2" t="s">
        <v>22</v>
      </c>
      <c r="M508">
        <v>4</v>
      </c>
      <c r="N508" s="2" t="s">
        <v>19</v>
      </c>
      <c r="O508">
        <v>70.13</v>
      </c>
    </row>
    <row r="509" spans="1:15" x14ac:dyDescent="0.3">
      <c r="A509" s="1">
        <v>45405</v>
      </c>
      <c r="B509" s="2" t="s">
        <v>23</v>
      </c>
      <c r="C509" s="2" t="s">
        <v>12</v>
      </c>
      <c r="D509" s="2" t="s">
        <v>13</v>
      </c>
      <c r="E509">
        <v>194.72</v>
      </c>
      <c r="F509">
        <v>47.73</v>
      </c>
      <c r="G509">
        <v>1</v>
      </c>
      <c r="H509">
        <f t="shared" si="7"/>
        <v>58562.910000000018</v>
      </c>
      <c r="I509" t="str">
        <f>IF(Sheet1[[#This Row],[Month_Revenue]] &lt; AVERAGE(Sheet1[Month_Revenue]), "Off-Peak", "Peak")</f>
        <v>Peak</v>
      </c>
      <c r="J509">
        <f xml:space="preserve"> IF(Sheet1[[#This Row],[Ad Spend]] &gt; 0, (Sheet1[[#This Row],[Profit]] / Sheet1[[#This Row],[Ad Spend]]), 0)</f>
        <v>3.0796144982191498</v>
      </c>
      <c r="K509">
        <f>Sheet1[[#This Row],[Revenue]]-Sheet1[[#This Row],[Ad Spend]]</f>
        <v>146.99</v>
      </c>
      <c r="L509" s="2" t="s">
        <v>22</v>
      </c>
      <c r="M509">
        <v>4</v>
      </c>
      <c r="N509" s="2" t="s">
        <v>19</v>
      </c>
      <c r="O509">
        <v>194.72</v>
      </c>
    </row>
    <row r="510" spans="1:15" x14ac:dyDescent="0.3">
      <c r="A510" s="1">
        <v>45410</v>
      </c>
      <c r="B510" s="2" t="s">
        <v>16</v>
      </c>
      <c r="C510" s="2" t="s">
        <v>17</v>
      </c>
      <c r="D510" s="2" t="s">
        <v>13</v>
      </c>
      <c r="E510">
        <v>68.400000000000006</v>
      </c>
      <c r="F510">
        <v>26.17</v>
      </c>
      <c r="G510">
        <v>2</v>
      </c>
      <c r="H510">
        <f t="shared" si="7"/>
        <v>58562.910000000018</v>
      </c>
      <c r="I510" t="str">
        <f>IF(Sheet1[[#This Row],[Month_Revenue]] &lt; AVERAGE(Sheet1[Month_Revenue]), "Off-Peak", "Peak")</f>
        <v>Peak</v>
      </c>
      <c r="J510">
        <f xml:space="preserve"> IF(Sheet1[[#This Row],[Ad Spend]] &gt; 0, (Sheet1[[#This Row],[Profit]] / Sheet1[[#This Row],[Ad Spend]]), 0)</f>
        <v>1.6136797860145204</v>
      </c>
      <c r="K510">
        <f>Sheet1[[#This Row],[Revenue]]-Sheet1[[#This Row],[Ad Spend]]</f>
        <v>42.230000000000004</v>
      </c>
      <c r="L510" s="2" t="s">
        <v>22</v>
      </c>
      <c r="M510">
        <v>4</v>
      </c>
      <c r="N510" s="2" t="s">
        <v>19</v>
      </c>
      <c r="O510">
        <v>34.200000000000003</v>
      </c>
    </row>
    <row r="511" spans="1:15" x14ac:dyDescent="0.3">
      <c r="A511" s="1">
        <v>45362</v>
      </c>
      <c r="B511" s="2" t="s">
        <v>16</v>
      </c>
      <c r="C511" s="2" t="s">
        <v>12</v>
      </c>
      <c r="D511" s="2" t="s">
        <v>18</v>
      </c>
      <c r="E511">
        <v>26.08</v>
      </c>
      <c r="F511">
        <v>39.69</v>
      </c>
      <c r="G511">
        <v>1</v>
      </c>
      <c r="H511">
        <f t="shared" si="7"/>
        <v>54735.250000000029</v>
      </c>
      <c r="I511" t="str">
        <f>IF(Sheet1[[#This Row],[Month_Revenue]] &lt; AVERAGE(Sheet1[Month_Revenue]), "Off-Peak", "Peak")</f>
        <v>Off-Peak</v>
      </c>
      <c r="J511">
        <f xml:space="preserve"> IF(Sheet1[[#This Row],[Ad Spend]] &gt; 0, (Sheet1[[#This Row],[Profit]] / Sheet1[[#This Row],[Ad Spend]]), 0)</f>
        <v>-0.34290753338372387</v>
      </c>
      <c r="K511">
        <f>Sheet1[[#This Row],[Revenue]]-Sheet1[[#This Row],[Ad Spend]]</f>
        <v>-13.61</v>
      </c>
      <c r="L511" s="2" t="s">
        <v>22</v>
      </c>
      <c r="M511">
        <v>3</v>
      </c>
      <c r="N511" s="2" t="s">
        <v>19</v>
      </c>
      <c r="O511">
        <v>26.08</v>
      </c>
    </row>
    <row r="512" spans="1:15" x14ac:dyDescent="0.3">
      <c r="A512" s="1">
        <v>45407</v>
      </c>
      <c r="B512" s="2" t="s">
        <v>24</v>
      </c>
      <c r="C512" s="2" t="s">
        <v>12</v>
      </c>
      <c r="D512" s="2" t="s">
        <v>13</v>
      </c>
      <c r="E512">
        <v>169.92</v>
      </c>
      <c r="F512">
        <v>5.45</v>
      </c>
      <c r="G512">
        <v>3</v>
      </c>
      <c r="H512">
        <f t="shared" si="7"/>
        <v>58562.910000000018</v>
      </c>
      <c r="I512" t="str">
        <f>IF(Sheet1[[#This Row],[Month_Revenue]] &lt; AVERAGE(Sheet1[Month_Revenue]), "Off-Peak", "Peak")</f>
        <v>Peak</v>
      </c>
      <c r="J512">
        <f xml:space="preserve"> IF(Sheet1[[#This Row],[Ad Spend]] &gt; 0, (Sheet1[[#This Row],[Profit]] / Sheet1[[#This Row],[Ad Spend]]), 0)</f>
        <v>30.177981651376147</v>
      </c>
      <c r="K512">
        <f>Sheet1[[#This Row],[Revenue]]-Sheet1[[#This Row],[Ad Spend]]</f>
        <v>164.47</v>
      </c>
      <c r="L512" s="2" t="s">
        <v>14</v>
      </c>
      <c r="M512">
        <v>4</v>
      </c>
      <c r="N512" s="2" t="s">
        <v>19</v>
      </c>
      <c r="O512">
        <v>56.639999999999993</v>
      </c>
    </row>
    <row r="513" spans="1:15" x14ac:dyDescent="0.3">
      <c r="A513" s="1">
        <v>45346</v>
      </c>
      <c r="B513" s="2" t="s">
        <v>23</v>
      </c>
      <c r="C513" s="2" t="s">
        <v>17</v>
      </c>
      <c r="D513" s="2" t="s">
        <v>13</v>
      </c>
      <c r="E513">
        <v>189.44</v>
      </c>
      <c r="F513">
        <v>46.38</v>
      </c>
      <c r="G513">
        <v>3</v>
      </c>
      <c r="H513">
        <f t="shared" si="7"/>
        <v>48675.899999999936</v>
      </c>
      <c r="I513" t="str">
        <f>IF(Sheet1[[#This Row],[Month_Revenue]] &lt; AVERAGE(Sheet1[Month_Revenue]), "Off-Peak", "Peak")</f>
        <v>Off-Peak</v>
      </c>
      <c r="J513">
        <f xml:space="preserve"> IF(Sheet1[[#This Row],[Ad Spend]] &gt; 0, (Sheet1[[#This Row],[Profit]] / Sheet1[[#This Row],[Ad Spend]]), 0)</f>
        <v>3.0845191893057353</v>
      </c>
      <c r="K513">
        <f>Sheet1[[#This Row],[Revenue]]-Sheet1[[#This Row],[Ad Spend]]</f>
        <v>143.06</v>
      </c>
      <c r="L513" s="2" t="s">
        <v>22</v>
      </c>
      <c r="M513">
        <v>2</v>
      </c>
      <c r="N513" s="2" t="s">
        <v>15</v>
      </c>
      <c r="O513">
        <v>63.146666666666668</v>
      </c>
    </row>
    <row r="514" spans="1:15" x14ac:dyDescent="0.3">
      <c r="A514" s="1">
        <v>45368</v>
      </c>
      <c r="B514" s="2" t="s">
        <v>20</v>
      </c>
      <c r="C514" s="2" t="s">
        <v>21</v>
      </c>
      <c r="D514" s="2" t="s">
        <v>13</v>
      </c>
      <c r="E514">
        <v>80.11</v>
      </c>
      <c r="F514">
        <v>30.87</v>
      </c>
      <c r="G514">
        <v>2</v>
      </c>
      <c r="H514">
        <f t="shared" ref="H514:H577" si="8">SUMIFS($E$2:$E$2001, $M$2:$M$2001, M514)</f>
        <v>54735.250000000029</v>
      </c>
      <c r="I514" t="str">
        <f>IF(Sheet1[[#This Row],[Month_Revenue]] &lt; AVERAGE(Sheet1[Month_Revenue]), "Off-Peak", "Peak")</f>
        <v>Off-Peak</v>
      </c>
      <c r="J514">
        <f xml:space="preserve"> IF(Sheet1[[#This Row],[Ad Spend]] &gt; 0, (Sheet1[[#This Row],[Profit]] / Sheet1[[#This Row],[Ad Spend]]), 0)</f>
        <v>1.5950761256883703</v>
      </c>
      <c r="K514">
        <f>Sheet1[[#This Row],[Revenue]]-Sheet1[[#This Row],[Ad Spend]]</f>
        <v>49.239999999999995</v>
      </c>
      <c r="L514" s="2" t="s">
        <v>14</v>
      </c>
      <c r="M514">
        <v>3</v>
      </c>
      <c r="N514" s="2" t="s">
        <v>19</v>
      </c>
      <c r="O514">
        <v>40.055</v>
      </c>
    </row>
    <row r="515" spans="1:15" x14ac:dyDescent="0.3">
      <c r="A515" s="1">
        <v>45353</v>
      </c>
      <c r="B515" s="2" t="s">
        <v>20</v>
      </c>
      <c r="C515" s="2" t="s">
        <v>21</v>
      </c>
      <c r="D515" s="2" t="s">
        <v>18</v>
      </c>
      <c r="E515">
        <v>139.18</v>
      </c>
      <c r="F515">
        <v>28.91</v>
      </c>
      <c r="G515">
        <v>2</v>
      </c>
      <c r="H515">
        <f t="shared" si="8"/>
        <v>54735.250000000029</v>
      </c>
      <c r="I515" t="str">
        <f>IF(Sheet1[[#This Row],[Month_Revenue]] &lt; AVERAGE(Sheet1[Month_Revenue]), "Off-Peak", "Peak")</f>
        <v>Off-Peak</v>
      </c>
      <c r="J515">
        <f xml:space="preserve"> IF(Sheet1[[#This Row],[Ad Spend]] &gt; 0, (Sheet1[[#This Row],[Profit]] / Sheet1[[#This Row],[Ad Spend]]), 0)</f>
        <v>3.8142511241784853</v>
      </c>
      <c r="K515">
        <f>Sheet1[[#This Row],[Revenue]]-Sheet1[[#This Row],[Ad Spend]]</f>
        <v>110.27000000000001</v>
      </c>
      <c r="L515" s="2" t="s">
        <v>14</v>
      </c>
      <c r="M515">
        <v>3</v>
      </c>
      <c r="N515" s="2" t="s">
        <v>19</v>
      </c>
      <c r="O515">
        <v>69.59</v>
      </c>
    </row>
    <row r="516" spans="1:15" x14ac:dyDescent="0.3">
      <c r="A516" s="1">
        <v>45309</v>
      </c>
      <c r="B516" s="2" t="s">
        <v>11</v>
      </c>
      <c r="C516" s="2" t="s">
        <v>17</v>
      </c>
      <c r="D516" s="2" t="s">
        <v>13</v>
      </c>
      <c r="E516">
        <v>151.38</v>
      </c>
      <c r="F516">
        <v>1.95</v>
      </c>
      <c r="G516">
        <v>2</v>
      </c>
      <c r="H516">
        <f t="shared" si="8"/>
        <v>61207.979999999989</v>
      </c>
      <c r="I516" t="str">
        <f>IF(Sheet1[[#This Row],[Month_Revenue]] &lt; AVERAGE(Sheet1[Month_Revenue]), "Off-Peak", "Peak")</f>
        <v>Peak</v>
      </c>
      <c r="J516">
        <f xml:space="preserve"> IF(Sheet1[[#This Row],[Ad Spend]] &gt; 0, (Sheet1[[#This Row],[Profit]] / Sheet1[[#This Row],[Ad Spend]]), 0)</f>
        <v>76.630769230769232</v>
      </c>
      <c r="K516">
        <f>Sheet1[[#This Row],[Revenue]]-Sheet1[[#This Row],[Ad Spend]]</f>
        <v>149.43</v>
      </c>
      <c r="L516" s="2" t="s">
        <v>22</v>
      </c>
      <c r="M516">
        <v>1</v>
      </c>
      <c r="N516" s="2" t="s">
        <v>15</v>
      </c>
      <c r="O516">
        <v>75.69</v>
      </c>
    </row>
    <row r="517" spans="1:15" x14ac:dyDescent="0.3">
      <c r="A517" s="1">
        <v>45411</v>
      </c>
      <c r="B517" s="2" t="s">
        <v>23</v>
      </c>
      <c r="C517" s="2" t="s">
        <v>12</v>
      </c>
      <c r="D517" s="2" t="s">
        <v>13</v>
      </c>
      <c r="E517">
        <v>67.58</v>
      </c>
      <c r="F517">
        <v>7.36</v>
      </c>
      <c r="G517">
        <v>1</v>
      </c>
      <c r="H517">
        <f t="shared" si="8"/>
        <v>58562.910000000018</v>
      </c>
      <c r="I517" t="str">
        <f>IF(Sheet1[[#This Row],[Month_Revenue]] &lt; AVERAGE(Sheet1[Month_Revenue]), "Off-Peak", "Peak")</f>
        <v>Peak</v>
      </c>
      <c r="J517">
        <f xml:space="preserve"> IF(Sheet1[[#This Row],[Ad Spend]] &gt; 0, (Sheet1[[#This Row],[Profit]] / Sheet1[[#This Row],[Ad Spend]]), 0)</f>
        <v>8.1820652173913047</v>
      </c>
      <c r="K517">
        <f>Sheet1[[#This Row],[Revenue]]-Sheet1[[#This Row],[Ad Spend]]</f>
        <v>60.22</v>
      </c>
      <c r="L517" s="2" t="s">
        <v>14</v>
      </c>
      <c r="M517">
        <v>4</v>
      </c>
      <c r="N517" s="2" t="s">
        <v>19</v>
      </c>
      <c r="O517">
        <v>67.58</v>
      </c>
    </row>
    <row r="518" spans="1:15" x14ac:dyDescent="0.3">
      <c r="A518" s="1">
        <v>45346</v>
      </c>
      <c r="B518" s="2" t="s">
        <v>24</v>
      </c>
      <c r="C518" s="2" t="s">
        <v>17</v>
      </c>
      <c r="D518" s="2" t="s">
        <v>18</v>
      </c>
      <c r="E518">
        <v>25.75</v>
      </c>
      <c r="F518">
        <v>20.52</v>
      </c>
      <c r="G518">
        <v>3</v>
      </c>
      <c r="H518">
        <f t="shared" si="8"/>
        <v>48675.899999999936</v>
      </c>
      <c r="I518" t="str">
        <f>IF(Sheet1[[#This Row],[Month_Revenue]] &lt; AVERAGE(Sheet1[Month_Revenue]), "Off-Peak", "Peak")</f>
        <v>Off-Peak</v>
      </c>
      <c r="J518">
        <f xml:space="preserve"> IF(Sheet1[[#This Row],[Ad Spend]] &gt; 0, (Sheet1[[#This Row],[Profit]] / Sheet1[[#This Row],[Ad Spend]]), 0)</f>
        <v>0.25487329434697858</v>
      </c>
      <c r="K518">
        <f>Sheet1[[#This Row],[Revenue]]-Sheet1[[#This Row],[Ad Spend]]</f>
        <v>5.23</v>
      </c>
      <c r="L518" s="2" t="s">
        <v>14</v>
      </c>
      <c r="M518">
        <v>2</v>
      </c>
      <c r="N518" s="2" t="s">
        <v>15</v>
      </c>
      <c r="O518">
        <v>8.5833333333333339</v>
      </c>
    </row>
    <row r="519" spans="1:15" x14ac:dyDescent="0.3">
      <c r="A519" s="1">
        <v>45333</v>
      </c>
      <c r="B519" s="2" t="s">
        <v>16</v>
      </c>
      <c r="C519" s="2" t="s">
        <v>21</v>
      </c>
      <c r="D519" s="2" t="s">
        <v>13</v>
      </c>
      <c r="E519">
        <v>191.45</v>
      </c>
      <c r="F519">
        <v>22.19</v>
      </c>
      <c r="G519">
        <v>3</v>
      </c>
      <c r="H519">
        <f t="shared" si="8"/>
        <v>48675.899999999936</v>
      </c>
      <c r="I519" t="str">
        <f>IF(Sheet1[[#This Row],[Month_Revenue]] &lt; AVERAGE(Sheet1[Month_Revenue]), "Off-Peak", "Peak")</f>
        <v>Off-Peak</v>
      </c>
      <c r="J519">
        <f xml:space="preserve"> IF(Sheet1[[#This Row],[Ad Spend]] &gt; 0, (Sheet1[[#This Row],[Profit]] / Sheet1[[#This Row],[Ad Spend]]), 0)</f>
        <v>7.6277602523659294</v>
      </c>
      <c r="K519">
        <f>Sheet1[[#This Row],[Revenue]]-Sheet1[[#This Row],[Ad Spend]]</f>
        <v>169.26</v>
      </c>
      <c r="L519" s="2" t="s">
        <v>22</v>
      </c>
      <c r="M519">
        <v>2</v>
      </c>
      <c r="N519" s="2" t="s">
        <v>15</v>
      </c>
      <c r="O519">
        <v>63.816666666666663</v>
      </c>
    </row>
    <row r="520" spans="1:15" x14ac:dyDescent="0.3">
      <c r="A520" s="1">
        <v>45343</v>
      </c>
      <c r="B520" s="2" t="s">
        <v>16</v>
      </c>
      <c r="C520" s="2" t="s">
        <v>21</v>
      </c>
      <c r="D520" s="2" t="s">
        <v>13</v>
      </c>
      <c r="E520">
        <v>99.75</v>
      </c>
      <c r="F520">
        <v>11.6</v>
      </c>
      <c r="G520">
        <v>3</v>
      </c>
      <c r="H520">
        <f t="shared" si="8"/>
        <v>48675.899999999936</v>
      </c>
      <c r="I520" t="str">
        <f>IF(Sheet1[[#This Row],[Month_Revenue]] &lt; AVERAGE(Sheet1[Month_Revenue]), "Off-Peak", "Peak")</f>
        <v>Off-Peak</v>
      </c>
      <c r="J520">
        <f xml:space="preserve"> IF(Sheet1[[#This Row],[Ad Spend]] &gt; 0, (Sheet1[[#This Row],[Profit]] / Sheet1[[#This Row],[Ad Spend]]), 0)</f>
        <v>7.5991379310344831</v>
      </c>
      <c r="K520">
        <f>Sheet1[[#This Row],[Revenue]]-Sheet1[[#This Row],[Ad Spend]]</f>
        <v>88.15</v>
      </c>
      <c r="L520" s="2" t="s">
        <v>14</v>
      </c>
      <c r="M520">
        <v>2</v>
      </c>
      <c r="N520" s="2" t="s">
        <v>15</v>
      </c>
      <c r="O520">
        <v>33.25</v>
      </c>
    </row>
    <row r="521" spans="1:15" x14ac:dyDescent="0.3">
      <c r="A521" s="1">
        <v>45332</v>
      </c>
      <c r="B521" s="2" t="s">
        <v>11</v>
      </c>
      <c r="C521" s="2" t="s">
        <v>17</v>
      </c>
      <c r="D521" s="2" t="s">
        <v>18</v>
      </c>
      <c r="E521">
        <v>31.99</v>
      </c>
      <c r="F521">
        <v>9.8800000000000008</v>
      </c>
      <c r="G521">
        <v>2</v>
      </c>
      <c r="H521">
        <f t="shared" si="8"/>
        <v>48675.899999999936</v>
      </c>
      <c r="I521" t="str">
        <f>IF(Sheet1[[#This Row],[Month_Revenue]] &lt; AVERAGE(Sheet1[Month_Revenue]), "Off-Peak", "Peak")</f>
        <v>Off-Peak</v>
      </c>
      <c r="J521">
        <f xml:space="preserve"> IF(Sheet1[[#This Row],[Ad Spend]] &gt; 0, (Sheet1[[#This Row],[Profit]] / Sheet1[[#This Row],[Ad Spend]]), 0)</f>
        <v>2.2378542510121453</v>
      </c>
      <c r="K521">
        <f>Sheet1[[#This Row],[Revenue]]-Sheet1[[#This Row],[Ad Spend]]</f>
        <v>22.11</v>
      </c>
      <c r="L521" s="2" t="s">
        <v>14</v>
      </c>
      <c r="M521">
        <v>2</v>
      </c>
      <c r="N521" s="2" t="s">
        <v>15</v>
      </c>
      <c r="O521">
        <v>15.994999999999999</v>
      </c>
    </row>
    <row r="522" spans="1:15" x14ac:dyDescent="0.3">
      <c r="A522" s="1">
        <v>45298</v>
      </c>
      <c r="B522" s="2" t="s">
        <v>23</v>
      </c>
      <c r="C522" s="2" t="s">
        <v>17</v>
      </c>
      <c r="D522" s="2" t="s">
        <v>13</v>
      </c>
      <c r="E522">
        <v>20.84</v>
      </c>
      <c r="F522">
        <v>33.93</v>
      </c>
      <c r="G522">
        <v>3</v>
      </c>
      <c r="H522">
        <f t="shared" si="8"/>
        <v>61207.979999999989</v>
      </c>
      <c r="I522" t="str">
        <f>IF(Sheet1[[#This Row],[Month_Revenue]] &lt; AVERAGE(Sheet1[Month_Revenue]), "Off-Peak", "Peak")</f>
        <v>Peak</v>
      </c>
      <c r="J522">
        <f xml:space="preserve"> IF(Sheet1[[#This Row],[Ad Spend]] &gt; 0, (Sheet1[[#This Row],[Profit]] / Sheet1[[#This Row],[Ad Spend]]), 0)</f>
        <v>-0.38579428234600649</v>
      </c>
      <c r="K522">
        <f>Sheet1[[#This Row],[Revenue]]-Sheet1[[#This Row],[Ad Spend]]</f>
        <v>-13.09</v>
      </c>
      <c r="L522" s="2" t="s">
        <v>14</v>
      </c>
      <c r="M522">
        <v>1</v>
      </c>
      <c r="N522" s="2" t="s">
        <v>15</v>
      </c>
      <c r="O522">
        <v>6.9466666666666663</v>
      </c>
    </row>
    <row r="523" spans="1:15" x14ac:dyDescent="0.3">
      <c r="A523" s="1">
        <v>45336</v>
      </c>
      <c r="B523" s="2" t="s">
        <v>24</v>
      </c>
      <c r="C523" s="2" t="s">
        <v>12</v>
      </c>
      <c r="D523" s="2" t="s">
        <v>13</v>
      </c>
      <c r="E523">
        <v>173.25</v>
      </c>
      <c r="F523">
        <v>22.05</v>
      </c>
      <c r="G523">
        <v>0</v>
      </c>
      <c r="H523">
        <f t="shared" si="8"/>
        <v>48675.899999999936</v>
      </c>
      <c r="I523" t="str">
        <f>IF(Sheet1[[#This Row],[Month_Revenue]] &lt; AVERAGE(Sheet1[Month_Revenue]), "Off-Peak", "Peak")</f>
        <v>Off-Peak</v>
      </c>
      <c r="J523">
        <f xml:space="preserve"> IF(Sheet1[[#This Row],[Ad Spend]] &gt; 0, (Sheet1[[#This Row],[Profit]] / Sheet1[[#This Row],[Ad Spend]]), 0)</f>
        <v>6.8571428571428568</v>
      </c>
      <c r="K523">
        <f>Sheet1[[#This Row],[Revenue]]-Sheet1[[#This Row],[Ad Spend]]</f>
        <v>151.19999999999999</v>
      </c>
      <c r="L523" s="2" t="s">
        <v>14</v>
      </c>
      <c r="M523">
        <v>2</v>
      </c>
      <c r="N523" s="2" t="s">
        <v>15</v>
      </c>
      <c r="O523">
        <v>0</v>
      </c>
    </row>
    <row r="524" spans="1:15" x14ac:dyDescent="0.3">
      <c r="A524" s="1">
        <v>45309</v>
      </c>
      <c r="B524" s="2" t="s">
        <v>23</v>
      </c>
      <c r="C524" s="2" t="s">
        <v>17</v>
      </c>
      <c r="D524" s="2" t="s">
        <v>18</v>
      </c>
      <c r="E524">
        <v>55.92</v>
      </c>
      <c r="F524">
        <v>20.75</v>
      </c>
      <c r="G524">
        <v>1</v>
      </c>
      <c r="H524">
        <f t="shared" si="8"/>
        <v>61207.979999999989</v>
      </c>
      <c r="I524" t="str">
        <f>IF(Sheet1[[#This Row],[Month_Revenue]] &lt; AVERAGE(Sheet1[Month_Revenue]), "Off-Peak", "Peak")</f>
        <v>Peak</v>
      </c>
      <c r="J524">
        <f xml:space="preserve"> IF(Sheet1[[#This Row],[Ad Spend]] &gt; 0, (Sheet1[[#This Row],[Profit]] / Sheet1[[#This Row],[Ad Spend]]), 0)</f>
        <v>1.6949397590361446</v>
      </c>
      <c r="K524">
        <f>Sheet1[[#This Row],[Revenue]]-Sheet1[[#This Row],[Ad Spend]]</f>
        <v>35.17</v>
      </c>
      <c r="L524" s="2" t="s">
        <v>14</v>
      </c>
      <c r="M524">
        <v>1</v>
      </c>
      <c r="N524" s="2" t="s">
        <v>15</v>
      </c>
      <c r="O524">
        <v>55.92</v>
      </c>
    </row>
    <row r="525" spans="1:15" x14ac:dyDescent="0.3">
      <c r="A525" s="1">
        <v>45320</v>
      </c>
      <c r="B525" s="2" t="s">
        <v>23</v>
      </c>
      <c r="C525" s="2" t="s">
        <v>21</v>
      </c>
      <c r="D525" s="2" t="s">
        <v>13</v>
      </c>
      <c r="E525">
        <v>178.3</v>
      </c>
      <c r="F525">
        <v>13.95</v>
      </c>
      <c r="G525">
        <v>1</v>
      </c>
      <c r="H525">
        <f t="shared" si="8"/>
        <v>61207.979999999989</v>
      </c>
      <c r="I525" t="str">
        <f>IF(Sheet1[[#This Row],[Month_Revenue]] &lt; AVERAGE(Sheet1[Month_Revenue]), "Off-Peak", "Peak")</f>
        <v>Peak</v>
      </c>
      <c r="J525">
        <f xml:space="preserve"> IF(Sheet1[[#This Row],[Ad Spend]] &gt; 0, (Sheet1[[#This Row],[Profit]] / Sheet1[[#This Row],[Ad Spend]]), 0)</f>
        <v>11.781362007168461</v>
      </c>
      <c r="K525">
        <f>Sheet1[[#This Row],[Revenue]]-Sheet1[[#This Row],[Ad Spend]]</f>
        <v>164.35000000000002</v>
      </c>
      <c r="L525" s="2" t="s">
        <v>22</v>
      </c>
      <c r="M525">
        <v>1</v>
      </c>
      <c r="N525" s="2" t="s">
        <v>15</v>
      </c>
      <c r="O525">
        <v>178.3</v>
      </c>
    </row>
    <row r="526" spans="1:15" x14ac:dyDescent="0.3">
      <c r="A526" s="1">
        <v>45384</v>
      </c>
      <c r="B526" s="2" t="s">
        <v>16</v>
      </c>
      <c r="C526" s="2" t="s">
        <v>12</v>
      </c>
      <c r="D526" s="2" t="s">
        <v>18</v>
      </c>
      <c r="E526">
        <v>28.46</v>
      </c>
      <c r="F526">
        <v>2.48</v>
      </c>
      <c r="G526">
        <v>2</v>
      </c>
      <c r="H526">
        <f t="shared" si="8"/>
        <v>58562.910000000018</v>
      </c>
      <c r="I526" t="str">
        <f>IF(Sheet1[[#This Row],[Month_Revenue]] &lt; AVERAGE(Sheet1[Month_Revenue]), "Off-Peak", "Peak")</f>
        <v>Peak</v>
      </c>
      <c r="J526">
        <f xml:space="preserve"> IF(Sheet1[[#This Row],[Ad Spend]] &gt; 0, (Sheet1[[#This Row],[Profit]] / Sheet1[[#This Row],[Ad Spend]]), 0)</f>
        <v>10.475806451612904</v>
      </c>
      <c r="K526">
        <f>Sheet1[[#This Row],[Revenue]]-Sheet1[[#This Row],[Ad Spend]]</f>
        <v>25.98</v>
      </c>
      <c r="L526" s="2" t="s">
        <v>22</v>
      </c>
      <c r="M526">
        <v>4</v>
      </c>
      <c r="N526" s="2" t="s">
        <v>19</v>
      </c>
      <c r="O526">
        <v>14.23</v>
      </c>
    </row>
    <row r="527" spans="1:15" x14ac:dyDescent="0.3">
      <c r="A527" s="1">
        <v>45377</v>
      </c>
      <c r="B527" s="2" t="s">
        <v>24</v>
      </c>
      <c r="C527" s="2" t="s">
        <v>21</v>
      </c>
      <c r="D527" s="2" t="s">
        <v>13</v>
      </c>
      <c r="E527">
        <v>80.239999999999995</v>
      </c>
      <c r="F527">
        <v>3.4</v>
      </c>
      <c r="G527">
        <v>0</v>
      </c>
      <c r="H527">
        <f t="shared" si="8"/>
        <v>54735.250000000029</v>
      </c>
      <c r="I527" t="str">
        <f>IF(Sheet1[[#This Row],[Month_Revenue]] &lt; AVERAGE(Sheet1[Month_Revenue]), "Off-Peak", "Peak")</f>
        <v>Off-Peak</v>
      </c>
      <c r="J527">
        <f xml:space="preserve"> IF(Sheet1[[#This Row],[Ad Spend]] &gt; 0, (Sheet1[[#This Row],[Profit]] / Sheet1[[#This Row],[Ad Spend]]), 0)</f>
        <v>22.599999999999998</v>
      </c>
      <c r="K527">
        <f>Sheet1[[#This Row],[Revenue]]-Sheet1[[#This Row],[Ad Spend]]</f>
        <v>76.839999999999989</v>
      </c>
      <c r="L527" s="2" t="s">
        <v>14</v>
      </c>
      <c r="M527">
        <v>3</v>
      </c>
      <c r="N527" s="2" t="s">
        <v>19</v>
      </c>
      <c r="O527">
        <v>0</v>
      </c>
    </row>
    <row r="528" spans="1:15" x14ac:dyDescent="0.3">
      <c r="A528" s="1">
        <v>45366</v>
      </c>
      <c r="B528" s="2" t="s">
        <v>20</v>
      </c>
      <c r="C528" s="2" t="s">
        <v>21</v>
      </c>
      <c r="D528" s="2" t="s">
        <v>13</v>
      </c>
      <c r="E528">
        <v>66.63</v>
      </c>
      <c r="F528">
        <v>19.739999999999998</v>
      </c>
      <c r="G528">
        <v>1</v>
      </c>
      <c r="H528">
        <f t="shared" si="8"/>
        <v>54735.250000000029</v>
      </c>
      <c r="I528" t="str">
        <f>IF(Sheet1[[#This Row],[Month_Revenue]] &lt; AVERAGE(Sheet1[Month_Revenue]), "Off-Peak", "Peak")</f>
        <v>Off-Peak</v>
      </c>
      <c r="J528">
        <f xml:space="preserve"> IF(Sheet1[[#This Row],[Ad Spend]] &gt; 0, (Sheet1[[#This Row],[Profit]] / Sheet1[[#This Row],[Ad Spend]]), 0)</f>
        <v>2.3753799392097266</v>
      </c>
      <c r="K528">
        <f>Sheet1[[#This Row],[Revenue]]-Sheet1[[#This Row],[Ad Spend]]</f>
        <v>46.89</v>
      </c>
      <c r="L528" s="2" t="s">
        <v>22</v>
      </c>
      <c r="M528">
        <v>3</v>
      </c>
      <c r="N528" s="2" t="s">
        <v>19</v>
      </c>
      <c r="O528">
        <v>66.63</v>
      </c>
    </row>
    <row r="529" spans="1:15" x14ac:dyDescent="0.3">
      <c r="A529" s="1">
        <v>45375</v>
      </c>
      <c r="B529" s="2" t="s">
        <v>24</v>
      </c>
      <c r="C529" s="2" t="s">
        <v>21</v>
      </c>
      <c r="D529" s="2" t="s">
        <v>13</v>
      </c>
      <c r="E529">
        <v>124.4</v>
      </c>
      <c r="F529">
        <v>19.309999999999999</v>
      </c>
      <c r="G529">
        <v>2</v>
      </c>
      <c r="H529">
        <f t="shared" si="8"/>
        <v>54735.250000000029</v>
      </c>
      <c r="I529" t="str">
        <f>IF(Sheet1[[#This Row],[Month_Revenue]] &lt; AVERAGE(Sheet1[Month_Revenue]), "Off-Peak", "Peak")</f>
        <v>Off-Peak</v>
      </c>
      <c r="J529">
        <f xml:space="preserve"> IF(Sheet1[[#This Row],[Ad Spend]] &gt; 0, (Sheet1[[#This Row],[Profit]] / Sheet1[[#This Row],[Ad Spend]]), 0)</f>
        <v>5.4422578974624551</v>
      </c>
      <c r="K529">
        <f>Sheet1[[#This Row],[Revenue]]-Sheet1[[#This Row],[Ad Spend]]</f>
        <v>105.09</v>
      </c>
      <c r="L529" s="2" t="s">
        <v>22</v>
      </c>
      <c r="M529">
        <v>3</v>
      </c>
      <c r="N529" s="2" t="s">
        <v>19</v>
      </c>
      <c r="O529">
        <v>62.2</v>
      </c>
    </row>
    <row r="530" spans="1:15" x14ac:dyDescent="0.3">
      <c r="A530" s="1">
        <v>45356</v>
      </c>
      <c r="B530" s="2" t="s">
        <v>24</v>
      </c>
      <c r="C530" s="2" t="s">
        <v>12</v>
      </c>
      <c r="D530" s="2" t="s">
        <v>13</v>
      </c>
      <c r="E530">
        <v>94.82</v>
      </c>
      <c r="F530">
        <v>3.18</v>
      </c>
      <c r="G530">
        <v>3</v>
      </c>
      <c r="H530">
        <f t="shared" si="8"/>
        <v>54735.250000000029</v>
      </c>
      <c r="I530" t="str">
        <f>IF(Sheet1[[#This Row],[Month_Revenue]] &lt; AVERAGE(Sheet1[Month_Revenue]), "Off-Peak", "Peak")</f>
        <v>Off-Peak</v>
      </c>
      <c r="J530">
        <f xml:space="preserve"> IF(Sheet1[[#This Row],[Ad Spend]] &gt; 0, (Sheet1[[#This Row],[Profit]] / Sheet1[[#This Row],[Ad Spend]]), 0)</f>
        <v>28.817610062893078</v>
      </c>
      <c r="K530">
        <f>Sheet1[[#This Row],[Revenue]]-Sheet1[[#This Row],[Ad Spend]]</f>
        <v>91.639999999999986</v>
      </c>
      <c r="L530" s="2" t="s">
        <v>14</v>
      </c>
      <c r="M530">
        <v>3</v>
      </c>
      <c r="N530" s="2" t="s">
        <v>19</v>
      </c>
      <c r="O530">
        <v>31.606666666666666</v>
      </c>
    </row>
    <row r="531" spans="1:15" x14ac:dyDescent="0.3">
      <c r="A531" s="1">
        <v>45348</v>
      </c>
      <c r="B531" s="2" t="s">
        <v>23</v>
      </c>
      <c r="C531" s="2" t="s">
        <v>12</v>
      </c>
      <c r="D531" s="2" t="s">
        <v>13</v>
      </c>
      <c r="E531">
        <v>165.64</v>
      </c>
      <c r="F531">
        <v>13.65</v>
      </c>
      <c r="G531">
        <v>1</v>
      </c>
      <c r="H531">
        <f t="shared" si="8"/>
        <v>48675.899999999936</v>
      </c>
      <c r="I531" t="str">
        <f>IF(Sheet1[[#This Row],[Month_Revenue]] &lt; AVERAGE(Sheet1[Month_Revenue]), "Off-Peak", "Peak")</f>
        <v>Off-Peak</v>
      </c>
      <c r="J531">
        <f xml:space="preserve"> IF(Sheet1[[#This Row],[Ad Spend]] &gt; 0, (Sheet1[[#This Row],[Profit]] / Sheet1[[#This Row],[Ad Spend]]), 0)</f>
        <v>11.134798534798533</v>
      </c>
      <c r="K531">
        <f>Sheet1[[#This Row],[Revenue]]-Sheet1[[#This Row],[Ad Spend]]</f>
        <v>151.98999999999998</v>
      </c>
      <c r="L531" s="2" t="s">
        <v>22</v>
      </c>
      <c r="M531">
        <v>2</v>
      </c>
      <c r="N531" s="2" t="s">
        <v>15</v>
      </c>
      <c r="O531">
        <v>165.64</v>
      </c>
    </row>
    <row r="532" spans="1:15" x14ac:dyDescent="0.3">
      <c r="A532" s="1">
        <v>45371</v>
      </c>
      <c r="B532" s="2" t="s">
        <v>16</v>
      </c>
      <c r="C532" s="2" t="s">
        <v>17</v>
      </c>
      <c r="D532" s="2" t="s">
        <v>18</v>
      </c>
      <c r="E532">
        <v>127.94</v>
      </c>
      <c r="F532">
        <v>0.13</v>
      </c>
      <c r="G532">
        <v>3</v>
      </c>
      <c r="H532">
        <f t="shared" si="8"/>
        <v>54735.250000000029</v>
      </c>
      <c r="I532" t="str">
        <f>IF(Sheet1[[#This Row],[Month_Revenue]] &lt; AVERAGE(Sheet1[Month_Revenue]), "Off-Peak", "Peak")</f>
        <v>Off-Peak</v>
      </c>
      <c r="J532">
        <f xml:space="preserve"> IF(Sheet1[[#This Row],[Ad Spend]] &gt; 0, (Sheet1[[#This Row],[Profit]] / Sheet1[[#This Row],[Ad Spend]]), 0)</f>
        <v>983.15384615384619</v>
      </c>
      <c r="K532">
        <f>Sheet1[[#This Row],[Revenue]]-Sheet1[[#This Row],[Ad Spend]]</f>
        <v>127.81</v>
      </c>
      <c r="L532" s="2" t="s">
        <v>22</v>
      </c>
      <c r="M532">
        <v>3</v>
      </c>
      <c r="N532" s="2" t="s">
        <v>19</v>
      </c>
      <c r="O532">
        <v>42.646666666666668</v>
      </c>
    </row>
    <row r="533" spans="1:15" x14ac:dyDescent="0.3">
      <c r="A533" s="1">
        <v>45327</v>
      </c>
      <c r="B533" s="2" t="s">
        <v>24</v>
      </c>
      <c r="C533" s="2" t="s">
        <v>17</v>
      </c>
      <c r="D533" s="2" t="s">
        <v>13</v>
      </c>
      <c r="E533">
        <v>43.45</v>
      </c>
      <c r="F533">
        <v>19.149999999999999</v>
      </c>
      <c r="G533">
        <v>0</v>
      </c>
      <c r="H533">
        <f t="shared" si="8"/>
        <v>48675.899999999936</v>
      </c>
      <c r="I533" t="str">
        <f>IF(Sheet1[[#This Row],[Month_Revenue]] &lt; AVERAGE(Sheet1[Month_Revenue]), "Off-Peak", "Peak")</f>
        <v>Off-Peak</v>
      </c>
      <c r="J533">
        <f xml:space="preserve"> IF(Sheet1[[#This Row],[Ad Spend]] &gt; 0, (Sheet1[[#This Row],[Profit]] / Sheet1[[#This Row],[Ad Spend]]), 0)</f>
        <v>1.2689295039164494</v>
      </c>
      <c r="K533">
        <f>Sheet1[[#This Row],[Revenue]]-Sheet1[[#This Row],[Ad Spend]]</f>
        <v>24.300000000000004</v>
      </c>
      <c r="L533" s="2" t="s">
        <v>22</v>
      </c>
      <c r="M533">
        <v>2</v>
      </c>
      <c r="N533" s="2" t="s">
        <v>15</v>
      </c>
      <c r="O533">
        <v>0</v>
      </c>
    </row>
    <row r="534" spans="1:15" x14ac:dyDescent="0.3">
      <c r="A534" s="1">
        <v>45352</v>
      </c>
      <c r="B534" s="2" t="s">
        <v>11</v>
      </c>
      <c r="C534" s="2" t="s">
        <v>21</v>
      </c>
      <c r="D534" s="2" t="s">
        <v>13</v>
      </c>
      <c r="E534">
        <v>172.25</v>
      </c>
      <c r="F534">
        <v>15.51</v>
      </c>
      <c r="G534">
        <v>0</v>
      </c>
      <c r="H534">
        <f t="shared" si="8"/>
        <v>54735.250000000029</v>
      </c>
      <c r="I534" t="str">
        <f>IF(Sheet1[[#This Row],[Month_Revenue]] &lt; AVERAGE(Sheet1[Month_Revenue]), "Off-Peak", "Peak")</f>
        <v>Off-Peak</v>
      </c>
      <c r="J534">
        <f xml:space="preserve"> IF(Sheet1[[#This Row],[Ad Spend]] &gt; 0, (Sheet1[[#This Row],[Profit]] / Sheet1[[#This Row],[Ad Spend]]), 0)</f>
        <v>10.105738233397808</v>
      </c>
      <c r="K534">
        <f>Sheet1[[#This Row],[Revenue]]-Sheet1[[#This Row],[Ad Spend]]</f>
        <v>156.74</v>
      </c>
      <c r="L534" s="2" t="s">
        <v>22</v>
      </c>
      <c r="M534">
        <v>3</v>
      </c>
      <c r="N534" s="2" t="s">
        <v>19</v>
      </c>
      <c r="O534">
        <v>0</v>
      </c>
    </row>
    <row r="535" spans="1:15" x14ac:dyDescent="0.3">
      <c r="A535" s="1">
        <v>45318</v>
      </c>
      <c r="B535" s="2" t="s">
        <v>23</v>
      </c>
      <c r="C535" s="2" t="s">
        <v>12</v>
      </c>
      <c r="D535" s="2" t="s">
        <v>18</v>
      </c>
      <c r="E535">
        <v>175.97</v>
      </c>
      <c r="F535">
        <v>6.06</v>
      </c>
      <c r="G535">
        <v>3</v>
      </c>
      <c r="H535">
        <f t="shared" si="8"/>
        <v>61207.979999999989</v>
      </c>
      <c r="I535" t="str">
        <f>IF(Sheet1[[#This Row],[Month_Revenue]] &lt; AVERAGE(Sheet1[Month_Revenue]), "Off-Peak", "Peak")</f>
        <v>Peak</v>
      </c>
      <c r="J535">
        <f xml:space="preserve"> IF(Sheet1[[#This Row],[Ad Spend]] &gt; 0, (Sheet1[[#This Row],[Profit]] / Sheet1[[#This Row],[Ad Spend]]), 0)</f>
        <v>28.03795379537954</v>
      </c>
      <c r="K535">
        <f>Sheet1[[#This Row],[Revenue]]-Sheet1[[#This Row],[Ad Spend]]</f>
        <v>169.91</v>
      </c>
      <c r="L535" s="2" t="s">
        <v>14</v>
      </c>
      <c r="M535">
        <v>1</v>
      </c>
      <c r="N535" s="2" t="s">
        <v>15</v>
      </c>
      <c r="O535">
        <v>58.656666666666666</v>
      </c>
    </row>
    <row r="536" spans="1:15" x14ac:dyDescent="0.3">
      <c r="A536" s="1">
        <v>45401</v>
      </c>
      <c r="B536" s="2" t="s">
        <v>24</v>
      </c>
      <c r="C536" s="2" t="s">
        <v>12</v>
      </c>
      <c r="D536" s="2" t="s">
        <v>13</v>
      </c>
      <c r="E536">
        <v>162.99</v>
      </c>
      <c r="F536">
        <v>39.89</v>
      </c>
      <c r="G536">
        <v>3</v>
      </c>
      <c r="H536">
        <f t="shared" si="8"/>
        <v>58562.910000000018</v>
      </c>
      <c r="I536" t="str">
        <f>IF(Sheet1[[#This Row],[Month_Revenue]] &lt; AVERAGE(Sheet1[Month_Revenue]), "Off-Peak", "Peak")</f>
        <v>Peak</v>
      </c>
      <c r="J536">
        <f xml:space="preserve"> IF(Sheet1[[#This Row],[Ad Spend]] &gt; 0, (Sheet1[[#This Row],[Profit]] / Sheet1[[#This Row],[Ad Spend]]), 0)</f>
        <v>3.0859864627726248</v>
      </c>
      <c r="K536">
        <f>Sheet1[[#This Row],[Revenue]]-Sheet1[[#This Row],[Ad Spend]]</f>
        <v>123.10000000000001</v>
      </c>
      <c r="L536" s="2" t="s">
        <v>14</v>
      </c>
      <c r="M536">
        <v>4</v>
      </c>
      <c r="N536" s="2" t="s">
        <v>19</v>
      </c>
      <c r="O536">
        <v>54.330000000000005</v>
      </c>
    </row>
    <row r="537" spans="1:15" x14ac:dyDescent="0.3">
      <c r="A537" s="1">
        <v>45411</v>
      </c>
      <c r="B537" s="2" t="s">
        <v>23</v>
      </c>
      <c r="C537" s="2" t="s">
        <v>12</v>
      </c>
      <c r="D537" s="2" t="s">
        <v>18</v>
      </c>
      <c r="E537">
        <v>84.83</v>
      </c>
      <c r="F537">
        <v>34.83</v>
      </c>
      <c r="G537">
        <v>2</v>
      </c>
      <c r="H537">
        <f t="shared" si="8"/>
        <v>58562.910000000018</v>
      </c>
      <c r="I537" t="str">
        <f>IF(Sheet1[[#This Row],[Month_Revenue]] &lt; AVERAGE(Sheet1[Month_Revenue]), "Off-Peak", "Peak")</f>
        <v>Peak</v>
      </c>
      <c r="J537">
        <f xml:space="preserve"> IF(Sheet1[[#This Row],[Ad Spend]] &gt; 0, (Sheet1[[#This Row],[Profit]] / Sheet1[[#This Row],[Ad Spend]]), 0)</f>
        <v>1.4355440712029861</v>
      </c>
      <c r="K537">
        <f>Sheet1[[#This Row],[Revenue]]-Sheet1[[#This Row],[Ad Spend]]</f>
        <v>50</v>
      </c>
      <c r="L537" s="2" t="s">
        <v>22</v>
      </c>
      <c r="M537">
        <v>4</v>
      </c>
      <c r="N537" s="2" t="s">
        <v>19</v>
      </c>
      <c r="O537">
        <v>42.414999999999999</v>
      </c>
    </row>
    <row r="538" spans="1:15" x14ac:dyDescent="0.3">
      <c r="A538" s="1">
        <v>45397</v>
      </c>
      <c r="B538" s="2" t="s">
        <v>23</v>
      </c>
      <c r="C538" s="2" t="s">
        <v>17</v>
      </c>
      <c r="D538" s="2" t="s">
        <v>18</v>
      </c>
      <c r="E538">
        <v>119.91</v>
      </c>
      <c r="F538">
        <v>3.28</v>
      </c>
      <c r="G538">
        <v>3</v>
      </c>
      <c r="H538">
        <f t="shared" si="8"/>
        <v>58562.910000000018</v>
      </c>
      <c r="I538" t="str">
        <f>IF(Sheet1[[#This Row],[Month_Revenue]] &lt; AVERAGE(Sheet1[Month_Revenue]), "Off-Peak", "Peak")</f>
        <v>Peak</v>
      </c>
      <c r="J538">
        <f xml:space="preserve"> IF(Sheet1[[#This Row],[Ad Spend]] &gt; 0, (Sheet1[[#This Row],[Profit]] / Sheet1[[#This Row],[Ad Spend]]), 0)</f>
        <v>35.557926829268297</v>
      </c>
      <c r="K538">
        <f>Sheet1[[#This Row],[Revenue]]-Sheet1[[#This Row],[Ad Spend]]</f>
        <v>116.63</v>
      </c>
      <c r="L538" s="2" t="s">
        <v>14</v>
      </c>
      <c r="M538">
        <v>4</v>
      </c>
      <c r="N538" s="2" t="s">
        <v>19</v>
      </c>
      <c r="O538">
        <v>39.97</v>
      </c>
    </row>
    <row r="539" spans="1:15" x14ac:dyDescent="0.3">
      <c r="A539" s="1">
        <v>45399</v>
      </c>
      <c r="B539" s="2" t="s">
        <v>24</v>
      </c>
      <c r="C539" s="2" t="s">
        <v>21</v>
      </c>
      <c r="D539" s="2" t="s">
        <v>18</v>
      </c>
      <c r="E539">
        <v>182.91</v>
      </c>
      <c r="F539">
        <v>9.9</v>
      </c>
      <c r="G539">
        <v>2</v>
      </c>
      <c r="H539">
        <f t="shared" si="8"/>
        <v>58562.910000000018</v>
      </c>
      <c r="I539" t="str">
        <f>IF(Sheet1[[#This Row],[Month_Revenue]] &lt; AVERAGE(Sheet1[Month_Revenue]), "Off-Peak", "Peak")</f>
        <v>Peak</v>
      </c>
      <c r="J539">
        <f xml:space="preserve"> IF(Sheet1[[#This Row],[Ad Spend]] &gt; 0, (Sheet1[[#This Row],[Profit]] / Sheet1[[#This Row],[Ad Spend]]), 0)</f>
        <v>17.475757575757573</v>
      </c>
      <c r="K539">
        <f>Sheet1[[#This Row],[Revenue]]-Sheet1[[#This Row],[Ad Spend]]</f>
        <v>173.01</v>
      </c>
      <c r="L539" s="2" t="s">
        <v>22</v>
      </c>
      <c r="M539">
        <v>4</v>
      </c>
      <c r="N539" s="2" t="s">
        <v>19</v>
      </c>
      <c r="O539">
        <v>91.454999999999998</v>
      </c>
    </row>
    <row r="540" spans="1:15" x14ac:dyDescent="0.3">
      <c r="A540" s="1">
        <v>45405</v>
      </c>
      <c r="B540" s="2" t="s">
        <v>16</v>
      </c>
      <c r="C540" s="2" t="s">
        <v>12</v>
      </c>
      <c r="D540" s="2" t="s">
        <v>18</v>
      </c>
      <c r="E540">
        <v>149.62</v>
      </c>
      <c r="F540">
        <v>29.08</v>
      </c>
      <c r="G540">
        <v>3</v>
      </c>
      <c r="H540">
        <f t="shared" si="8"/>
        <v>58562.910000000018</v>
      </c>
      <c r="I540" t="str">
        <f>IF(Sheet1[[#This Row],[Month_Revenue]] &lt; AVERAGE(Sheet1[Month_Revenue]), "Off-Peak", "Peak")</f>
        <v>Peak</v>
      </c>
      <c r="J540">
        <f xml:space="preserve"> IF(Sheet1[[#This Row],[Ad Spend]] &gt; 0, (Sheet1[[#This Row],[Profit]] / Sheet1[[#This Row],[Ad Spend]]), 0)</f>
        <v>4.1451169188445673</v>
      </c>
      <c r="K540">
        <f>Sheet1[[#This Row],[Revenue]]-Sheet1[[#This Row],[Ad Spend]]</f>
        <v>120.54</v>
      </c>
      <c r="L540" s="2" t="s">
        <v>22</v>
      </c>
      <c r="M540">
        <v>4</v>
      </c>
      <c r="N540" s="2" t="s">
        <v>19</v>
      </c>
      <c r="O540">
        <v>49.873333333333335</v>
      </c>
    </row>
    <row r="541" spans="1:15" x14ac:dyDescent="0.3">
      <c r="A541" s="1">
        <v>45388</v>
      </c>
      <c r="B541" s="2" t="s">
        <v>20</v>
      </c>
      <c r="C541" s="2" t="s">
        <v>17</v>
      </c>
      <c r="D541" s="2" t="s">
        <v>18</v>
      </c>
      <c r="E541">
        <v>175.62</v>
      </c>
      <c r="F541">
        <v>15.42</v>
      </c>
      <c r="G541">
        <v>2</v>
      </c>
      <c r="H541">
        <f t="shared" si="8"/>
        <v>58562.910000000018</v>
      </c>
      <c r="I541" t="str">
        <f>IF(Sheet1[[#This Row],[Month_Revenue]] &lt; AVERAGE(Sheet1[Month_Revenue]), "Off-Peak", "Peak")</f>
        <v>Peak</v>
      </c>
      <c r="J541">
        <f xml:space="preserve"> IF(Sheet1[[#This Row],[Ad Spend]] &gt; 0, (Sheet1[[#This Row],[Profit]] / Sheet1[[#This Row],[Ad Spend]]), 0)</f>
        <v>10.389105058365759</v>
      </c>
      <c r="K541">
        <f>Sheet1[[#This Row],[Revenue]]-Sheet1[[#This Row],[Ad Spend]]</f>
        <v>160.20000000000002</v>
      </c>
      <c r="L541" s="2" t="s">
        <v>14</v>
      </c>
      <c r="M541">
        <v>4</v>
      </c>
      <c r="N541" s="2" t="s">
        <v>19</v>
      </c>
      <c r="O541">
        <v>87.81</v>
      </c>
    </row>
    <row r="542" spans="1:15" x14ac:dyDescent="0.3">
      <c r="A542" s="1">
        <v>45393</v>
      </c>
      <c r="B542" s="2" t="s">
        <v>20</v>
      </c>
      <c r="C542" s="2" t="s">
        <v>17</v>
      </c>
      <c r="D542" s="2" t="s">
        <v>18</v>
      </c>
      <c r="E542">
        <v>146.69</v>
      </c>
      <c r="F542">
        <v>14.43</v>
      </c>
      <c r="G542">
        <v>2</v>
      </c>
      <c r="H542">
        <f t="shared" si="8"/>
        <v>58562.910000000018</v>
      </c>
      <c r="I542" t="str">
        <f>IF(Sheet1[[#This Row],[Month_Revenue]] &lt; AVERAGE(Sheet1[Month_Revenue]), "Off-Peak", "Peak")</f>
        <v>Peak</v>
      </c>
      <c r="J542">
        <f xml:space="preserve"> IF(Sheet1[[#This Row],[Ad Spend]] &gt; 0, (Sheet1[[#This Row],[Profit]] / Sheet1[[#This Row],[Ad Spend]]), 0)</f>
        <v>9.165627165627166</v>
      </c>
      <c r="K542">
        <f>Sheet1[[#This Row],[Revenue]]-Sheet1[[#This Row],[Ad Spend]]</f>
        <v>132.26</v>
      </c>
      <c r="L542" s="2" t="s">
        <v>22</v>
      </c>
      <c r="M542">
        <v>4</v>
      </c>
      <c r="N542" s="2" t="s">
        <v>19</v>
      </c>
      <c r="O542">
        <v>73.344999999999999</v>
      </c>
    </row>
    <row r="543" spans="1:15" x14ac:dyDescent="0.3">
      <c r="A543" s="1">
        <v>45308</v>
      </c>
      <c r="B543" s="2" t="s">
        <v>16</v>
      </c>
      <c r="C543" s="2" t="s">
        <v>17</v>
      </c>
      <c r="D543" s="2" t="s">
        <v>18</v>
      </c>
      <c r="E543">
        <v>74.28</v>
      </c>
      <c r="F543">
        <v>3.23</v>
      </c>
      <c r="G543">
        <v>3</v>
      </c>
      <c r="H543">
        <f t="shared" si="8"/>
        <v>61207.979999999989</v>
      </c>
      <c r="I543" t="str">
        <f>IF(Sheet1[[#This Row],[Month_Revenue]] &lt; AVERAGE(Sheet1[Month_Revenue]), "Off-Peak", "Peak")</f>
        <v>Peak</v>
      </c>
      <c r="J543">
        <f xml:space="preserve"> IF(Sheet1[[#This Row],[Ad Spend]] &gt; 0, (Sheet1[[#This Row],[Profit]] / Sheet1[[#This Row],[Ad Spend]]), 0)</f>
        <v>21.996904024767801</v>
      </c>
      <c r="K543">
        <f>Sheet1[[#This Row],[Revenue]]-Sheet1[[#This Row],[Ad Spend]]</f>
        <v>71.05</v>
      </c>
      <c r="L543" s="2" t="s">
        <v>22</v>
      </c>
      <c r="M543">
        <v>1</v>
      </c>
      <c r="N543" s="2" t="s">
        <v>15</v>
      </c>
      <c r="O543">
        <v>24.76</v>
      </c>
    </row>
    <row r="544" spans="1:15" x14ac:dyDescent="0.3">
      <c r="A544" s="1">
        <v>45297</v>
      </c>
      <c r="B544" s="2" t="s">
        <v>24</v>
      </c>
      <c r="C544" s="2" t="s">
        <v>12</v>
      </c>
      <c r="D544" s="2" t="s">
        <v>18</v>
      </c>
      <c r="E544">
        <v>115.24</v>
      </c>
      <c r="F544">
        <v>33.6</v>
      </c>
      <c r="G544">
        <v>3</v>
      </c>
      <c r="H544">
        <f t="shared" si="8"/>
        <v>61207.979999999989</v>
      </c>
      <c r="I544" t="str">
        <f>IF(Sheet1[[#This Row],[Month_Revenue]] &lt; AVERAGE(Sheet1[Month_Revenue]), "Off-Peak", "Peak")</f>
        <v>Peak</v>
      </c>
      <c r="J544">
        <f xml:space="preserve"> IF(Sheet1[[#This Row],[Ad Spend]] &gt; 0, (Sheet1[[#This Row],[Profit]] / Sheet1[[#This Row],[Ad Spend]]), 0)</f>
        <v>2.4297619047619041</v>
      </c>
      <c r="K544">
        <f>Sheet1[[#This Row],[Revenue]]-Sheet1[[#This Row],[Ad Spend]]</f>
        <v>81.639999999999986</v>
      </c>
      <c r="L544" s="2" t="s">
        <v>14</v>
      </c>
      <c r="M544">
        <v>1</v>
      </c>
      <c r="N544" s="2" t="s">
        <v>15</v>
      </c>
      <c r="O544">
        <v>38.413333333333334</v>
      </c>
    </row>
    <row r="545" spans="1:15" x14ac:dyDescent="0.3">
      <c r="A545" s="1">
        <v>45376</v>
      </c>
      <c r="B545" s="2" t="s">
        <v>24</v>
      </c>
      <c r="C545" s="2" t="s">
        <v>21</v>
      </c>
      <c r="D545" s="2" t="s">
        <v>18</v>
      </c>
      <c r="E545">
        <v>111.74</v>
      </c>
      <c r="F545">
        <v>20.04</v>
      </c>
      <c r="G545">
        <v>0</v>
      </c>
      <c r="H545">
        <f t="shared" si="8"/>
        <v>54735.250000000029</v>
      </c>
      <c r="I545" t="str">
        <f>IF(Sheet1[[#This Row],[Month_Revenue]] &lt; AVERAGE(Sheet1[Month_Revenue]), "Off-Peak", "Peak")</f>
        <v>Off-Peak</v>
      </c>
      <c r="J545">
        <f xml:space="preserve"> IF(Sheet1[[#This Row],[Ad Spend]] &gt; 0, (Sheet1[[#This Row],[Profit]] / Sheet1[[#This Row],[Ad Spend]]), 0)</f>
        <v>4.5758483033932134</v>
      </c>
      <c r="K545">
        <f>Sheet1[[#This Row],[Revenue]]-Sheet1[[#This Row],[Ad Spend]]</f>
        <v>91.699999999999989</v>
      </c>
      <c r="L545" s="2" t="s">
        <v>14</v>
      </c>
      <c r="M545">
        <v>3</v>
      </c>
      <c r="N545" s="2" t="s">
        <v>19</v>
      </c>
      <c r="O545">
        <v>0</v>
      </c>
    </row>
    <row r="546" spans="1:15" x14ac:dyDescent="0.3">
      <c r="A546" s="1">
        <v>45395</v>
      </c>
      <c r="B546" s="2" t="s">
        <v>20</v>
      </c>
      <c r="C546" s="2" t="s">
        <v>21</v>
      </c>
      <c r="D546" s="2" t="s">
        <v>18</v>
      </c>
      <c r="E546">
        <v>83.9</v>
      </c>
      <c r="F546">
        <v>34.28</v>
      </c>
      <c r="G546">
        <v>2</v>
      </c>
      <c r="H546">
        <f t="shared" si="8"/>
        <v>58562.910000000018</v>
      </c>
      <c r="I546" t="str">
        <f>IF(Sheet1[[#This Row],[Month_Revenue]] &lt; AVERAGE(Sheet1[Month_Revenue]), "Off-Peak", "Peak")</f>
        <v>Peak</v>
      </c>
      <c r="J546">
        <f xml:space="preserve"> IF(Sheet1[[#This Row],[Ad Spend]] &gt; 0, (Sheet1[[#This Row],[Profit]] / Sheet1[[#This Row],[Ad Spend]]), 0)</f>
        <v>1.4474912485414237</v>
      </c>
      <c r="K546">
        <f>Sheet1[[#This Row],[Revenue]]-Sheet1[[#This Row],[Ad Spend]]</f>
        <v>49.620000000000005</v>
      </c>
      <c r="L546" s="2" t="s">
        <v>14</v>
      </c>
      <c r="M546">
        <v>4</v>
      </c>
      <c r="N546" s="2" t="s">
        <v>19</v>
      </c>
      <c r="O546">
        <v>41.95</v>
      </c>
    </row>
    <row r="547" spans="1:15" x14ac:dyDescent="0.3">
      <c r="A547" s="1">
        <v>45331</v>
      </c>
      <c r="B547" s="2" t="s">
        <v>23</v>
      </c>
      <c r="C547" s="2" t="s">
        <v>17</v>
      </c>
      <c r="D547" s="2" t="s">
        <v>13</v>
      </c>
      <c r="E547">
        <v>48.27</v>
      </c>
      <c r="F547">
        <v>4.46</v>
      </c>
      <c r="G547">
        <v>3</v>
      </c>
      <c r="H547">
        <f t="shared" si="8"/>
        <v>48675.899999999936</v>
      </c>
      <c r="I547" t="str">
        <f>IF(Sheet1[[#This Row],[Month_Revenue]] &lt; AVERAGE(Sheet1[Month_Revenue]), "Off-Peak", "Peak")</f>
        <v>Off-Peak</v>
      </c>
      <c r="J547">
        <f xml:space="preserve"> IF(Sheet1[[#This Row],[Ad Spend]] &gt; 0, (Sheet1[[#This Row],[Profit]] / Sheet1[[#This Row],[Ad Spend]]), 0)</f>
        <v>9.8228699551569516</v>
      </c>
      <c r="K547">
        <f>Sheet1[[#This Row],[Revenue]]-Sheet1[[#This Row],[Ad Spend]]</f>
        <v>43.81</v>
      </c>
      <c r="L547" s="2" t="s">
        <v>22</v>
      </c>
      <c r="M547">
        <v>2</v>
      </c>
      <c r="N547" s="2" t="s">
        <v>15</v>
      </c>
      <c r="O547">
        <v>16.09</v>
      </c>
    </row>
    <row r="548" spans="1:15" x14ac:dyDescent="0.3">
      <c r="A548" s="1">
        <v>45342</v>
      </c>
      <c r="B548" s="2" t="s">
        <v>23</v>
      </c>
      <c r="C548" s="2" t="s">
        <v>21</v>
      </c>
      <c r="D548" s="2" t="s">
        <v>13</v>
      </c>
      <c r="E548">
        <v>131.31</v>
      </c>
      <c r="F548">
        <v>30.51</v>
      </c>
      <c r="G548">
        <v>1</v>
      </c>
      <c r="H548">
        <f t="shared" si="8"/>
        <v>48675.899999999936</v>
      </c>
      <c r="I548" t="str">
        <f>IF(Sheet1[[#This Row],[Month_Revenue]] &lt; AVERAGE(Sheet1[Month_Revenue]), "Off-Peak", "Peak")</f>
        <v>Off-Peak</v>
      </c>
      <c r="J548">
        <f xml:space="preserve"> IF(Sheet1[[#This Row],[Ad Spend]] &gt; 0, (Sheet1[[#This Row],[Profit]] / Sheet1[[#This Row],[Ad Spend]]), 0)</f>
        <v>3.303834808259587</v>
      </c>
      <c r="K548">
        <f>Sheet1[[#This Row],[Revenue]]-Sheet1[[#This Row],[Ad Spend]]</f>
        <v>100.8</v>
      </c>
      <c r="L548" s="2" t="s">
        <v>22</v>
      </c>
      <c r="M548">
        <v>2</v>
      </c>
      <c r="N548" s="2" t="s">
        <v>15</v>
      </c>
      <c r="O548">
        <v>131.31</v>
      </c>
    </row>
    <row r="549" spans="1:15" x14ac:dyDescent="0.3">
      <c r="A549" s="1">
        <v>45403</v>
      </c>
      <c r="B549" s="2" t="s">
        <v>11</v>
      </c>
      <c r="C549" s="2" t="s">
        <v>21</v>
      </c>
      <c r="D549" s="2" t="s">
        <v>18</v>
      </c>
      <c r="E549">
        <v>185.8</v>
      </c>
      <c r="F549">
        <v>23.65</v>
      </c>
      <c r="G549">
        <v>3</v>
      </c>
      <c r="H549">
        <f t="shared" si="8"/>
        <v>58562.910000000018</v>
      </c>
      <c r="I549" t="str">
        <f>IF(Sheet1[[#This Row],[Month_Revenue]] &lt; AVERAGE(Sheet1[Month_Revenue]), "Off-Peak", "Peak")</f>
        <v>Peak</v>
      </c>
      <c r="J549">
        <f xml:space="preserve"> IF(Sheet1[[#This Row],[Ad Spend]] &gt; 0, (Sheet1[[#This Row],[Profit]] / Sheet1[[#This Row],[Ad Spend]]), 0)</f>
        <v>6.8562367864693456</v>
      </c>
      <c r="K549">
        <f>Sheet1[[#This Row],[Revenue]]-Sheet1[[#This Row],[Ad Spend]]</f>
        <v>162.15</v>
      </c>
      <c r="L549" s="2" t="s">
        <v>14</v>
      </c>
      <c r="M549">
        <v>4</v>
      </c>
      <c r="N549" s="2" t="s">
        <v>19</v>
      </c>
      <c r="O549">
        <v>61.933333333333337</v>
      </c>
    </row>
    <row r="550" spans="1:15" x14ac:dyDescent="0.3">
      <c r="A550" s="1">
        <v>45313</v>
      </c>
      <c r="B550" s="2" t="s">
        <v>11</v>
      </c>
      <c r="C550" s="2" t="s">
        <v>17</v>
      </c>
      <c r="D550" s="2" t="s">
        <v>13</v>
      </c>
      <c r="E550">
        <v>36.51</v>
      </c>
      <c r="F550">
        <v>39.53</v>
      </c>
      <c r="G550">
        <v>3</v>
      </c>
      <c r="H550">
        <f t="shared" si="8"/>
        <v>61207.979999999989</v>
      </c>
      <c r="I550" t="str">
        <f>IF(Sheet1[[#This Row],[Month_Revenue]] &lt; AVERAGE(Sheet1[Month_Revenue]), "Off-Peak", "Peak")</f>
        <v>Peak</v>
      </c>
      <c r="J550">
        <f xml:space="preserve"> IF(Sheet1[[#This Row],[Ad Spend]] &gt; 0, (Sheet1[[#This Row],[Profit]] / Sheet1[[#This Row],[Ad Spend]]), 0)</f>
        <v>-7.6397672653680831E-2</v>
      </c>
      <c r="K550">
        <f>Sheet1[[#This Row],[Revenue]]-Sheet1[[#This Row],[Ad Spend]]</f>
        <v>-3.0200000000000031</v>
      </c>
      <c r="L550" s="2" t="s">
        <v>14</v>
      </c>
      <c r="M550">
        <v>1</v>
      </c>
      <c r="N550" s="2" t="s">
        <v>15</v>
      </c>
      <c r="O550">
        <v>12.17</v>
      </c>
    </row>
    <row r="551" spans="1:15" x14ac:dyDescent="0.3">
      <c r="A551" s="1">
        <v>45314</v>
      </c>
      <c r="B551" s="2" t="s">
        <v>20</v>
      </c>
      <c r="C551" s="2" t="s">
        <v>17</v>
      </c>
      <c r="D551" s="2" t="s">
        <v>18</v>
      </c>
      <c r="E551">
        <v>24.54</v>
      </c>
      <c r="F551">
        <v>37.409999999999997</v>
      </c>
      <c r="G551">
        <v>1</v>
      </c>
      <c r="H551">
        <f t="shared" si="8"/>
        <v>61207.979999999989</v>
      </c>
      <c r="I551" t="str">
        <f>IF(Sheet1[[#This Row],[Month_Revenue]] &lt; AVERAGE(Sheet1[Month_Revenue]), "Off-Peak", "Peak")</f>
        <v>Peak</v>
      </c>
      <c r="J551">
        <f xml:space="preserve"> IF(Sheet1[[#This Row],[Ad Spend]] &gt; 0, (Sheet1[[#This Row],[Profit]] / Sheet1[[#This Row],[Ad Spend]]), 0)</f>
        <v>-0.34402566158781073</v>
      </c>
      <c r="K551">
        <f>Sheet1[[#This Row],[Revenue]]-Sheet1[[#This Row],[Ad Spend]]</f>
        <v>-12.869999999999997</v>
      </c>
      <c r="L551" s="2" t="s">
        <v>22</v>
      </c>
      <c r="M551">
        <v>1</v>
      </c>
      <c r="N551" s="2" t="s">
        <v>15</v>
      </c>
      <c r="O551">
        <v>24.54</v>
      </c>
    </row>
    <row r="552" spans="1:15" x14ac:dyDescent="0.3">
      <c r="A552" s="1">
        <v>45368</v>
      </c>
      <c r="B552" s="2" t="s">
        <v>20</v>
      </c>
      <c r="C552" s="2" t="s">
        <v>21</v>
      </c>
      <c r="D552" s="2" t="s">
        <v>13</v>
      </c>
      <c r="E552">
        <v>32.630000000000003</v>
      </c>
      <c r="F552">
        <v>15.87</v>
      </c>
      <c r="G552">
        <v>0</v>
      </c>
      <c r="H552">
        <f t="shared" si="8"/>
        <v>54735.250000000029</v>
      </c>
      <c r="I552" t="str">
        <f>IF(Sheet1[[#This Row],[Month_Revenue]] &lt; AVERAGE(Sheet1[Month_Revenue]), "Off-Peak", "Peak")</f>
        <v>Off-Peak</v>
      </c>
      <c r="J552">
        <f xml:space="preserve"> IF(Sheet1[[#This Row],[Ad Spend]] &gt; 0, (Sheet1[[#This Row],[Profit]] / Sheet1[[#This Row],[Ad Spend]]), 0)</f>
        <v>1.0560806553245121</v>
      </c>
      <c r="K552">
        <f>Sheet1[[#This Row],[Revenue]]-Sheet1[[#This Row],[Ad Spend]]</f>
        <v>16.760000000000005</v>
      </c>
      <c r="L552" s="2" t="s">
        <v>14</v>
      </c>
      <c r="M552">
        <v>3</v>
      </c>
      <c r="N552" s="2" t="s">
        <v>19</v>
      </c>
      <c r="O552">
        <v>0</v>
      </c>
    </row>
    <row r="553" spans="1:15" x14ac:dyDescent="0.3">
      <c r="A553" s="1">
        <v>45358</v>
      </c>
      <c r="B553" s="2" t="s">
        <v>16</v>
      </c>
      <c r="C553" s="2" t="s">
        <v>12</v>
      </c>
      <c r="D553" s="2" t="s">
        <v>18</v>
      </c>
      <c r="E553">
        <v>62.44</v>
      </c>
      <c r="F553">
        <v>23.22</v>
      </c>
      <c r="G553">
        <v>0</v>
      </c>
      <c r="H553">
        <f t="shared" si="8"/>
        <v>54735.250000000029</v>
      </c>
      <c r="I553" t="str">
        <f>IF(Sheet1[[#This Row],[Month_Revenue]] &lt; AVERAGE(Sheet1[Month_Revenue]), "Off-Peak", "Peak")</f>
        <v>Off-Peak</v>
      </c>
      <c r="J553">
        <f xml:space="preserve"> IF(Sheet1[[#This Row],[Ad Spend]] &gt; 0, (Sheet1[[#This Row],[Profit]] / Sheet1[[#This Row],[Ad Spend]]), 0)</f>
        <v>1.6890611541774332</v>
      </c>
      <c r="K553">
        <f>Sheet1[[#This Row],[Revenue]]-Sheet1[[#This Row],[Ad Spend]]</f>
        <v>39.22</v>
      </c>
      <c r="L553" s="2" t="s">
        <v>22</v>
      </c>
      <c r="M553">
        <v>3</v>
      </c>
      <c r="N553" s="2" t="s">
        <v>19</v>
      </c>
      <c r="O553">
        <v>0</v>
      </c>
    </row>
    <row r="554" spans="1:15" x14ac:dyDescent="0.3">
      <c r="A554" s="1">
        <v>45400</v>
      </c>
      <c r="B554" s="2" t="s">
        <v>11</v>
      </c>
      <c r="C554" s="2" t="s">
        <v>17</v>
      </c>
      <c r="D554" s="2" t="s">
        <v>13</v>
      </c>
      <c r="E554">
        <v>55.11</v>
      </c>
      <c r="F554">
        <v>4</v>
      </c>
      <c r="G554">
        <v>2</v>
      </c>
      <c r="H554">
        <f t="shared" si="8"/>
        <v>58562.910000000018</v>
      </c>
      <c r="I554" t="str">
        <f>IF(Sheet1[[#This Row],[Month_Revenue]] &lt; AVERAGE(Sheet1[Month_Revenue]), "Off-Peak", "Peak")</f>
        <v>Peak</v>
      </c>
      <c r="J554">
        <f xml:space="preserve"> IF(Sheet1[[#This Row],[Ad Spend]] &gt; 0, (Sheet1[[#This Row],[Profit]] / Sheet1[[#This Row],[Ad Spend]]), 0)</f>
        <v>12.7775</v>
      </c>
      <c r="K554">
        <f>Sheet1[[#This Row],[Revenue]]-Sheet1[[#This Row],[Ad Spend]]</f>
        <v>51.11</v>
      </c>
      <c r="L554" s="2" t="s">
        <v>14</v>
      </c>
      <c r="M554">
        <v>4</v>
      </c>
      <c r="N554" s="2" t="s">
        <v>19</v>
      </c>
      <c r="O554">
        <v>27.555</v>
      </c>
    </row>
    <row r="555" spans="1:15" x14ac:dyDescent="0.3">
      <c r="A555" s="1">
        <v>45327</v>
      </c>
      <c r="B555" s="2" t="s">
        <v>20</v>
      </c>
      <c r="C555" s="2" t="s">
        <v>21</v>
      </c>
      <c r="D555" s="2" t="s">
        <v>18</v>
      </c>
      <c r="E555">
        <v>87.74</v>
      </c>
      <c r="F555">
        <v>0.81</v>
      </c>
      <c r="G555">
        <v>1</v>
      </c>
      <c r="H555">
        <f t="shared" si="8"/>
        <v>48675.899999999936</v>
      </c>
      <c r="I555" t="str">
        <f>IF(Sheet1[[#This Row],[Month_Revenue]] &lt; AVERAGE(Sheet1[Month_Revenue]), "Off-Peak", "Peak")</f>
        <v>Off-Peak</v>
      </c>
      <c r="J555">
        <f xml:space="preserve"> IF(Sheet1[[#This Row],[Ad Spend]] &gt; 0, (Sheet1[[#This Row],[Profit]] / Sheet1[[#This Row],[Ad Spend]]), 0)</f>
        <v>107.32098765432097</v>
      </c>
      <c r="K555">
        <f>Sheet1[[#This Row],[Revenue]]-Sheet1[[#This Row],[Ad Spend]]</f>
        <v>86.929999999999993</v>
      </c>
      <c r="L555" s="2" t="s">
        <v>22</v>
      </c>
      <c r="M555">
        <v>2</v>
      </c>
      <c r="N555" s="2" t="s">
        <v>15</v>
      </c>
      <c r="O555">
        <v>87.74</v>
      </c>
    </row>
    <row r="556" spans="1:15" x14ac:dyDescent="0.3">
      <c r="A556" s="1">
        <v>45322</v>
      </c>
      <c r="B556" s="2" t="s">
        <v>24</v>
      </c>
      <c r="C556" s="2" t="s">
        <v>21</v>
      </c>
      <c r="D556" s="2" t="s">
        <v>18</v>
      </c>
      <c r="E556">
        <v>180.78</v>
      </c>
      <c r="F556">
        <v>20.64</v>
      </c>
      <c r="G556">
        <v>0</v>
      </c>
      <c r="H556">
        <f t="shared" si="8"/>
        <v>61207.979999999989</v>
      </c>
      <c r="I556" t="str">
        <f>IF(Sheet1[[#This Row],[Month_Revenue]] &lt; AVERAGE(Sheet1[Month_Revenue]), "Off-Peak", "Peak")</f>
        <v>Peak</v>
      </c>
      <c r="J556">
        <f xml:space="preserve"> IF(Sheet1[[#This Row],[Ad Spend]] &gt; 0, (Sheet1[[#This Row],[Profit]] / Sheet1[[#This Row],[Ad Spend]]), 0)</f>
        <v>7.758720930232557</v>
      </c>
      <c r="K556">
        <f>Sheet1[[#This Row],[Revenue]]-Sheet1[[#This Row],[Ad Spend]]</f>
        <v>160.13999999999999</v>
      </c>
      <c r="L556" s="2" t="s">
        <v>14</v>
      </c>
      <c r="M556">
        <v>1</v>
      </c>
      <c r="N556" s="2" t="s">
        <v>15</v>
      </c>
      <c r="O556">
        <v>0</v>
      </c>
    </row>
    <row r="557" spans="1:15" x14ac:dyDescent="0.3">
      <c r="A557" s="1">
        <v>45412</v>
      </c>
      <c r="B557" s="2" t="s">
        <v>24</v>
      </c>
      <c r="C557" s="2" t="s">
        <v>17</v>
      </c>
      <c r="D557" s="2" t="s">
        <v>18</v>
      </c>
      <c r="E557">
        <v>71.67</v>
      </c>
      <c r="F557">
        <v>23.76</v>
      </c>
      <c r="G557">
        <v>1</v>
      </c>
      <c r="H557">
        <f t="shared" si="8"/>
        <v>58562.910000000018</v>
      </c>
      <c r="I557" t="str">
        <f>IF(Sheet1[[#This Row],[Month_Revenue]] &lt; AVERAGE(Sheet1[Month_Revenue]), "Off-Peak", "Peak")</f>
        <v>Peak</v>
      </c>
      <c r="J557">
        <f xml:space="preserve"> IF(Sheet1[[#This Row],[Ad Spend]] &gt; 0, (Sheet1[[#This Row],[Profit]] / Sheet1[[#This Row],[Ad Spend]]), 0)</f>
        <v>2.016414141414141</v>
      </c>
      <c r="K557">
        <f>Sheet1[[#This Row],[Revenue]]-Sheet1[[#This Row],[Ad Spend]]</f>
        <v>47.91</v>
      </c>
      <c r="L557" s="2" t="s">
        <v>14</v>
      </c>
      <c r="M557">
        <v>4</v>
      </c>
      <c r="N557" s="2" t="s">
        <v>19</v>
      </c>
      <c r="O557">
        <v>71.67</v>
      </c>
    </row>
    <row r="558" spans="1:15" x14ac:dyDescent="0.3">
      <c r="A558" s="1">
        <v>45385</v>
      </c>
      <c r="B558" s="2" t="s">
        <v>24</v>
      </c>
      <c r="C558" s="2" t="s">
        <v>12</v>
      </c>
      <c r="D558" s="2" t="s">
        <v>13</v>
      </c>
      <c r="E558">
        <v>36.590000000000003</v>
      </c>
      <c r="F558">
        <v>25.3</v>
      </c>
      <c r="G558">
        <v>2</v>
      </c>
      <c r="H558">
        <f t="shared" si="8"/>
        <v>58562.910000000018</v>
      </c>
      <c r="I558" t="str">
        <f>IF(Sheet1[[#This Row],[Month_Revenue]] &lt; AVERAGE(Sheet1[Month_Revenue]), "Off-Peak", "Peak")</f>
        <v>Peak</v>
      </c>
      <c r="J558">
        <f xml:space="preserve"> IF(Sheet1[[#This Row],[Ad Spend]] &gt; 0, (Sheet1[[#This Row],[Profit]] / Sheet1[[#This Row],[Ad Spend]]), 0)</f>
        <v>0.44624505928853764</v>
      </c>
      <c r="K558">
        <f>Sheet1[[#This Row],[Revenue]]-Sheet1[[#This Row],[Ad Spend]]</f>
        <v>11.290000000000003</v>
      </c>
      <c r="L558" s="2" t="s">
        <v>22</v>
      </c>
      <c r="M558">
        <v>4</v>
      </c>
      <c r="N558" s="2" t="s">
        <v>19</v>
      </c>
      <c r="O558">
        <v>18.295000000000002</v>
      </c>
    </row>
    <row r="559" spans="1:15" x14ac:dyDescent="0.3">
      <c r="A559" s="1">
        <v>45396</v>
      </c>
      <c r="B559" s="2" t="s">
        <v>20</v>
      </c>
      <c r="C559" s="2" t="s">
        <v>17</v>
      </c>
      <c r="D559" s="2" t="s">
        <v>18</v>
      </c>
      <c r="E559">
        <v>96.83</v>
      </c>
      <c r="F559">
        <v>21.15</v>
      </c>
      <c r="G559">
        <v>1</v>
      </c>
      <c r="H559">
        <f t="shared" si="8"/>
        <v>58562.910000000018</v>
      </c>
      <c r="I559" t="str">
        <f>IF(Sheet1[[#This Row],[Month_Revenue]] &lt; AVERAGE(Sheet1[Month_Revenue]), "Off-Peak", "Peak")</f>
        <v>Peak</v>
      </c>
      <c r="J559">
        <f xml:space="preserve"> IF(Sheet1[[#This Row],[Ad Spend]] &gt; 0, (Sheet1[[#This Row],[Profit]] / Sheet1[[#This Row],[Ad Spend]]), 0)</f>
        <v>3.5782505910165492</v>
      </c>
      <c r="K559">
        <f>Sheet1[[#This Row],[Revenue]]-Sheet1[[#This Row],[Ad Spend]]</f>
        <v>75.680000000000007</v>
      </c>
      <c r="L559" s="2" t="s">
        <v>14</v>
      </c>
      <c r="M559">
        <v>4</v>
      </c>
      <c r="N559" s="2" t="s">
        <v>19</v>
      </c>
      <c r="O559">
        <v>96.83</v>
      </c>
    </row>
    <row r="560" spans="1:15" x14ac:dyDescent="0.3">
      <c r="A560" s="1">
        <v>45294</v>
      </c>
      <c r="B560" s="2" t="s">
        <v>11</v>
      </c>
      <c r="C560" s="2" t="s">
        <v>21</v>
      </c>
      <c r="D560" s="2" t="s">
        <v>13</v>
      </c>
      <c r="E560">
        <v>162.74</v>
      </c>
      <c r="F560">
        <v>19.440000000000001</v>
      </c>
      <c r="G560">
        <v>0</v>
      </c>
      <c r="H560">
        <f t="shared" si="8"/>
        <v>61207.979999999989</v>
      </c>
      <c r="I560" t="str">
        <f>IF(Sheet1[[#This Row],[Month_Revenue]] &lt; AVERAGE(Sheet1[Month_Revenue]), "Off-Peak", "Peak")</f>
        <v>Peak</v>
      </c>
      <c r="J560">
        <f xml:space="preserve"> IF(Sheet1[[#This Row],[Ad Spend]] &gt; 0, (Sheet1[[#This Row],[Profit]] / Sheet1[[#This Row],[Ad Spend]]), 0)</f>
        <v>7.3713991769547329</v>
      </c>
      <c r="K560">
        <f>Sheet1[[#This Row],[Revenue]]-Sheet1[[#This Row],[Ad Spend]]</f>
        <v>143.30000000000001</v>
      </c>
      <c r="L560" s="2" t="s">
        <v>14</v>
      </c>
      <c r="M560">
        <v>1</v>
      </c>
      <c r="N560" s="2" t="s">
        <v>15</v>
      </c>
      <c r="O560">
        <v>0</v>
      </c>
    </row>
    <row r="561" spans="1:15" x14ac:dyDescent="0.3">
      <c r="A561" s="1">
        <v>45337</v>
      </c>
      <c r="B561" s="2" t="s">
        <v>11</v>
      </c>
      <c r="C561" s="2" t="s">
        <v>21</v>
      </c>
      <c r="D561" s="2" t="s">
        <v>18</v>
      </c>
      <c r="E561">
        <v>170.7</v>
      </c>
      <c r="F561">
        <v>7.57</v>
      </c>
      <c r="G561">
        <v>3</v>
      </c>
      <c r="H561">
        <f t="shared" si="8"/>
        <v>48675.899999999936</v>
      </c>
      <c r="I561" t="str">
        <f>IF(Sheet1[[#This Row],[Month_Revenue]] &lt; AVERAGE(Sheet1[Month_Revenue]), "Off-Peak", "Peak")</f>
        <v>Off-Peak</v>
      </c>
      <c r="J561">
        <f xml:space="preserve"> IF(Sheet1[[#This Row],[Ad Spend]] &gt; 0, (Sheet1[[#This Row],[Profit]] / Sheet1[[#This Row],[Ad Spend]]), 0)</f>
        <v>21.549537648612944</v>
      </c>
      <c r="K561">
        <f>Sheet1[[#This Row],[Revenue]]-Sheet1[[#This Row],[Ad Spend]]</f>
        <v>163.13</v>
      </c>
      <c r="L561" s="2" t="s">
        <v>14</v>
      </c>
      <c r="M561">
        <v>2</v>
      </c>
      <c r="N561" s="2" t="s">
        <v>15</v>
      </c>
      <c r="O561">
        <v>56.9</v>
      </c>
    </row>
    <row r="562" spans="1:15" x14ac:dyDescent="0.3">
      <c r="A562" s="1">
        <v>45381</v>
      </c>
      <c r="B562" s="2" t="s">
        <v>23</v>
      </c>
      <c r="C562" s="2" t="s">
        <v>12</v>
      </c>
      <c r="D562" s="2" t="s">
        <v>18</v>
      </c>
      <c r="E562">
        <v>121.95</v>
      </c>
      <c r="F562">
        <v>21.51</v>
      </c>
      <c r="G562">
        <v>3</v>
      </c>
      <c r="H562">
        <f t="shared" si="8"/>
        <v>54735.250000000029</v>
      </c>
      <c r="I562" t="str">
        <f>IF(Sheet1[[#This Row],[Month_Revenue]] &lt; AVERAGE(Sheet1[Month_Revenue]), "Off-Peak", "Peak")</f>
        <v>Off-Peak</v>
      </c>
      <c r="J562">
        <f xml:space="preserve"> IF(Sheet1[[#This Row],[Ad Spend]] &gt; 0, (Sheet1[[#This Row],[Profit]] / Sheet1[[#This Row],[Ad Spend]]), 0)</f>
        <v>4.6694560669456067</v>
      </c>
      <c r="K562">
        <f>Sheet1[[#This Row],[Revenue]]-Sheet1[[#This Row],[Ad Spend]]</f>
        <v>100.44</v>
      </c>
      <c r="L562" s="2" t="s">
        <v>14</v>
      </c>
      <c r="M562">
        <v>3</v>
      </c>
      <c r="N562" s="2" t="s">
        <v>19</v>
      </c>
      <c r="O562">
        <v>40.65</v>
      </c>
    </row>
    <row r="563" spans="1:15" x14ac:dyDescent="0.3">
      <c r="A563" s="1">
        <v>45330</v>
      </c>
      <c r="B563" s="2" t="s">
        <v>11</v>
      </c>
      <c r="C563" s="2" t="s">
        <v>12</v>
      </c>
      <c r="D563" s="2" t="s">
        <v>18</v>
      </c>
      <c r="E563">
        <v>48.73</v>
      </c>
      <c r="F563">
        <v>30.91</v>
      </c>
      <c r="G563">
        <v>2</v>
      </c>
      <c r="H563">
        <f t="shared" si="8"/>
        <v>48675.899999999936</v>
      </c>
      <c r="I563" t="str">
        <f>IF(Sheet1[[#This Row],[Month_Revenue]] &lt; AVERAGE(Sheet1[Month_Revenue]), "Off-Peak", "Peak")</f>
        <v>Off-Peak</v>
      </c>
      <c r="J563">
        <f xml:space="preserve"> IF(Sheet1[[#This Row],[Ad Spend]] &gt; 0, (Sheet1[[#This Row],[Profit]] / Sheet1[[#This Row],[Ad Spend]]), 0)</f>
        <v>0.57651245551601416</v>
      </c>
      <c r="K563">
        <f>Sheet1[[#This Row],[Revenue]]-Sheet1[[#This Row],[Ad Spend]]</f>
        <v>17.819999999999997</v>
      </c>
      <c r="L563" s="2" t="s">
        <v>22</v>
      </c>
      <c r="M563">
        <v>2</v>
      </c>
      <c r="N563" s="2" t="s">
        <v>15</v>
      </c>
      <c r="O563">
        <v>24.364999999999998</v>
      </c>
    </row>
    <row r="564" spans="1:15" x14ac:dyDescent="0.3">
      <c r="A564" s="1">
        <v>45349</v>
      </c>
      <c r="B564" s="2" t="s">
        <v>16</v>
      </c>
      <c r="C564" s="2" t="s">
        <v>21</v>
      </c>
      <c r="D564" s="2" t="s">
        <v>13</v>
      </c>
      <c r="E564">
        <v>92.98</v>
      </c>
      <c r="F564">
        <v>20.82</v>
      </c>
      <c r="G564">
        <v>2</v>
      </c>
      <c r="H564">
        <f t="shared" si="8"/>
        <v>48675.899999999936</v>
      </c>
      <c r="I564" t="str">
        <f>IF(Sheet1[[#This Row],[Month_Revenue]] &lt; AVERAGE(Sheet1[Month_Revenue]), "Off-Peak", "Peak")</f>
        <v>Off-Peak</v>
      </c>
      <c r="J564">
        <f xml:space="preserve"> IF(Sheet1[[#This Row],[Ad Spend]] &gt; 0, (Sheet1[[#This Row],[Profit]] / Sheet1[[#This Row],[Ad Spend]]), 0)</f>
        <v>3.4658981748318922</v>
      </c>
      <c r="K564">
        <f>Sheet1[[#This Row],[Revenue]]-Sheet1[[#This Row],[Ad Spend]]</f>
        <v>72.16</v>
      </c>
      <c r="L564" s="2" t="s">
        <v>22</v>
      </c>
      <c r="M564">
        <v>2</v>
      </c>
      <c r="N564" s="2" t="s">
        <v>15</v>
      </c>
      <c r="O564">
        <v>46.49</v>
      </c>
    </row>
    <row r="565" spans="1:15" x14ac:dyDescent="0.3">
      <c r="A565" s="1">
        <v>45412</v>
      </c>
      <c r="B565" s="2" t="s">
        <v>11</v>
      </c>
      <c r="C565" s="2" t="s">
        <v>12</v>
      </c>
      <c r="D565" s="2" t="s">
        <v>18</v>
      </c>
      <c r="E565">
        <v>61.25</v>
      </c>
      <c r="F565">
        <v>7.42</v>
      </c>
      <c r="G565">
        <v>3</v>
      </c>
      <c r="H565">
        <f t="shared" si="8"/>
        <v>58562.910000000018</v>
      </c>
      <c r="I565" t="str">
        <f>IF(Sheet1[[#This Row],[Month_Revenue]] &lt; AVERAGE(Sheet1[Month_Revenue]), "Off-Peak", "Peak")</f>
        <v>Peak</v>
      </c>
      <c r="J565">
        <f xml:space="preserve"> IF(Sheet1[[#This Row],[Ad Spend]] &gt; 0, (Sheet1[[#This Row],[Profit]] / Sheet1[[#This Row],[Ad Spend]]), 0)</f>
        <v>7.2547169811320753</v>
      </c>
      <c r="K565">
        <f>Sheet1[[#This Row],[Revenue]]-Sheet1[[#This Row],[Ad Spend]]</f>
        <v>53.83</v>
      </c>
      <c r="L565" s="2" t="s">
        <v>14</v>
      </c>
      <c r="M565">
        <v>4</v>
      </c>
      <c r="N565" s="2" t="s">
        <v>19</v>
      </c>
      <c r="O565">
        <v>20.416666666666668</v>
      </c>
    </row>
    <row r="566" spans="1:15" x14ac:dyDescent="0.3">
      <c r="A566" s="1">
        <v>45394</v>
      </c>
      <c r="B566" s="2" t="s">
        <v>11</v>
      </c>
      <c r="C566" s="2" t="s">
        <v>17</v>
      </c>
      <c r="D566" s="2" t="s">
        <v>13</v>
      </c>
      <c r="E566">
        <v>54.62</v>
      </c>
      <c r="F566">
        <v>43.99</v>
      </c>
      <c r="G566">
        <v>0</v>
      </c>
      <c r="H566">
        <f t="shared" si="8"/>
        <v>58562.910000000018</v>
      </c>
      <c r="I566" t="str">
        <f>IF(Sheet1[[#This Row],[Month_Revenue]] &lt; AVERAGE(Sheet1[Month_Revenue]), "Off-Peak", "Peak")</f>
        <v>Peak</v>
      </c>
      <c r="J566">
        <f xml:space="preserve"> IF(Sheet1[[#This Row],[Ad Spend]] &gt; 0, (Sheet1[[#This Row],[Profit]] / Sheet1[[#This Row],[Ad Spend]]), 0)</f>
        <v>0.24164582859740838</v>
      </c>
      <c r="K566">
        <f>Sheet1[[#This Row],[Revenue]]-Sheet1[[#This Row],[Ad Spend]]</f>
        <v>10.629999999999995</v>
      </c>
      <c r="L566" s="2" t="s">
        <v>14</v>
      </c>
      <c r="M566">
        <v>4</v>
      </c>
      <c r="N566" s="2" t="s">
        <v>19</v>
      </c>
      <c r="O566">
        <v>0</v>
      </c>
    </row>
    <row r="567" spans="1:15" x14ac:dyDescent="0.3">
      <c r="A567" s="1">
        <v>45401</v>
      </c>
      <c r="B567" s="2" t="s">
        <v>16</v>
      </c>
      <c r="C567" s="2" t="s">
        <v>17</v>
      </c>
      <c r="D567" s="2" t="s">
        <v>18</v>
      </c>
      <c r="E567">
        <v>178.38</v>
      </c>
      <c r="F567">
        <v>9.08</v>
      </c>
      <c r="G567">
        <v>3</v>
      </c>
      <c r="H567">
        <f t="shared" si="8"/>
        <v>58562.910000000018</v>
      </c>
      <c r="I567" t="str">
        <f>IF(Sheet1[[#This Row],[Month_Revenue]] &lt; AVERAGE(Sheet1[Month_Revenue]), "Off-Peak", "Peak")</f>
        <v>Peak</v>
      </c>
      <c r="J567">
        <f xml:space="preserve"> IF(Sheet1[[#This Row],[Ad Spend]] &gt; 0, (Sheet1[[#This Row],[Profit]] / Sheet1[[#This Row],[Ad Spend]]), 0)</f>
        <v>18.645374449339204</v>
      </c>
      <c r="K567">
        <f>Sheet1[[#This Row],[Revenue]]-Sheet1[[#This Row],[Ad Spend]]</f>
        <v>169.29999999999998</v>
      </c>
      <c r="L567" s="2" t="s">
        <v>14</v>
      </c>
      <c r="M567">
        <v>4</v>
      </c>
      <c r="N567" s="2" t="s">
        <v>19</v>
      </c>
      <c r="O567">
        <v>59.46</v>
      </c>
    </row>
    <row r="568" spans="1:15" x14ac:dyDescent="0.3">
      <c r="A568" s="1">
        <v>45393</v>
      </c>
      <c r="B568" s="2" t="s">
        <v>16</v>
      </c>
      <c r="C568" s="2" t="s">
        <v>21</v>
      </c>
      <c r="D568" s="2" t="s">
        <v>18</v>
      </c>
      <c r="E568">
        <v>198.7</v>
      </c>
      <c r="F568">
        <v>15.29</v>
      </c>
      <c r="G568">
        <v>0</v>
      </c>
      <c r="H568">
        <f t="shared" si="8"/>
        <v>58562.910000000018</v>
      </c>
      <c r="I568" t="str">
        <f>IF(Sheet1[[#This Row],[Month_Revenue]] &lt; AVERAGE(Sheet1[Month_Revenue]), "Off-Peak", "Peak")</f>
        <v>Peak</v>
      </c>
      <c r="J568">
        <f xml:space="preserve"> IF(Sheet1[[#This Row],[Ad Spend]] &gt; 0, (Sheet1[[#This Row],[Profit]] / Sheet1[[#This Row],[Ad Spend]]), 0)</f>
        <v>11.995421844342708</v>
      </c>
      <c r="K568">
        <f>Sheet1[[#This Row],[Revenue]]-Sheet1[[#This Row],[Ad Spend]]</f>
        <v>183.41</v>
      </c>
      <c r="L568" s="2" t="s">
        <v>14</v>
      </c>
      <c r="M568">
        <v>4</v>
      </c>
      <c r="N568" s="2" t="s">
        <v>19</v>
      </c>
      <c r="O568">
        <v>0</v>
      </c>
    </row>
    <row r="569" spans="1:15" x14ac:dyDescent="0.3">
      <c r="A569" s="1">
        <v>45406</v>
      </c>
      <c r="B569" s="2" t="s">
        <v>24</v>
      </c>
      <c r="C569" s="2" t="s">
        <v>17</v>
      </c>
      <c r="D569" s="2" t="s">
        <v>18</v>
      </c>
      <c r="E569">
        <v>167.46</v>
      </c>
      <c r="F569">
        <v>3.19</v>
      </c>
      <c r="G569">
        <v>2</v>
      </c>
      <c r="H569">
        <f t="shared" si="8"/>
        <v>58562.910000000018</v>
      </c>
      <c r="I569" t="str">
        <f>IF(Sheet1[[#This Row],[Month_Revenue]] &lt; AVERAGE(Sheet1[Month_Revenue]), "Off-Peak", "Peak")</f>
        <v>Peak</v>
      </c>
      <c r="J569">
        <f xml:space="preserve"> IF(Sheet1[[#This Row],[Ad Spend]] &gt; 0, (Sheet1[[#This Row],[Profit]] / Sheet1[[#This Row],[Ad Spend]]), 0)</f>
        <v>51.495297805642636</v>
      </c>
      <c r="K569">
        <f>Sheet1[[#This Row],[Revenue]]-Sheet1[[#This Row],[Ad Spend]]</f>
        <v>164.27</v>
      </c>
      <c r="L569" s="2" t="s">
        <v>14</v>
      </c>
      <c r="M569">
        <v>4</v>
      </c>
      <c r="N569" s="2" t="s">
        <v>19</v>
      </c>
      <c r="O569">
        <v>83.73</v>
      </c>
    </row>
    <row r="570" spans="1:15" x14ac:dyDescent="0.3">
      <c r="A570" s="1">
        <v>45308</v>
      </c>
      <c r="B570" s="2" t="s">
        <v>24</v>
      </c>
      <c r="C570" s="2" t="s">
        <v>21</v>
      </c>
      <c r="D570" s="2" t="s">
        <v>13</v>
      </c>
      <c r="E570">
        <v>120.47</v>
      </c>
      <c r="F570">
        <v>4.68</v>
      </c>
      <c r="G570">
        <v>0</v>
      </c>
      <c r="H570">
        <f t="shared" si="8"/>
        <v>61207.979999999989</v>
      </c>
      <c r="I570" t="str">
        <f>IF(Sheet1[[#This Row],[Month_Revenue]] &lt; AVERAGE(Sheet1[Month_Revenue]), "Off-Peak", "Peak")</f>
        <v>Peak</v>
      </c>
      <c r="J570">
        <f xml:space="preserve"> IF(Sheet1[[#This Row],[Ad Spend]] &gt; 0, (Sheet1[[#This Row],[Profit]] / Sheet1[[#This Row],[Ad Spend]]), 0)</f>
        <v>24.741452991452991</v>
      </c>
      <c r="K570">
        <f>Sheet1[[#This Row],[Revenue]]-Sheet1[[#This Row],[Ad Spend]]</f>
        <v>115.78999999999999</v>
      </c>
      <c r="L570" s="2" t="s">
        <v>14</v>
      </c>
      <c r="M570">
        <v>1</v>
      </c>
      <c r="N570" s="2" t="s">
        <v>15</v>
      </c>
      <c r="O570">
        <v>0</v>
      </c>
    </row>
    <row r="571" spans="1:15" x14ac:dyDescent="0.3">
      <c r="A571" s="1">
        <v>45390</v>
      </c>
      <c r="B571" s="2" t="s">
        <v>20</v>
      </c>
      <c r="C571" s="2" t="s">
        <v>21</v>
      </c>
      <c r="D571" s="2" t="s">
        <v>18</v>
      </c>
      <c r="E571">
        <v>144.24</v>
      </c>
      <c r="F571">
        <v>44.32</v>
      </c>
      <c r="G571">
        <v>0</v>
      </c>
      <c r="H571">
        <f t="shared" si="8"/>
        <v>58562.910000000018</v>
      </c>
      <c r="I571" t="str">
        <f>IF(Sheet1[[#This Row],[Month_Revenue]] &lt; AVERAGE(Sheet1[Month_Revenue]), "Off-Peak", "Peak")</f>
        <v>Peak</v>
      </c>
      <c r="J571">
        <f xml:space="preserve"> IF(Sheet1[[#This Row],[Ad Spend]] &gt; 0, (Sheet1[[#This Row],[Profit]] / Sheet1[[#This Row],[Ad Spend]]), 0)</f>
        <v>2.2545126353790619</v>
      </c>
      <c r="K571">
        <f>Sheet1[[#This Row],[Revenue]]-Sheet1[[#This Row],[Ad Spend]]</f>
        <v>99.920000000000016</v>
      </c>
      <c r="L571" s="2" t="s">
        <v>22</v>
      </c>
      <c r="M571">
        <v>4</v>
      </c>
      <c r="N571" s="2" t="s">
        <v>19</v>
      </c>
      <c r="O571">
        <v>0</v>
      </c>
    </row>
    <row r="572" spans="1:15" x14ac:dyDescent="0.3">
      <c r="A572" s="1">
        <v>45308</v>
      </c>
      <c r="B572" s="2" t="s">
        <v>16</v>
      </c>
      <c r="C572" s="2" t="s">
        <v>21</v>
      </c>
      <c r="D572" s="2" t="s">
        <v>13</v>
      </c>
      <c r="E572">
        <v>63.91</v>
      </c>
      <c r="F572">
        <v>40.69</v>
      </c>
      <c r="G572">
        <v>1</v>
      </c>
      <c r="H572">
        <f t="shared" si="8"/>
        <v>61207.979999999989</v>
      </c>
      <c r="I572" t="str">
        <f>IF(Sheet1[[#This Row],[Month_Revenue]] &lt; AVERAGE(Sheet1[Month_Revenue]), "Off-Peak", "Peak")</f>
        <v>Peak</v>
      </c>
      <c r="J572">
        <f xml:space="preserve"> IF(Sheet1[[#This Row],[Ad Spend]] &gt; 0, (Sheet1[[#This Row],[Profit]] / Sheet1[[#This Row],[Ad Spend]]), 0)</f>
        <v>0.57065618087982306</v>
      </c>
      <c r="K572">
        <f>Sheet1[[#This Row],[Revenue]]-Sheet1[[#This Row],[Ad Spend]]</f>
        <v>23.22</v>
      </c>
      <c r="L572" s="2" t="s">
        <v>22</v>
      </c>
      <c r="M572">
        <v>1</v>
      </c>
      <c r="N572" s="2" t="s">
        <v>15</v>
      </c>
      <c r="O572">
        <v>63.91</v>
      </c>
    </row>
    <row r="573" spans="1:15" x14ac:dyDescent="0.3">
      <c r="A573" s="1">
        <v>45409</v>
      </c>
      <c r="B573" s="2" t="s">
        <v>20</v>
      </c>
      <c r="C573" s="2" t="s">
        <v>12</v>
      </c>
      <c r="D573" s="2" t="s">
        <v>13</v>
      </c>
      <c r="E573">
        <v>49.3</v>
      </c>
      <c r="F573">
        <v>11.71</v>
      </c>
      <c r="G573">
        <v>2</v>
      </c>
      <c r="H573">
        <f t="shared" si="8"/>
        <v>58562.910000000018</v>
      </c>
      <c r="I573" t="str">
        <f>IF(Sheet1[[#This Row],[Month_Revenue]] &lt; AVERAGE(Sheet1[Month_Revenue]), "Off-Peak", "Peak")</f>
        <v>Peak</v>
      </c>
      <c r="J573">
        <f xml:space="preserve"> IF(Sheet1[[#This Row],[Ad Spend]] &gt; 0, (Sheet1[[#This Row],[Profit]] / Sheet1[[#This Row],[Ad Spend]]), 0)</f>
        <v>3.2100768573868481</v>
      </c>
      <c r="K573">
        <f>Sheet1[[#This Row],[Revenue]]-Sheet1[[#This Row],[Ad Spend]]</f>
        <v>37.589999999999996</v>
      </c>
      <c r="L573" s="2" t="s">
        <v>22</v>
      </c>
      <c r="M573">
        <v>4</v>
      </c>
      <c r="N573" s="2" t="s">
        <v>19</v>
      </c>
      <c r="O573">
        <v>24.65</v>
      </c>
    </row>
    <row r="574" spans="1:15" x14ac:dyDescent="0.3">
      <c r="A574" s="1">
        <v>45407</v>
      </c>
      <c r="B574" s="2" t="s">
        <v>16</v>
      </c>
      <c r="C574" s="2" t="s">
        <v>12</v>
      </c>
      <c r="D574" s="2" t="s">
        <v>13</v>
      </c>
      <c r="E574">
        <v>55.47</v>
      </c>
      <c r="F574">
        <v>15.68</v>
      </c>
      <c r="G574">
        <v>0</v>
      </c>
      <c r="H574">
        <f t="shared" si="8"/>
        <v>58562.910000000018</v>
      </c>
      <c r="I574" t="str">
        <f>IF(Sheet1[[#This Row],[Month_Revenue]] &lt; AVERAGE(Sheet1[Month_Revenue]), "Off-Peak", "Peak")</f>
        <v>Peak</v>
      </c>
      <c r="J574">
        <f xml:space="preserve"> IF(Sheet1[[#This Row],[Ad Spend]] &gt; 0, (Sheet1[[#This Row],[Profit]] / Sheet1[[#This Row],[Ad Spend]]), 0)</f>
        <v>2.537627551020408</v>
      </c>
      <c r="K574">
        <f>Sheet1[[#This Row],[Revenue]]-Sheet1[[#This Row],[Ad Spend]]</f>
        <v>39.79</v>
      </c>
      <c r="L574" s="2" t="s">
        <v>14</v>
      </c>
      <c r="M574">
        <v>4</v>
      </c>
      <c r="N574" s="2" t="s">
        <v>19</v>
      </c>
      <c r="O574">
        <v>0</v>
      </c>
    </row>
    <row r="575" spans="1:15" x14ac:dyDescent="0.3">
      <c r="A575" s="1">
        <v>45402</v>
      </c>
      <c r="B575" s="2" t="s">
        <v>23</v>
      </c>
      <c r="C575" s="2" t="s">
        <v>21</v>
      </c>
      <c r="D575" s="2" t="s">
        <v>18</v>
      </c>
      <c r="E575">
        <v>170.31</v>
      </c>
      <c r="F575">
        <v>40.57</v>
      </c>
      <c r="G575">
        <v>1</v>
      </c>
      <c r="H575">
        <f t="shared" si="8"/>
        <v>58562.910000000018</v>
      </c>
      <c r="I575" t="str">
        <f>IF(Sheet1[[#This Row],[Month_Revenue]] &lt; AVERAGE(Sheet1[Month_Revenue]), "Off-Peak", "Peak")</f>
        <v>Peak</v>
      </c>
      <c r="J575">
        <f xml:space="preserve"> IF(Sheet1[[#This Row],[Ad Spend]] &gt; 0, (Sheet1[[#This Row],[Profit]] / Sheet1[[#This Row],[Ad Spend]]), 0)</f>
        <v>3.1979295045600198</v>
      </c>
      <c r="K575">
        <f>Sheet1[[#This Row],[Revenue]]-Sheet1[[#This Row],[Ad Spend]]</f>
        <v>129.74</v>
      </c>
      <c r="L575" s="2" t="s">
        <v>14</v>
      </c>
      <c r="M575">
        <v>4</v>
      </c>
      <c r="N575" s="2" t="s">
        <v>19</v>
      </c>
      <c r="O575">
        <v>170.31</v>
      </c>
    </row>
    <row r="576" spans="1:15" x14ac:dyDescent="0.3">
      <c r="A576" s="1">
        <v>45344</v>
      </c>
      <c r="B576" s="2" t="s">
        <v>20</v>
      </c>
      <c r="C576" s="2" t="s">
        <v>17</v>
      </c>
      <c r="D576" s="2" t="s">
        <v>18</v>
      </c>
      <c r="E576">
        <v>155.47999999999999</v>
      </c>
      <c r="F576">
        <v>12.84</v>
      </c>
      <c r="G576">
        <v>0</v>
      </c>
      <c r="H576">
        <f t="shared" si="8"/>
        <v>48675.899999999936</v>
      </c>
      <c r="I576" t="str">
        <f>IF(Sheet1[[#This Row],[Month_Revenue]] &lt; AVERAGE(Sheet1[Month_Revenue]), "Off-Peak", "Peak")</f>
        <v>Off-Peak</v>
      </c>
      <c r="J576">
        <f xml:space="preserve"> IF(Sheet1[[#This Row],[Ad Spend]] &gt; 0, (Sheet1[[#This Row],[Profit]] / Sheet1[[#This Row],[Ad Spend]]), 0)</f>
        <v>11.109034267912772</v>
      </c>
      <c r="K576">
        <f>Sheet1[[#This Row],[Revenue]]-Sheet1[[#This Row],[Ad Spend]]</f>
        <v>142.63999999999999</v>
      </c>
      <c r="L576" s="2" t="s">
        <v>14</v>
      </c>
      <c r="M576">
        <v>2</v>
      </c>
      <c r="N576" s="2" t="s">
        <v>15</v>
      </c>
      <c r="O576">
        <v>0</v>
      </c>
    </row>
    <row r="577" spans="1:15" x14ac:dyDescent="0.3">
      <c r="A577" s="1">
        <v>45353</v>
      </c>
      <c r="B577" s="2" t="s">
        <v>23</v>
      </c>
      <c r="C577" s="2" t="s">
        <v>21</v>
      </c>
      <c r="D577" s="2" t="s">
        <v>13</v>
      </c>
      <c r="E577">
        <v>52.39</v>
      </c>
      <c r="F577">
        <v>32.18</v>
      </c>
      <c r="G577">
        <v>3</v>
      </c>
      <c r="H577">
        <f t="shared" si="8"/>
        <v>54735.250000000029</v>
      </c>
      <c r="I577" t="str">
        <f>IF(Sheet1[[#This Row],[Month_Revenue]] &lt; AVERAGE(Sheet1[Month_Revenue]), "Off-Peak", "Peak")</f>
        <v>Off-Peak</v>
      </c>
      <c r="J577">
        <f xml:space="preserve"> IF(Sheet1[[#This Row],[Ad Spend]] &gt; 0, (Sheet1[[#This Row],[Profit]] / Sheet1[[#This Row],[Ad Spend]]), 0)</f>
        <v>0.62802983219390929</v>
      </c>
      <c r="K577">
        <f>Sheet1[[#This Row],[Revenue]]-Sheet1[[#This Row],[Ad Spend]]</f>
        <v>20.21</v>
      </c>
      <c r="L577" s="2" t="s">
        <v>14</v>
      </c>
      <c r="M577">
        <v>3</v>
      </c>
      <c r="N577" s="2" t="s">
        <v>19</v>
      </c>
      <c r="O577">
        <v>17.463333333333335</v>
      </c>
    </row>
    <row r="578" spans="1:15" x14ac:dyDescent="0.3">
      <c r="A578" s="1">
        <v>45304</v>
      </c>
      <c r="B578" s="2" t="s">
        <v>24</v>
      </c>
      <c r="C578" s="2" t="s">
        <v>17</v>
      </c>
      <c r="D578" s="2" t="s">
        <v>18</v>
      </c>
      <c r="E578">
        <v>94.95</v>
      </c>
      <c r="F578">
        <v>8.56</v>
      </c>
      <c r="G578">
        <v>2</v>
      </c>
      <c r="H578">
        <f t="shared" ref="H578:H641" si="9">SUMIFS($E$2:$E$2001, $M$2:$M$2001, M578)</f>
        <v>61207.979999999989</v>
      </c>
      <c r="I578" t="str">
        <f>IF(Sheet1[[#This Row],[Month_Revenue]] &lt; AVERAGE(Sheet1[Month_Revenue]), "Off-Peak", "Peak")</f>
        <v>Peak</v>
      </c>
      <c r="J578">
        <f xml:space="preserve"> IF(Sheet1[[#This Row],[Ad Spend]] &gt; 0, (Sheet1[[#This Row],[Profit]] / Sheet1[[#This Row],[Ad Spend]]), 0)</f>
        <v>10.092289719626168</v>
      </c>
      <c r="K578">
        <f>Sheet1[[#This Row],[Revenue]]-Sheet1[[#This Row],[Ad Spend]]</f>
        <v>86.39</v>
      </c>
      <c r="L578" s="2" t="s">
        <v>22</v>
      </c>
      <c r="M578">
        <v>1</v>
      </c>
      <c r="N578" s="2" t="s">
        <v>15</v>
      </c>
      <c r="O578">
        <v>47.475000000000001</v>
      </c>
    </row>
    <row r="579" spans="1:15" x14ac:dyDescent="0.3">
      <c r="A579" s="1">
        <v>45336</v>
      </c>
      <c r="B579" s="2" t="s">
        <v>23</v>
      </c>
      <c r="C579" s="2" t="s">
        <v>17</v>
      </c>
      <c r="D579" s="2" t="s">
        <v>18</v>
      </c>
      <c r="E579">
        <v>196.49</v>
      </c>
      <c r="F579">
        <v>31.42</v>
      </c>
      <c r="G579">
        <v>0</v>
      </c>
      <c r="H579">
        <f t="shared" si="9"/>
        <v>48675.899999999936</v>
      </c>
      <c r="I579" t="str">
        <f>IF(Sheet1[[#This Row],[Month_Revenue]] &lt; AVERAGE(Sheet1[Month_Revenue]), "Off-Peak", "Peak")</f>
        <v>Off-Peak</v>
      </c>
      <c r="J579">
        <f xml:space="preserve"> IF(Sheet1[[#This Row],[Ad Spend]] &gt; 0, (Sheet1[[#This Row],[Profit]] / Sheet1[[#This Row],[Ad Spend]]), 0)</f>
        <v>5.253660089115213</v>
      </c>
      <c r="K579">
        <f>Sheet1[[#This Row],[Revenue]]-Sheet1[[#This Row],[Ad Spend]]</f>
        <v>165.07</v>
      </c>
      <c r="L579" s="2" t="s">
        <v>22</v>
      </c>
      <c r="M579">
        <v>2</v>
      </c>
      <c r="N579" s="2" t="s">
        <v>15</v>
      </c>
      <c r="O579">
        <v>0</v>
      </c>
    </row>
    <row r="580" spans="1:15" x14ac:dyDescent="0.3">
      <c r="A580" s="1">
        <v>45407</v>
      </c>
      <c r="B580" s="2" t="s">
        <v>11</v>
      </c>
      <c r="C580" s="2" t="s">
        <v>17</v>
      </c>
      <c r="D580" s="2" t="s">
        <v>18</v>
      </c>
      <c r="E580">
        <v>37.47</v>
      </c>
      <c r="F580">
        <v>45.82</v>
      </c>
      <c r="G580">
        <v>1</v>
      </c>
      <c r="H580">
        <f t="shared" si="9"/>
        <v>58562.910000000018</v>
      </c>
      <c r="I580" t="str">
        <f>IF(Sheet1[[#This Row],[Month_Revenue]] &lt; AVERAGE(Sheet1[Month_Revenue]), "Off-Peak", "Peak")</f>
        <v>Peak</v>
      </c>
      <c r="J580">
        <f xml:space="preserve"> IF(Sheet1[[#This Row],[Ad Spend]] &gt; 0, (Sheet1[[#This Row],[Profit]] / Sheet1[[#This Row],[Ad Spend]]), 0)</f>
        <v>-0.18223483195111309</v>
      </c>
      <c r="K580">
        <f>Sheet1[[#This Row],[Revenue]]-Sheet1[[#This Row],[Ad Spend]]</f>
        <v>-8.3500000000000014</v>
      </c>
      <c r="L580" s="2" t="s">
        <v>14</v>
      </c>
      <c r="M580">
        <v>4</v>
      </c>
      <c r="N580" s="2" t="s">
        <v>19</v>
      </c>
      <c r="O580">
        <v>37.47</v>
      </c>
    </row>
    <row r="581" spans="1:15" x14ac:dyDescent="0.3">
      <c r="A581" s="1">
        <v>45321</v>
      </c>
      <c r="B581" s="2" t="s">
        <v>16</v>
      </c>
      <c r="C581" s="2" t="s">
        <v>21</v>
      </c>
      <c r="D581" s="2" t="s">
        <v>18</v>
      </c>
      <c r="E581">
        <v>51.48</v>
      </c>
      <c r="F581">
        <v>14.56</v>
      </c>
      <c r="G581">
        <v>3</v>
      </c>
      <c r="H581">
        <f t="shared" si="9"/>
        <v>61207.979999999989</v>
      </c>
      <c r="I581" t="str">
        <f>IF(Sheet1[[#This Row],[Month_Revenue]] &lt; AVERAGE(Sheet1[Month_Revenue]), "Off-Peak", "Peak")</f>
        <v>Peak</v>
      </c>
      <c r="J581">
        <f xml:space="preserve"> IF(Sheet1[[#This Row],[Ad Spend]] &gt; 0, (Sheet1[[#This Row],[Profit]] / Sheet1[[#This Row],[Ad Spend]]), 0)</f>
        <v>2.5357142857142851</v>
      </c>
      <c r="K581">
        <f>Sheet1[[#This Row],[Revenue]]-Sheet1[[#This Row],[Ad Spend]]</f>
        <v>36.919999999999995</v>
      </c>
      <c r="L581" s="2" t="s">
        <v>22</v>
      </c>
      <c r="M581">
        <v>1</v>
      </c>
      <c r="N581" s="2" t="s">
        <v>15</v>
      </c>
      <c r="O581">
        <v>17.16</v>
      </c>
    </row>
    <row r="582" spans="1:15" x14ac:dyDescent="0.3">
      <c r="A582" s="1">
        <v>45402</v>
      </c>
      <c r="B582" s="2" t="s">
        <v>23</v>
      </c>
      <c r="C582" s="2" t="s">
        <v>12</v>
      </c>
      <c r="D582" s="2" t="s">
        <v>13</v>
      </c>
      <c r="E582">
        <v>114.28</v>
      </c>
      <c r="F582">
        <v>2.36</v>
      </c>
      <c r="G582">
        <v>2</v>
      </c>
      <c r="H582">
        <f t="shared" si="9"/>
        <v>58562.910000000018</v>
      </c>
      <c r="I582" t="str">
        <f>IF(Sheet1[[#This Row],[Month_Revenue]] &lt; AVERAGE(Sheet1[Month_Revenue]), "Off-Peak", "Peak")</f>
        <v>Peak</v>
      </c>
      <c r="J582">
        <f xml:space="preserve"> IF(Sheet1[[#This Row],[Ad Spend]] &gt; 0, (Sheet1[[#This Row],[Profit]] / Sheet1[[#This Row],[Ad Spend]]), 0)</f>
        <v>47.423728813559322</v>
      </c>
      <c r="K582">
        <f>Sheet1[[#This Row],[Revenue]]-Sheet1[[#This Row],[Ad Spend]]</f>
        <v>111.92</v>
      </c>
      <c r="L582" s="2" t="s">
        <v>14</v>
      </c>
      <c r="M582">
        <v>4</v>
      </c>
      <c r="N582" s="2" t="s">
        <v>19</v>
      </c>
      <c r="O582">
        <v>57.14</v>
      </c>
    </row>
    <row r="583" spans="1:15" x14ac:dyDescent="0.3">
      <c r="A583" s="1">
        <v>45362</v>
      </c>
      <c r="B583" s="2" t="s">
        <v>11</v>
      </c>
      <c r="C583" s="2" t="s">
        <v>17</v>
      </c>
      <c r="D583" s="2" t="s">
        <v>18</v>
      </c>
      <c r="E583">
        <v>28.74</v>
      </c>
      <c r="F583">
        <v>1.04</v>
      </c>
      <c r="G583">
        <v>1</v>
      </c>
      <c r="H583">
        <f t="shared" si="9"/>
        <v>54735.250000000029</v>
      </c>
      <c r="I583" t="str">
        <f>IF(Sheet1[[#This Row],[Month_Revenue]] &lt; AVERAGE(Sheet1[Month_Revenue]), "Off-Peak", "Peak")</f>
        <v>Off-Peak</v>
      </c>
      <c r="J583">
        <f xml:space="preserve"> IF(Sheet1[[#This Row],[Ad Spend]] &gt; 0, (Sheet1[[#This Row],[Profit]] / Sheet1[[#This Row],[Ad Spend]]), 0)</f>
        <v>26.634615384615383</v>
      </c>
      <c r="K583">
        <f>Sheet1[[#This Row],[Revenue]]-Sheet1[[#This Row],[Ad Spend]]</f>
        <v>27.7</v>
      </c>
      <c r="L583" s="2" t="s">
        <v>14</v>
      </c>
      <c r="M583">
        <v>3</v>
      </c>
      <c r="N583" s="2" t="s">
        <v>19</v>
      </c>
      <c r="O583">
        <v>28.74</v>
      </c>
    </row>
    <row r="584" spans="1:15" x14ac:dyDescent="0.3">
      <c r="A584" s="1">
        <v>45323</v>
      </c>
      <c r="B584" s="2" t="s">
        <v>23</v>
      </c>
      <c r="C584" s="2" t="s">
        <v>17</v>
      </c>
      <c r="D584" s="2" t="s">
        <v>13</v>
      </c>
      <c r="E584">
        <v>181.88</v>
      </c>
      <c r="F584">
        <v>30.52</v>
      </c>
      <c r="G584">
        <v>1</v>
      </c>
      <c r="H584">
        <f t="shared" si="9"/>
        <v>48675.899999999936</v>
      </c>
      <c r="I584" t="str">
        <f>IF(Sheet1[[#This Row],[Month_Revenue]] &lt; AVERAGE(Sheet1[Month_Revenue]), "Off-Peak", "Peak")</f>
        <v>Off-Peak</v>
      </c>
      <c r="J584">
        <f xml:space="preserve"> IF(Sheet1[[#This Row],[Ad Spend]] &gt; 0, (Sheet1[[#This Row],[Profit]] / Sheet1[[#This Row],[Ad Spend]]), 0)</f>
        <v>4.9593709043250325</v>
      </c>
      <c r="K584">
        <f>Sheet1[[#This Row],[Revenue]]-Sheet1[[#This Row],[Ad Spend]]</f>
        <v>151.35999999999999</v>
      </c>
      <c r="L584" s="2" t="s">
        <v>14</v>
      </c>
      <c r="M584">
        <v>2</v>
      </c>
      <c r="N584" s="2" t="s">
        <v>15</v>
      </c>
      <c r="O584">
        <v>181.88</v>
      </c>
    </row>
    <row r="585" spans="1:15" x14ac:dyDescent="0.3">
      <c r="A585" s="1">
        <v>45395</v>
      </c>
      <c r="B585" s="2" t="s">
        <v>24</v>
      </c>
      <c r="C585" s="2" t="s">
        <v>21</v>
      </c>
      <c r="D585" s="2" t="s">
        <v>18</v>
      </c>
      <c r="E585">
        <v>144.78</v>
      </c>
      <c r="F585">
        <v>0.89</v>
      </c>
      <c r="G585">
        <v>0</v>
      </c>
      <c r="H585">
        <f t="shared" si="9"/>
        <v>58562.910000000018</v>
      </c>
      <c r="I585" t="str">
        <f>IF(Sheet1[[#This Row],[Month_Revenue]] &lt; AVERAGE(Sheet1[Month_Revenue]), "Off-Peak", "Peak")</f>
        <v>Peak</v>
      </c>
      <c r="J585">
        <f xml:space="preserve"> IF(Sheet1[[#This Row],[Ad Spend]] &gt; 0, (Sheet1[[#This Row],[Profit]] / Sheet1[[#This Row],[Ad Spend]]), 0)</f>
        <v>161.67415730337081</v>
      </c>
      <c r="K585">
        <f>Sheet1[[#This Row],[Revenue]]-Sheet1[[#This Row],[Ad Spend]]</f>
        <v>143.89000000000001</v>
      </c>
      <c r="L585" s="2" t="s">
        <v>22</v>
      </c>
      <c r="M585">
        <v>4</v>
      </c>
      <c r="N585" s="2" t="s">
        <v>19</v>
      </c>
      <c r="O585">
        <v>0</v>
      </c>
    </row>
    <row r="586" spans="1:15" x14ac:dyDescent="0.3">
      <c r="A586" s="1">
        <v>45411</v>
      </c>
      <c r="B586" s="2" t="s">
        <v>24</v>
      </c>
      <c r="C586" s="2" t="s">
        <v>17</v>
      </c>
      <c r="D586" s="2" t="s">
        <v>13</v>
      </c>
      <c r="E586">
        <v>52.59</v>
      </c>
      <c r="F586">
        <v>43.55</v>
      </c>
      <c r="G586">
        <v>1</v>
      </c>
      <c r="H586">
        <f t="shared" si="9"/>
        <v>58562.910000000018</v>
      </c>
      <c r="I586" t="str">
        <f>IF(Sheet1[[#This Row],[Month_Revenue]] &lt; AVERAGE(Sheet1[Month_Revenue]), "Off-Peak", "Peak")</f>
        <v>Peak</v>
      </c>
      <c r="J586">
        <f xml:space="preserve"> IF(Sheet1[[#This Row],[Ad Spend]] &gt; 0, (Sheet1[[#This Row],[Profit]] / Sheet1[[#This Row],[Ad Spend]]), 0)</f>
        <v>0.20757749712973608</v>
      </c>
      <c r="K586">
        <f>Sheet1[[#This Row],[Revenue]]-Sheet1[[#This Row],[Ad Spend]]</f>
        <v>9.0400000000000063</v>
      </c>
      <c r="L586" s="2" t="s">
        <v>14</v>
      </c>
      <c r="M586">
        <v>4</v>
      </c>
      <c r="N586" s="2" t="s">
        <v>19</v>
      </c>
      <c r="O586">
        <v>52.59</v>
      </c>
    </row>
    <row r="587" spans="1:15" x14ac:dyDescent="0.3">
      <c r="A587" s="1">
        <v>45374</v>
      </c>
      <c r="B587" s="2" t="s">
        <v>11</v>
      </c>
      <c r="C587" s="2" t="s">
        <v>21</v>
      </c>
      <c r="D587" s="2" t="s">
        <v>18</v>
      </c>
      <c r="E587">
        <v>164.96</v>
      </c>
      <c r="F587">
        <v>22.02</v>
      </c>
      <c r="G587">
        <v>0</v>
      </c>
      <c r="H587">
        <f t="shared" si="9"/>
        <v>54735.250000000029</v>
      </c>
      <c r="I587" t="str">
        <f>IF(Sheet1[[#This Row],[Month_Revenue]] &lt; AVERAGE(Sheet1[Month_Revenue]), "Off-Peak", "Peak")</f>
        <v>Off-Peak</v>
      </c>
      <c r="J587">
        <f xml:space="preserve"> IF(Sheet1[[#This Row],[Ad Spend]] &gt; 0, (Sheet1[[#This Row],[Profit]] / Sheet1[[#This Row],[Ad Spend]]), 0)</f>
        <v>6.4913714804722975</v>
      </c>
      <c r="K587">
        <f>Sheet1[[#This Row],[Revenue]]-Sheet1[[#This Row],[Ad Spend]]</f>
        <v>142.94</v>
      </c>
      <c r="L587" s="2" t="s">
        <v>22</v>
      </c>
      <c r="M587">
        <v>3</v>
      </c>
      <c r="N587" s="2" t="s">
        <v>19</v>
      </c>
      <c r="O587">
        <v>0</v>
      </c>
    </row>
    <row r="588" spans="1:15" x14ac:dyDescent="0.3">
      <c r="A588" s="1">
        <v>45308</v>
      </c>
      <c r="B588" s="2" t="s">
        <v>20</v>
      </c>
      <c r="C588" s="2" t="s">
        <v>17</v>
      </c>
      <c r="D588" s="2" t="s">
        <v>13</v>
      </c>
      <c r="E588">
        <v>41.3</v>
      </c>
      <c r="F588">
        <v>49.96</v>
      </c>
      <c r="G588">
        <v>1</v>
      </c>
      <c r="H588">
        <f t="shared" si="9"/>
        <v>61207.979999999989</v>
      </c>
      <c r="I588" t="str">
        <f>IF(Sheet1[[#This Row],[Month_Revenue]] &lt; AVERAGE(Sheet1[Month_Revenue]), "Off-Peak", "Peak")</f>
        <v>Peak</v>
      </c>
      <c r="J588">
        <f xml:space="preserve"> IF(Sheet1[[#This Row],[Ad Spend]] &gt; 0, (Sheet1[[#This Row],[Profit]] / Sheet1[[#This Row],[Ad Spend]]), 0)</f>
        <v>-0.17333867093674948</v>
      </c>
      <c r="K588">
        <f>Sheet1[[#This Row],[Revenue]]-Sheet1[[#This Row],[Ad Spend]]</f>
        <v>-8.6600000000000037</v>
      </c>
      <c r="L588" s="2" t="s">
        <v>22</v>
      </c>
      <c r="M588">
        <v>1</v>
      </c>
      <c r="N588" s="2" t="s">
        <v>15</v>
      </c>
      <c r="O588">
        <v>41.3</v>
      </c>
    </row>
    <row r="589" spans="1:15" x14ac:dyDescent="0.3">
      <c r="A589" s="1">
        <v>45362</v>
      </c>
      <c r="B589" s="2" t="s">
        <v>20</v>
      </c>
      <c r="C589" s="2" t="s">
        <v>12</v>
      </c>
      <c r="D589" s="2" t="s">
        <v>18</v>
      </c>
      <c r="E589">
        <v>112.95</v>
      </c>
      <c r="F589">
        <v>43.43</v>
      </c>
      <c r="G589">
        <v>1</v>
      </c>
      <c r="H589">
        <f t="shared" si="9"/>
        <v>54735.250000000029</v>
      </c>
      <c r="I589" t="str">
        <f>IF(Sheet1[[#This Row],[Month_Revenue]] &lt; AVERAGE(Sheet1[Month_Revenue]), "Off-Peak", "Peak")</f>
        <v>Off-Peak</v>
      </c>
      <c r="J589">
        <f xml:space="preserve"> IF(Sheet1[[#This Row],[Ad Spend]] &gt; 0, (Sheet1[[#This Row],[Profit]] / Sheet1[[#This Row],[Ad Spend]]), 0)</f>
        <v>1.6007368178678336</v>
      </c>
      <c r="K589">
        <f>Sheet1[[#This Row],[Revenue]]-Sheet1[[#This Row],[Ad Spend]]</f>
        <v>69.52000000000001</v>
      </c>
      <c r="L589" s="2" t="s">
        <v>22</v>
      </c>
      <c r="M589">
        <v>3</v>
      </c>
      <c r="N589" s="2" t="s">
        <v>19</v>
      </c>
      <c r="O589">
        <v>112.95</v>
      </c>
    </row>
    <row r="590" spans="1:15" x14ac:dyDescent="0.3">
      <c r="A590" s="1">
        <v>45337</v>
      </c>
      <c r="B590" s="2" t="s">
        <v>23</v>
      </c>
      <c r="C590" s="2" t="s">
        <v>12</v>
      </c>
      <c r="D590" s="2" t="s">
        <v>18</v>
      </c>
      <c r="E590">
        <v>89.97</v>
      </c>
      <c r="F590">
        <v>9.65</v>
      </c>
      <c r="G590">
        <v>1</v>
      </c>
      <c r="H590">
        <f t="shared" si="9"/>
        <v>48675.899999999936</v>
      </c>
      <c r="I590" t="str">
        <f>IF(Sheet1[[#This Row],[Month_Revenue]] &lt; AVERAGE(Sheet1[Month_Revenue]), "Off-Peak", "Peak")</f>
        <v>Off-Peak</v>
      </c>
      <c r="J590">
        <f xml:space="preserve"> IF(Sheet1[[#This Row],[Ad Spend]] &gt; 0, (Sheet1[[#This Row],[Profit]] / Sheet1[[#This Row],[Ad Spend]]), 0)</f>
        <v>8.3233160621761648</v>
      </c>
      <c r="K590">
        <f>Sheet1[[#This Row],[Revenue]]-Sheet1[[#This Row],[Ad Spend]]</f>
        <v>80.319999999999993</v>
      </c>
      <c r="L590" s="2" t="s">
        <v>22</v>
      </c>
      <c r="M590">
        <v>2</v>
      </c>
      <c r="N590" s="2" t="s">
        <v>15</v>
      </c>
      <c r="O590">
        <v>89.97</v>
      </c>
    </row>
    <row r="591" spans="1:15" x14ac:dyDescent="0.3">
      <c r="A591" s="1">
        <v>45356</v>
      </c>
      <c r="B591" s="2" t="s">
        <v>23</v>
      </c>
      <c r="C591" s="2" t="s">
        <v>17</v>
      </c>
      <c r="D591" s="2" t="s">
        <v>18</v>
      </c>
      <c r="E591">
        <v>173.72</v>
      </c>
      <c r="F591">
        <v>30.51</v>
      </c>
      <c r="G591">
        <v>0</v>
      </c>
      <c r="H591">
        <f t="shared" si="9"/>
        <v>54735.250000000029</v>
      </c>
      <c r="I591" t="str">
        <f>IF(Sheet1[[#This Row],[Month_Revenue]] &lt; AVERAGE(Sheet1[Month_Revenue]), "Off-Peak", "Peak")</f>
        <v>Off-Peak</v>
      </c>
      <c r="J591">
        <f xml:space="preserve"> IF(Sheet1[[#This Row],[Ad Spend]] &gt; 0, (Sheet1[[#This Row],[Profit]] / Sheet1[[#This Row],[Ad Spend]]), 0)</f>
        <v>4.6938708620124547</v>
      </c>
      <c r="K591">
        <f>Sheet1[[#This Row],[Revenue]]-Sheet1[[#This Row],[Ad Spend]]</f>
        <v>143.21</v>
      </c>
      <c r="L591" s="2" t="s">
        <v>14</v>
      </c>
      <c r="M591">
        <v>3</v>
      </c>
      <c r="N591" s="2" t="s">
        <v>19</v>
      </c>
      <c r="O591">
        <v>0</v>
      </c>
    </row>
    <row r="592" spans="1:15" x14ac:dyDescent="0.3">
      <c r="A592" s="1">
        <v>45341</v>
      </c>
      <c r="B592" s="2" t="s">
        <v>20</v>
      </c>
      <c r="C592" s="2" t="s">
        <v>12</v>
      </c>
      <c r="D592" s="2" t="s">
        <v>13</v>
      </c>
      <c r="E592">
        <v>59.37</v>
      </c>
      <c r="F592">
        <v>47.78</v>
      </c>
      <c r="G592">
        <v>2</v>
      </c>
      <c r="H592">
        <f t="shared" si="9"/>
        <v>48675.899999999936</v>
      </c>
      <c r="I592" t="str">
        <f>IF(Sheet1[[#This Row],[Month_Revenue]] &lt; AVERAGE(Sheet1[Month_Revenue]), "Off-Peak", "Peak")</f>
        <v>Off-Peak</v>
      </c>
      <c r="J592">
        <f xml:space="preserve"> IF(Sheet1[[#This Row],[Ad Spend]] &gt; 0, (Sheet1[[#This Row],[Profit]] / Sheet1[[#This Row],[Ad Spend]]), 0)</f>
        <v>0.24257011301799908</v>
      </c>
      <c r="K592">
        <f>Sheet1[[#This Row],[Revenue]]-Sheet1[[#This Row],[Ad Spend]]</f>
        <v>11.589999999999996</v>
      </c>
      <c r="L592" s="2" t="s">
        <v>14</v>
      </c>
      <c r="M592">
        <v>2</v>
      </c>
      <c r="N592" s="2" t="s">
        <v>15</v>
      </c>
      <c r="O592">
        <v>29.684999999999999</v>
      </c>
    </row>
    <row r="593" spans="1:15" x14ac:dyDescent="0.3">
      <c r="A593" s="1">
        <v>45384</v>
      </c>
      <c r="B593" s="2" t="s">
        <v>16</v>
      </c>
      <c r="C593" s="2" t="s">
        <v>21</v>
      </c>
      <c r="D593" s="2" t="s">
        <v>13</v>
      </c>
      <c r="E593">
        <v>161.26</v>
      </c>
      <c r="F593">
        <v>16.850000000000001</v>
      </c>
      <c r="G593">
        <v>2</v>
      </c>
      <c r="H593">
        <f t="shared" si="9"/>
        <v>58562.910000000018</v>
      </c>
      <c r="I593" t="str">
        <f>IF(Sheet1[[#This Row],[Month_Revenue]] &lt; AVERAGE(Sheet1[Month_Revenue]), "Off-Peak", "Peak")</f>
        <v>Peak</v>
      </c>
      <c r="J593">
        <f xml:space="preserve"> IF(Sheet1[[#This Row],[Ad Spend]] &gt; 0, (Sheet1[[#This Row],[Profit]] / Sheet1[[#This Row],[Ad Spend]]), 0)</f>
        <v>8.5703264094955482</v>
      </c>
      <c r="K593">
        <f>Sheet1[[#This Row],[Revenue]]-Sheet1[[#This Row],[Ad Spend]]</f>
        <v>144.41</v>
      </c>
      <c r="L593" s="2" t="s">
        <v>22</v>
      </c>
      <c r="M593">
        <v>4</v>
      </c>
      <c r="N593" s="2" t="s">
        <v>19</v>
      </c>
      <c r="O593">
        <v>80.63</v>
      </c>
    </row>
    <row r="594" spans="1:15" x14ac:dyDescent="0.3">
      <c r="A594" s="1">
        <v>45316</v>
      </c>
      <c r="B594" s="2" t="s">
        <v>16</v>
      </c>
      <c r="C594" s="2" t="s">
        <v>21</v>
      </c>
      <c r="D594" s="2" t="s">
        <v>18</v>
      </c>
      <c r="E594">
        <v>43.11</v>
      </c>
      <c r="F594">
        <v>20.62</v>
      </c>
      <c r="G594">
        <v>0</v>
      </c>
      <c r="H594">
        <f t="shared" si="9"/>
        <v>61207.979999999989</v>
      </c>
      <c r="I594" t="str">
        <f>IF(Sheet1[[#This Row],[Month_Revenue]] &lt; AVERAGE(Sheet1[Month_Revenue]), "Off-Peak", "Peak")</f>
        <v>Peak</v>
      </c>
      <c r="J594">
        <f xml:space="preserve"> IF(Sheet1[[#This Row],[Ad Spend]] &gt; 0, (Sheet1[[#This Row],[Profit]] / Sheet1[[#This Row],[Ad Spend]]), 0)</f>
        <v>1.0906886517943744</v>
      </c>
      <c r="K594">
        <f>Sheet1[[#This Row],[Revenue]]-Sheet1[[#This Row],[Ad Spend]]</f>
        <v>22.49</v>
      </c>
      <c r="L594" s="2" t="s">
        <v>22</v>
      </c>
      <c r="M594">
        <v>1</v>
      </c>
      <c r="N594" s="2" t="s">
        <v>15</v>
      </c>
      <c r="O594">
        <v>0</v>
      </c>
    </row>
    <row r="595" spans="1:15" x14ac:dyDescent="0.3">
      <c r="A595" s="1">
        <v>45312</v>
      </c>
      <c r="B595" s="2" t="s">
        <v>20</v>
      </c>
      <c r="C595" s="2" t="s">
        <v>12</v>
      </c>
      <c r="D595" s="2" t="s">
        <v>13</v>
      </c>
      <c r="E595">
        <v>122.26</v>
      </c>
      <c r="F595">
        <v>6.46</v>
      </c>
      <c r="G595">
        <v>0</v>
      </c>
      <c r="H595">
        <f t="shared" si="9"/>
        <v>61207.979999999989</v>
      </c>
      <c r="I595" t="str">
        <f>IF(Sheet1[[#This Row],[Month_Revenue]] &lt; AVERAGE(Sheet1[Month_Revenue]), "Off-Peak", "Peak")</f>
        <v>Peak</v>
      </c>
      <c r="J595">
        <f xml:space="preserve"> IF(Sheet1[[#This Row],[Ad Spend]] &gt; 0, (Sheet1[[#This Row],[Profit]] / Sheet1[[#This Row],[Ad Spend]]), 0)</f>
        <v>17.925696594427247</v>
      </c>
      <c r="K595">
        <f>Sheet1[[#This Row],[Revenue]]-Sheet1[[#This Row],[Ad Spend]]</f>
        <v>115.80000000000001</v>
      </c>
      <c r="L595" s="2" t="s">
        <v>14</v>
      </c>
      <c r="M595">
        <v>1</v>
      </c>
      <c r="N595" s="2" t="s">
        <v>15</v>
      </c>
      <c r="O595">
        <v>0</v>
      </c>
    </row>
    <row r="596" spans="1:15" x14ac:dyDescent="0.3">
      <c r="A596" s="1">
        <v>45376</v>
      </c>
      <c r="B596" s="2" t="s">
        <v>20</v>
      </c>
      <c r="C596" s="2" t="s">
        <v>17</v>
      </c>
      <c r="D596" s="2" t="s">
        <v>18</v>
      </c>
      <c r="E596">
        <v>47.31</v>
      </c>
      <c r="F596">
        <v>9.49</v>
      </c>
      <c r="G596">
        <v>0</v>
      </c>
      <c r="H596">
        <f t="shared" si="9"/>
        <v>54735.250000000029</v>
      </c>
      <c r="I596" t="str">
        <f>IF(Sheet1[[#This Row],[Month_Revenue]] &lt; AVERAGE(Sheet1[Month_Revenue]), "Off-Peak", "Peak")</f>
        <v>Off-Peak</v>
      </c>
      <c r="J596">
        <f xml:space="preserve"> IF(Sheet1[[#This Row],[Ad Spend]] &gt; 0, (Sheet1[[#This Row],[Profit]] / Sheet1[[#This Row],[Ad Spend]]), 0)</f>
        <v>3.9852476290832453</v>
      </c>
      <c r="K596">
        <f>Sheet1[[#This Row],[Revenue]]-Sheet1[[#This Row],[Ad Spend]]</f>
        <v>37.82</v>
      </c>
      <c r="L596" s="2" t="s">
        <v>22</v>
      </c>
      <c r="M596">
        <v>3</v>
      </c>
      <c r="N596" s="2" t="s">
        <v>19</v>
      </c>
      <c r="O596">
        <v>0</v>
      </c>
    </row>
    <row r="597" spans="1:15" x14ac:dyDescent="0.3">
      <c r="A597" s="1">
        <v>45400</v>
      </c>
      <c r="B597" s="2" t="s">
        <v>24</v>
      </c>
      <c r="C597" s="2" t="s">
        <v>17</v>
      </c>
      <c r="D597" s="2" t="s">
        <v>13</v>
      </c>
      <c r="E597">
        <v>76.59</v>
      </c>
      <c r="F597">
        <v>30.77</v>
      </c>
      <c r="G597">
        <v>2</v>
      </c>
      <c r="H597">
        <f t="shared" si="9"/>
        <v>58562.910000000018</v>
      </c>
      <c r="I597" t="str">
        <f>IF(Sheet1[[#This Row],[Month_Revenue]] &lt; AVERAGE(Sheet1[Month_Revenue]), "Off-Peak", "Peak")</f>
        <v>Peak</v>
      </c>
      <c r="J597">
        <f xml:space="preserve"> IF(Sheet1[[#This Row],[Ad Spend]] &gt; 0, (Sheet1[[#This Row],[Profit]] / Sheet1[[#This Row],[Ad Spend]]), 0)</f>
        <v>1.4891127721806958</v>
      </c>
      <c r="K597">
        <f>Sheet1[[#This Row],[Revenue]]-Sheet1[[#This Row],[Ad Spend]]</f>
        <v>45.820000000000007</v>
      </c>
      <c r="L597" s="2" t="s">
        <v>22</v>
      </c>
      <c r="M597">
        <v>4</v>
      </c>
      <c r="N597" s="2" t="s">
        <v>19</v>
      </c>
      <c r="O597">
        <v>38.295000000000002</v>
      </c>
    </row>
    <row r="598" spans="1:15" x14ac:dyDescent="0.3">
      <c r="A598" s="1">
        <v>45328</v>
      </c>
      <c r="B598" s="2" t="s">
        <v>20</v>
      </c>
      <c r="C598" s="2" t="s">
        <v>21</v>
      </c>
      <c r="D598" s="2" t="s">
        <v>18</v>
      </c>
      <c r="E598">
        <v>90.88</v>
      </c>
      <c r="F598">
        <v>28.28</v>
      </c>
      <c r="G598">
        <v>2</v>
      </c>
      <c r="H598">
        <f t="shared" si="9"/>
        <v>48675.899999999936</v>
      </c>
      <c r="I598" t="str">
        <f>IF(Sheet1[[#This Row],[Month_Revenue]] &lt; AVERAGE(Sheet1[Month_Revenue]), "Off-Peak", "Peak")</f>
        <v>Off-Peak</v>
      </c>
      <c r="J598">
        <f xml:space="preserve"> IF(Sheet1[[#This Row],[Ad Spend]] &gt; 0, (Sheet1[[#This Row],[Profit]] / Sheet1[[#This Row],[Ad Spend]]), 0)</f>
        <v>2.2135785007072131</v>
      </c>
      <c r="K598">
        <f>Sheet1[[#This Row],[Revenue]]-Sheet1[[#This Row],[Ad Spend]]</f>
        <v>62.599999999999994</v>
      </c>
      <c r="L598" s="2" t="s">
        <v>22</v>
      </c>
      <c r="M598">
        <v>2</v>
      </c>
      <c r="N598" s="2" t="s">
        <v>15</v>
      </c>
      <c r="O598">
        <v>45.44</v>
      </c>
    </row>
    <row r="599" spans="1:15" x14ac:dyDescent="0.3">
      <c r="A599" s="1">
        <v>45326</v>
      </c>
      <c r="B599" s="2" t="s">
        <v>16</v>
      </c>
      <c r="C599" s="2" t="s">
        <v>17</v>
      </c>
      <c r="D599" s="2" t="s">
        <v>13</v>
      </c>
      <c r="E599">
        <v>128.51</v>
      </c>
      <c r="F599">
        <v>39.54</v>
      </c>
      <c r="G599">
        <v>3</v>
      </c>
      <c r="H599">
        <f t="shared" si="9"/>
        <v>48675.899999999936</v>
      </c>
      <c r="I599" t="str">
        <f>IF(Sheet1[[#This Row],[Month_Revenue]] &lt; AVERAGE(Sheet1[Month_Revenue]), "Off-Peak", "Peak")</f>
        <v>Off-Peak</v>
      </c>
      <c r="J599">
        <f xml:space="preserve"> IF(Sheet1[[#This Row],[Ad Spend]] &gt; 0, (Sheet1[[#This Row],[Profit]] / Sheet1[[#This Row],[Ad Spend]]), 0)</f>
        <v>2.250126454223571</v>
      </c>
      <c r="K599">
        <f>Sheet1[[#This Row],[Revenue]]-Sheet1[[#This Row],[Ad Spend]]</f>
        <v>88.97</v>
      </c>
      <c r="L599" s="2" t="s">
        <v>22</v>
      </c>
      <c r="M599">
        <v>2</v>
      </c>
      <c r="N599" s="2" t="s">
        <v>15</v>
      </c>
      <c r="O599">
        <v>42.836666666666666</v>
      </c>
    </row>
    <row r="600" spans="1:15" x14ac:dyDescent="0.3">
      <c r="A600" s="1">
        <v>45339</v>
      </c>
      <c r="B600" s="2" t="s">
        <v>11</v>
      </c>
      <c r="C600" s="2" t="s">
        <v>21</v>
      </c>
      <c r="D600" s="2" t="s">
        <v>13</v>
      </c>
      <c r="E600">
        <v>58.6</v>
      </c>
      <c r="F600">
        <v>38.07</v>
      </c>
      <c r="G600">
        <v>0</v>
      </c>
      <c r="H600">
        <f t="shared" si="9"/>
        <v>48675.899999999936</v>
      </c>
      <c r="I600" t="str">
        <f>IF(Sheet1[[#This Row],[Month_Revenue]] &lt; AVERAGE(Sheet1[Month_Revenue]), "Off-Peak", "Peak")</f>
        <v>Off-Peak</v>
      </c>
      <c r="J600">
        <f xml:space="preserve"> IF(Sheet1[[#This Row],[Ad Spend]] &gt; 0, (Sheet1[[#This Row],[Profit]] / Sheet1[[#This Row],[Ad Spend]]), 0)</f>
        <v>0.53926976622012091</v>
      </c>
      <c r="K600">
        <f>Sheet1[[#This Row],[Revenue]]-Sheet1[[#This Row],[Ad Spend]]</f>
        <v>20.53</v>
      </c>
      <c r="L600" s="2" t="s">
        <v>22</v>
      </c>
      <c r="M600">
        <v>2</v>
      </c>
      <c r="N600" s="2" t="s">
        <v>15</v>
      </c>
      <c r="O600">
        <v>0</v>
      </c>
    </row>
    <row r="601" spans="1:15" x14ac:dyDescent="0.3">
      <c r="A601" s="1">
        <v>45294</v>
      </c>
      <c r="B601" s="2" t="s">
        <v>23</v>
      </c>
      <c r="C601" s="2" t="s">
        <v>12</v>
      </c>
      <c r="D601" s="2" t="s">
        <v>13</v>
      </c>
      <c r="E601">
        <v>183.23</v>
      </c>
      <c r="F601">
        <v>13.76</v>
      </c>
      <c r="G601">
        <v>2</v>
      </c>
      <c r="H601">
        <f t="shared" si="9"/>
        <v>61207.979999999989</v>
      </c>
      <c r="I601" t="str">
        <f>IF(Sheet1[[#This Row],[Month_Revenue]] &lt; AVERAGE(Sheet1[Month_Revenue]), "Off-Peak", "Peak")</f>
        <v>Peak</v>
      </c>
      <c r="J601">
        <f xml:space="preserve"> IF(Sheet1[[#This Row],[Ad Spend]] &gt; 0, (Sheet1[[#This Row],[Profit]] / Sheet1[[#This Row],[Ad Spend]]), 0)</f>
        <v>12.316133720930234</v>
      </c>
      <c r="K601">
        <f>Sheet1[[#This Row],[Revenue]]-Sheet1[[#This Row],[Ad Spend]]</f>
        <v>169.47</v>
      </c>
      <c r="L601" s="2" t="s">
        <v>14</v>
      </c>
      <c r="M601">
        <v>1</v>
      </c>
      <c r="N601" s="2" t="s">
        <v>15</v>
      </c>
      <c r="O601">
        <v>91.614999999999995</v>
      </c>
    </row>
    <row r="602" spans="1:15" x14ac:dyDescent="0.3">
      <c r="A602" s="1">
        <v>45366</v>
      </c>
      <c r="B602" s="2" t="s">
        <v>16</v>
      </c>
      <c r="C602" s="2" t="s">
        <v>21</v>
      </c>
      <c r="D602" s="2" t="s">
        <v>13</v>
      </c>
      <c r="E602">
        <v>22.24</v>
      </c>
      <c r="F602">
        <v>24.74</v>
      </c>
      <c r="G602">
        <v>1</v>
      </c>
      <c r="H602">
        <f t="shared" si="9"/>
        <v>54735.250000000029</v>
      </c>
      <c r="I602" t="str">
        <f>IF(Sheet1[[#This Row],[Month_Revenue]] &lt; AVERAGE(Sheet1[Month_Revenue]), "Off-Peak", "Peak")</f>
        <v>Off-Peak</v>
      </c>
      <c r="J602">
        <f xml:space="preserve"> IF(Sheet1[[#This Row],[Ad Spend]] &gt; 0, (Sheet1[[#This Row],[Profit]] / Sheet1[[#This Row],[Ad Spend]]), 0)</f>
        <v>-0.10105092966855296</v>
      </c>
      <c r="K602">
        <f>Sheet1[[#This Row],[Revenue]]-Sheet1[[#This Row],[Ad Spend]]</f>
        <v>-2.5</v>
      </c>
      <c r="L602" s="2" t="s">
        <v>14</v>
      </c>
      <c r="M602">
        <v>3</v>
      </c>
      <c r="N602" s="2" t="s">
        <v>19</v>
      </c>
      <c r="O602">
        <v>22.24</v>
      </c>
    </row>
    <row r="603" spans="1:15" x14ac:dyDescent="0.3">
      <c r="A603" s="1">
        <v>45296</v>
      </c>
      <c r="B603" s="2" t="s">
        <v>23</v>
      </c>
      <c r="C603" s="2" t="s">
        <v>17</v>
      </c>
      <c r="D603" s="2" t="s">
        <v>18</v>
      </c>
      <c r="E603">
        <v>44.89</v>
      </c>
      <c r="F603">
        <v>44.79</v>
      </c>
      <c r="G603">
        <v>2</v>
      </c>
      <c r="H603">
        <f t="shared" si="9"/>
        <v>61207.979999999989</v>
      </c>
      <c r="I603" t="str">
        <f>IF(Sheet1[[#This Row],[Month_Revenue]] &lt; AVERAGE(Sheet1[Month_Revenue]), "Off-Peak", "Peak")</f>
        <v>Peak</v>
      </c>
      <c r="J603">
        <f xml:space="preserve"> IF(Sheet1[[#This Row],[Ad Spend]] &gt; 0, (Sheet1[[#This Row],[Profit]] / Sheet1[[#This Row],[Ad Spend]]), 0)</f>
        <v>2.2326412145568524E-3</v>
      </c>
      <c r="K603">
        <f>Sheet1[[#This Row],[Revenue]]-Sheet1[[#This Row],[Ad Spend]]</f>
        <v>0.10000000000000142</v>
      </c>
      <c r="L603" s="2" t="s">
        <v>14</v>
      </c>
      <c r="M603">
        <v>1</v>
      </c>
      <c r="N603" s="2" t="s">
        <v>15</v>
      </c>
      <c r="O603">
        <v>22.445</v>
      </c>
    </row>
    <row r="604" spans="1:15" x14ac:dyDescent="0.3">
      <c r="A604" s="1">
        <v>45338</v>
      </c>
      <c r="B604" s="2" t="s">
        <v>11</v>
      </c>
      <c r="C604" s="2" t="s">
        <v>17</v>
      </c>
      <c r="D604" s="2" t="s">
        <v>18</v>
      </c>
      <c r="E604">
        <v>153.44</v>
      </c>
      <c r="F604">
        <v>5.62</v>
      </c>
      <c r="G604">
        <v>3</v>
      </c>
      <c r="H604">
        <f t="shared" si="9"/>
        <v>48675.899999999936</v>
      </c>
      <c r="I604" t="str">
        <f>IF(Sheet1[[#This Row],[Month_Revenue]] &lt; AVERAGE(Sheet1[Month_Revenue]), "Off-Peak", "Peak")</f>
        <v>Off-Peak</v>
      </c>
      <c r="J604">
        <f xml:space="preserve"> IF(Sheet1[[#This Row],[Ad Spend]] &gt; 0, (Sheet1[[#This Row],[Profit]] / Sheet1[[#This Row],[Ad Spend]]), 0)</f>
        <v>26.302491103202847</v>
      </c>
      <c r="K604">
        <f>Sheet1[[#This Row],[Revenue]]-Sheet1[[#This Row],[Ad Spend]]</f>
        <v>147.82</v>
      </c>
      <c r="L604" s="2" t="s">
        <v>22</v>
      </c>
      <c r="M604">
        <v>2</v>
      </c>
      <c r="N604" s="2" t="s">
        <v>15</v>
      </c>
      <c r="O604">
        <v>51.146666666666668</v>
      </c>
    </row>
    <row r="605" spans="1:15" x14ac:dyDescent="0.3">
      <c r="A605" s="1">
        <v>45355</v>
      </c>
      <c r="B605" s="2" t="s">
        <v>16</v>
      </c>
      <c r="C605" s="2" t="s">
        <v>12</v>
      </c>
      <c r="D605" s="2" t="s">
        <v>13</v>
      </c>
      <c r="E605">
        <v>50.54</v>
      </c>
      <c r="F605">
        <v>31.01</v>
      </c>
      <c r="G605">
        <v>0</v>
      </c>
      <c r="H605">
        <f t="shared" si="9"/>
        <v>54735.250000000029</v>
      </c>
      <c r="I605" t="str">
        <f>IF(Sheet1[[#This Row],[Month_Revenue]] &lt; AVERAGE(Sheet1[Month_Revenue]), "Off-Peak", "Peak")</f>
        <v>Off-Peak</v>
      </c>
      <c r="J605">
        <f xml:space="preserve"> IF(Sheet1[[#This Row],[Ad Spend]] &gt; 0, (Sheet1[[#This Row],[Profit]] / Sheet1[[#This Row],[Ad Spend]]), 0)</f>
        <v>0.62979683972911948</v>
      </c>
      <c r="K605">
        <f>Sheet1[[#This Row],[Revenue]]-Sheet1[[#This Row],[Ad Spend]]</f>
        <v>19.529999999999998</v>
      </c>
      <c r="L605" s="2" t="s">
        <v>22</v>
      </c>
      <c r="M605">
        <v>3</v>
      </c>
      <c r="N605" s="2" t="s">
        <v>19</v>
      </c>
      <c r="O605">
        <v>0</v>
      </c>
    </row>
    <row r="606" spans="1:15" x14ac:dyDescent="0.3">
      <c r="A606" s="1">
        <v>45355</v>
      </c>
      <c r="B606" s="2" t="s">
        <v>11</v>
      </c>
      <c r="C606" s="2" t="s">
        <v>21</v>
      </c>
      <c r="D606" s="2" t="s">
        <v>13</v>
      </c>
      <c r="E606">
        <v>174.88</v>
      </c>
      <c r="F606">
        <v>42.91</v>
      </c>
      <c r="G606">
        <v>2</v>
      </c>
      <c r="H606">
        <f t="shared" si="9"/>
        <v>54735.250000000029</v>
      </c>
      <c r="I606" t="str">
        <f>IF(Sheet1[[#This Row],[Month_Revenue]] &lt; AVERAGE(Sheet1[Month_Revenue]), "Off-Peak", "Peak")</f>
        <v>Off-Peak</v>
      </c>
      <c r="J606">
        <f xml:space="preserve"> IF(Sheet1[[#This Row],[Ad Spend]] &gt; 0, (Sheet1[[#This Row],[Profit]] / Sheet1[[#This Row],[Ad Spend]]), 0)</f>
        <v>3.0755068748543466</v>
      </c>
      <c r="K606">
        <f>Sheet1[[#This Row],[Revenue]]-Sheet1[[#This Row],[Ad Spend]]</f>
        <v>131.97</v>
      </c>
      <c r="L606" s="2" t="s">
        <v>14</v>
      </c>
      <c r="M606">
        <v>3</v>
      </c>
      <c r="N606" s="2" t="s">
        <v>19</v>
      </c>
      <c r="O606">
        <v>87.44</v>
      </c>
    </row>
    <row r="607" spans="1:15" x14ac:dyDescent="0.3">
      <c r="A607" s="1">
        <v>45300</v>
      </c>
      <c r="B607" s="2" t="s">
        <v>23</v>
      </c>
      <c r="C607" s="2" t="s">
        <v>17</v>
      </c>
      <c r="D607" s="2" t="s">
        <v>13</v>
      </c>
      <c r="E607">
        <v>114.27</v>
      </c>
      <c r="F607">
        <v>2.71</v>
      </c>
      <c r="G607">
        <v>2</v>
      </c>
      <c r="H607">
        <f t="shared" si="9"/>
        <v>61207.979999999989</v>
      </c>
      <c r="I607" t="str">
        <f>IF(Sheet1[[#This Row],[Month_Revenue]] &lt; AVERAGE(Sheet1[Month_Revenue]), "Off-Peak", "Peak")</f>
        <v>Peak</v>
      </c>
      <c r="J607">
        <f xml:space="preserve"> IF(Sheet1[[#This Row],[Ad Spend]] &gt; 0, (Sheet1[[#This Row],[Profit]] / Sheet1[[#This Row],[Ad Spend]]), 0)</f>
        <v>41.166051660516608</v>
      </c>
      <c r="K607">
        <f>Sheet1[[#This Row],[Revenue]]-Sheet1[[#This Row],[Ad Spend]]</f>
        <v>111.56</v>
      </c>
      <c r="L607" s="2" t="s">
        <v>14</v>
      </c>
      <c r="M607">
        <v>1</v>
      </c>
      <c r="N607" s="2" t="s">
        <v>15</v>
      </c>
      <c r="O607">
        <v>57.134999999999998</v>
      </c>
    </row>
    <row r="608" spans="1:15" x14ac:dyDescent="0.3">
      <c r="A608" s="1">
        <v>45352</v>
      </c>
      <c r="B608" s="2" t="s">
        <v>11</v>
      </c>
      <c r="C608" s="2" t="s">
        <v>17</v>
      </c>
      <c r="D608" s="2" t="s">
        <v>18</v>
      </c>
      <c r="E608">
        <v>178.51</v>
      </c>
      <c r="F608">
        <v>40.729999999999997</v>
      </c>
      <c r="G608">
        <v>3</v>
      </c>
      <c r="H608">
        <f t="shared" si="9"/>
        <v>54735.250000000029</v>
      </c>
      <c r="I608" t="str">
        <f>IF(Sheet1[[#This Row],[Month_Revenue]] &lt; AVERAGE(Sheet1[Month_Revenue]), "Off-Peak", "Peak")</f>
        <v>Off-Peak</v>
      </c>
      <c r="J608">
        <f xml:space="preserve"> IF(Sheet1[[#This Row],[Ad Spend]] &gt; 0, (Sheet1[[#This Row],[Profit]] / Sheet1[[#This Row],[Ad Spend]]), 0)</f>
        <v>3.382764547016941</v>
      </c>
      <c r="K608">
        <f>Sheet1[[#This Row],[Revenue]]-Sheet1[[#This Row],[Ad Spend]]</f>
        <v>137.78</v>
      </c>
      <c r="L608" s="2" t="s">
        <v>22</v>
      </c>
      <c r="M608">
        <v>3</v>
      </c>
      <c r="N608" s="2" t="s">
        <v>19</v>
      </c>
      <c r="O608">
        <v>59.50333333333333</v>
      </c>
    </row>
    <row r="609" spans="1:15" x14ac:dyDescent="0.3">
      <c r="A609" s="1">
        <v>45325</v>
      </c>
      <c r="B609" s="2" t="s">
        <v>23</v>
      </c>
      <c r="C609" s="2" t="s">
        <v>21</v>
      </c>
      <c r="D609" s="2" t="s">
        <v>13</v>
      </c>
      <c r="E609">
        <v>53.51</v>
      </c>
      <c r="F609">
        <v>34.880000000000003</v>
      </c>
      <c r="G609">
        <v>0</v>
      </c>
      <c r="H609">
        <f t="shared" si="9"/>
        <v>48675.899999999936</v>
      </c>
      <c r="I609" t="str">
        <f>IF(Sheet1[[#This Row],[Month_Revenue]] &lt; AVERAGE(Sheet1[Month_Revenue]), "Off-Peak", "Peak")</f>
        <v>Off-Peak</v>
      </c>
      <c r="J609">
        <f xml:space="preserve"> IF(Sheet1[[#This Row],[Ad Spend]] &gt; 0, (Sheet1[[#This Row],[Profit]] / Sheet1[[#This Row],[Ad Spend]]), 0)</f>
        <v>0.53411697247706402</v>
      </c>
      <c r="K609">
        <f>Sheet1[[#This Row],[Revenue]]-Sheet1[[#This Row],[Ad Spend]]</f>
        <v>18.629999999999995</v>
      </c>
      <c r="L609" s="2" t="s">
        <v>22</v>
      </c>
      <c r="M609">
        <v>2</v>
      </c>
      <c r="N609" s="2" t="s">
        <v>15</v>
      </c>
      <c r="O609">
        <v>0</v>
      </c>
    </row>
    <row r="610" spans="1:15" x14ac:dyDescent="0.3">
      <c r="A610" s="1">
        <v>45298</v>
      </c>
      <c r="B610" s="2" t="s">
        <v>11</v>
      </c>
      <c r="C610" s="2" t="s">
        <v>17</v>
      </c>
      <c r="D610" s="2" t="s">
        <v>13</v>
      </c>
      <c r="E610">
        <v>23.11</v>
      </c>
      <c r="F610">
        <v>2.64</v>
      </c>
      <c r="G610">
        <v>2</v>
      </c>
      <c r="H610">
        <f t="shared" si="9"/>
        <v>61207.979999999989</v>
      </c>
      <c r="I610" t="str">
        <f>IF(Sheet1[[#This Row],[Month_Revenue]] &lt; AVERAGE(Sheet1[Month_Revenue]), "Off-Peak", "Peak")</f>
        <v>Peak</v>
      </c>
      <c r="J610">
        <f xml:space="preserve"> IF(Sheet1[[#This Row],[Ad Spend]] &gt; 0, (Sheet1[[#This Row],[Profit]] / Sheet1[[#This Row],[Ad Spend]]), 0)</f>
        <v>7.753787878787878</v>
      </c>
      <c r="K610">
        <f>Sheet1[[#This Row],[Revenue]]-Sheet1[[#This Row],[Ad Spend]]</f>
        <v>20.47</v>
      </c>
      <c r="L610" s="2" t="s">
        <v>14</v>
      </c>
      <c r="M610">
        <v>1</v>
      </c>
      <c r="N610" s="2" t="s">
        <v>15</v>
      </c>
      <c r="O610">
        <v>11.555</v>
      </c>
    </row>
    <row r="611" spans="1:15" x14ac:dyDescent="0.3">
      <c r="A611" s="1">
        <v>45380</v>
      </c>
      <c r="B611" s="2" t="s">
        <v>11</v>
      </c>
      <c r="C611" s="2" t="s">
        <v>17</v>
      </c>
      <c r="D611" s="2" t="s">
        <v>18</v>
      </c>
      <c r="E611">
        <v>172.56</v>
      </c>
      <c r="F611">
        <v>10.74</v>
      </c>
      <c r="G611">
        <v>3</v>
      </c>
      <c r="H611">
        <f t="shared" si="9"/>
        <v>54735.250000000029</v>
      </c>
      <c r="I611" t="str">
        <f>IF(Sheet1[[#This Row],[Month_Revenue]] &lt; AVERAGE(Sheet1[Month_Revenue]), "Off-Peak", "Peak")</f>
        <v>Off-Peak</v>
      </c>
      <c r="J611">
        <f xml:space="preserve"> IF(Sheet1[[#This Row],[Ad Spend]] &gt; 0, (Sheet1[[#This Row],[Profit]] / Sheet1[[#This Row],[Ad Spend]]), 0)</f>
        <v>15.06703910614525</v>
      </c>
      <c r="K611">
        <f>Sheet1[[#This Row],[Revenue]]-Sheet1[[#This Row],[Ad Spend]]</f>
        <v>161.82</v>
      </c>
      <c r="L611" s="2" t="s">
        <v>22</v>
      </c>
      <c r="M611">
        <v>3</v>
      </c>
      <c r="N611" s="2" t="s">
        <v>19</v>
      </c>
      <c r="O611">
        <v>57.52</v>
      </c>
    </row>
    <row r="612" spans="1:15" x14ac:dyDescent="0.3">
      <c r="A612" s="1">
        <v>45358</v>
      </c>
      <c r="B612" s="2" t="s">
        <v>24</v>
      </c>
      <c r="C612" s="2" t="s">
        <v>21</v>
      </c>
      <c r="D612" s="2" t="s">
        <v>13</v>
      </c>
      <c r="E612">
        <v>195.63</v>
      </c>
      <c r="F612">
        <v>42.73</v>
      </c>
      <c r="G612">
        <v>0</v>
      </c>
      <c r="H612">
        <f t="shared" si="9"/>
        <v>54735.250000000029</v>
      </c>
      <c r="I612" t="str">
        <f>IF(Sheet1[[#This Row],[Month_Revenue]] &lt; AVERAGE(Sheet1[Month_Revenue]), "Off-Peak", "Peak")</f>
        <v>Off-Peak</v>
      </c>
      <c r="J612">
        <f xml:space="preserve"> IF(Sheet1[[#This Row],[Ad Spend]] &gt; 0, (Sheet1[[#This Row],[Profit]] / Sheet1[[#This Row],[Ad Spend]]), 0)</f>
        <v>3.5782822373040024</v>
      </c>
      <c r="K612">
        <f>Sheet1[[#This Row],[Revenue]]-Sheet1[[#This Row],[Ad Spend]]</f>
        <v>152.9</v>
      </c>
      <c r="L612" s="2" t="s">
        <v>14</v>
      </c>
      <c r="M612">
        <v>3</v>
      </c>
      <c r="N612" s="2" t="s">
        <v>19</v>
      </c>
      <c r="O612">
        <v>0</v>
      </c>
    </row>
    <row r="613" spans="1:15" x14ac:dyDescent="0.3">
      <c r="A613" s="1">
        <v>45410</v>
      </c>
      <c r="B613" s="2" t="s">
        <v>11</v>
      </c>
      <c r="C613" s="2" t="s">
        <v>21</v>
      </c>
      <c r="D613" s="2" t="s">
        <v>18</v>
      </c>
      <c r="E613">
        <v>93.14</v>
      </c>
      <c r="F613">
        <v>39.270000000000003</v>
      </c>
      <c r="G613">
        <v>2</v>
      </c>
      <c r="H613">
        <f t="shared" si="9"/>
        <v>58562.910000000018</v>
      </c>
      <c r="I613" t="str">
        <f>IF(Sheet1[[#This Row],[Month_Revenue]] &lt; AVERAGE(Sheet1[Month_Revenue]), "Off-Peak", "Peak")</f>
        <v>Peak</v>
      </c>
      <c r="J613">
        <f xml:space="preserve"> IF(Sheet1[[#This Row],[Ad Spend]] &gt; 0, (Sheet1[[#This Row],[Profit]] / Sheet1[[#This Row],[Ad Spend]]), 0)</f>
        <v>1.3717850776674305</v>
      </c>
      <c r="K613">
        <f>Sheet1[[#This Row],[Revenue]]-Sheet1[[#This Row],[Ad Spend]]</f>
        <v>53.87</v>
      </c>
      <c r="L613" s="2" t="s">
        <v>22</v>
      </c>
      <c r="M613">
        <v>4</v>
      </c>
      <c r="N613" s="2" t="s">
        <v>19</v>
      </c>
      <c r="O613">
        <v>46.57</v>
      </c>
    </row>
    <row r="614" spans="1:15" x14ac:dyDescent="0.3">
      <c r="A614" s="1">
        <v>45339</v>
      </c>
      <c r="B614" s="2" t="s">
        <v>24</v>
      </c>
      <c r="C614" s="2" t="s">
        <v>21</v>
      </c>
      <c r="D614" s="2" t="s">
        <v>13</v>
      </c>
      <c r="E614">
        <v>114.02</v>
      </c>
      <c r="F614">
        <v>15.19</v>
      </c>
      <c r="G614">
        <v>2</v>
      </c>
      <c r="H614">
        <f t="shared" si="9"/>
        <v>48675.899999999936</v>
      </c>
      <c r="I614" t="str">
        <f>IF(Sheet1[[#This Row],[Month_Revenue]] &lt; AVERAGE(Sheet1[Month_Revenue]), "Off-Peak", "Peak")</f>
        <v>Off-Peak</v>
      </c>
      <c r="J614">
        <f xml:space="preserve"> IF(Sheet1[[#This Row],[Ad Spend]] &gt; 0, (Sheet1[[#This Row],[Profit]] / Sheet1[[#This Row],[Ad Spend]]), 0)</f>
        <v>6.5062541145490451</v>
      </c>
      <c r="K614">
        <f>Sheet1[[#This Row],[Revenue]]-Sheet1[[#This Row],[Ad Spend]]</f>
        <v>98.83</v>
      </c>
      <c r="L614" s="2" t="s">
        <v>14</v>
      </c>
      <c r="M614">
        <v>2</v>
      </c>
      <c r="N614" s="2" t="s">
        <v>15</v>
      </c>
      <c r="O614">
        <v>57.01</v>
      </c>
    </row>
    <row r="615" spans="1:15" x14ac:dyDescent="0.3">
      <c r="A615" s="1">
        <v>45399</v>
      </c>
      <c r="B615" s="2" t="s">
        <v>20</v>
      </c>
      <c r="C615" s="2" t="s">
        <v>17</v>
      </c>
      <c r="D615" s="2" t="s">
        <v>13</v>
      </c>
      <c r="E615">
        <v>193.64</v>
      </c>
      <c r="F615">
        <v>28.97</v>
      </c>
      <c r="G615">
        <v>1</v>
      </c>
      <c r="H615">
        <f t="shared" si="9"/>
        <v>58562.910000000018</v>
      </c>
      <c r="I615" t="str">
        <f>IF(Sheet1[[#This Row],[Month_Revenue]] &lt; AVERAGE(Sheet1[Month_Revenue]), "Off-Peak", "Peak")</f>
        <v>Peak</v>
      </c>
      <c r="J615">
        <f xml:space="preserve"> IF(Sheet1[[#This Row],[Ad Spend]] &gt; 0, (Sheet1[[#This Row],[Profit]] / Sheet1[[#This Row],[Ad Spend]]), 0)</f>
        <v>5.6841560234725579</v>
      </c>
      <c r="K615">
        <f>Sheet1[[#This Row],[Revenue]]-Sheet1[[#This Row],[Ad Spend]]</f>
        <v>164.67</v>
      </c>
      <c r="L615" s="2" t="s">
        <v>14</v>
      </c>
      <c r="M615">
        <v>4</v>
      </c>
      <c r="N615" s="2" t="s">
        <v>19</v>
      </c>
      <c r="O615">
        <v>193.64</v>
      </c>
    </row>
    <row r="616" spans="1:15" x14ac:dyDescent="0.3">
      <c r="A616" s="1">
        <v>45315</v>
      </c>
      <c r="B616" s="2" t="s">
        <v>16</v>
      </c>
      <c r="C616" s="2" t="s">
        <v>21</v>
      </c>
      <c r="D616" s="2" t="s">
        <v>18</v>
      </c>
      <c r="E616">
        <v>192.18</v>
      </c>
      <c r="F616">
        <v>27.31</v>
      </c>
      <c r="G616">
        <v>2</v>
      </c>
      <c r="H616">
        <f t="shared" si="9"/>
        <v>61207.979999999989</v>
      </c>
      <c r="I616" t="str">
        <f>IF(Sheet1[[#This Row],[Month_Revenue]] &lt; AVERAGE(Sheet1[Month_Revenue]), "Off-Peak", "Peak")</f>
        <v>Peak</v>
      </c>
      <c r="J616">
        <f xml:space="preserve"> IF(Sheet1[[#This Row],[Ad Spend]] &gt; 0, (Sheet1[[#This Row],[Profit]] / Sheet1[[#This Row],[Ad Spend]]), 0)</f>
        <v>6.0369827901867454</v>
      </c>
      <c r="K616">
        <f>Sheet1[[#This Row],[Revenue]]-Sheet1[[#This Row],[Ad Spend]]</f>
        <v>164.87</v>
      </c>
      <c r="L616" s="2" t="s">
        <v>22</v>
      </c>
      <c r="M616">
        <v>1</v>
      </c>
      <c r="N616" s="2" t="s">
        <v>15</v>
      </c>
      <c r="O616">
        <v>96.09</v>
      </c>
    </row>
    <row r="617" spans="1:15" x14ac:dyDescent="0.3">
      <c r="A617" s="1">
        <v>45314</v>
      </c>
      <c r="B617" s="2" t="s">
        <v>20</v>
      </c>
      <c r="C617" s="2" t="s">
        <v>21</v>
      </c>
      <c r="D617" s="2" t="s">
        <v>13</v>
      </c>
      <c r="E617">
        <v>173.23</v>
      </c>
      <c r="F617">
        <v>40.31</v>
      </c>
      <c r="G617">
        <v>2</v>
      </c>
      <c r="H617">
        <f t="shared" si="9"/>
        <v>61207.979999999989</v>
      </c>
      <c r="I617" t="str">
        <f>IF(Sheet1[[#This Row],[Month_Revenue]] &lt; AVERAGE(Sheet1[Month_Revenue]), "Off-Peak", "Peak")</f>
        <v>Peak</v>
      </c>
      <c r="J617">
        <f xml:space="preserve"> IF(Sheet1[[#This Row],[Ad Spend]] &gt; 0, (Sheet1[[#This Row],[Profit]] / Sheet1[[#This Row],[Ad Spend]]), 0)</f>
        <v>3.2974448027784664</v>
      </c>
      <c r="K617">
        <f>Sheet1[[#This Row],[Revenue]]-Sheet1[[#This Row],[Ad Spend]]</f>
        <v>132.91999999999999</v>
      </c>
      <c r="L617" s="2" t="s">
        <v>14</v>
      </c>
      <c r="M617">
        <v>1</v>
      </c>
      <c r="N617" s="2" t="s">
        <v>15</v>
      </c>
      <c r="O617">
        <v>86.614999999999995</v>
      </c>
    </row>
    <row r="618" spans="1:15" x14ac:dyDescent="0.3">
      <c r="A618" s="1">
        <v>45306</v>
      </c>
      <c r="B618" s="2" t="s">
        <v>24</v>
      </c>
      <c r="C618" s="2" t="s">
        <v>17</v>
      </c>
      <c r="D618" s="2" t="s">
        <v>18</v>
      </c>
      <c r="E618">
        <v>136.94999999999999</v>
      </c>
      <c r="F618">
        <v>23.91</v>
      </c>
      <c r="G618">
        <v>3</v>
      </c>
      <c r="H618">
        <f t="shared" si="9"/>
        <v>61207.979999999989</v>
      </c>
      <c r="I618" t="str">
        <f>IF(Sheet1[[#This Row],[Month_Revenue]] &lt; AVERAGE(Sheet1[Month_Revenue]), "Off-Peak", "Peak")</f>
        <v>Peak</v>
      </c>
      <c r="J618">
        <f xml:space="preserve"> IF(Sheet1[[#This Row],[Ad Spend]] &gt; 0, (Sheet1[[#This Row],[Profit]] / Sheet1[[#This Row],[Ad Spend]]), 0)</f>
        <v>4.7277289836888325</v>
      </c>
      <c r="K618">
        <f>Sheet1[[#This Row],[Revenue]]-Sheet1[[#This Row],[Ad Spend]]</f>
        <v>113.03999999999999</v>
      </c>
      <c r="L618" s="2" t="s">
        <v>22</v>
      </c>
      <c r="M618">
        <v>1</v>
      </c>
      <c r="N618" s="2" t="s">
        <v>15</v>
      </c>
      <c r="O618">
        <v>45.65</v>
      </c>
    </row>
    <row r="619" spans="1:15" x14ac:dyDescent="0.3">
      <c r="A619" s="1">
        <v>45397</v>
      </c>
      <c r="B619" s="2" t="s">
        <v>20</v>
      </c>
      <c r="C619" s="2" t="s">
        <v>12</v>
      </c>
      <c r="D619" s="2" t="s">
        <v>13</v>
      </c>
      <c r="E619">
        <v>119.45</v>
      </c>
      <c r="F619">
        <v>22.05</v>
      </c>
      <c r="G619">
        <v>1</v>
      </c>
      <c r="H619">
        <f t="shared" si="9"/>
        <v>58562.910000000018</v>
      </c>
      <c r="I619" t="str">
        <f>IF(Sheet1[[#This Row],[Month_Revenue]] &lt; AVERAGE(Sheet1[Month_Revenue]), "Off-Peak", "Peak")</f>
        <v>Peak</v>
      </c>
      <c r="J619">
        <f xml:space="preserve"> IF(Sheet1[[#This Row],[Ad Spend]] &gt; 0, (Sheet1[[#This Row],[Profit]] / Sheet1[[#This Row],[Ad Spend]]), 0)</f>
        <v>4.4172335600907031</v>
      </c>
      <c r="K619">
        <f>Sheet1[[#This Row],[Revenue]]-Sheet1[[#This Row],[Ad Spend]]</f>
        <v>97.4</v>
      </c>
      <c r="L619" s="2" t="s">
        <v>22</v>
      </c>
      <c r="M619">
        <v>4</v>
      </c>
      <c r="N619" s="2" t="s">
        <v>19</v>
      </c>
      <c r="O619">
        <v>119.45</v>
      </c>
    </row>
    <row r="620" spans="1:15" x14ac:dyDescent="0.3">
      <c r="A620" s="1">
        <v>45405</v>
      </c>
      <c r="B620" s="2" t="s">
        <v>20</v>
      </c>
      <c r="C620" s="2" t="s">
        <v>17</v>
      </c>
      <c r="D620" s="2" t="s">
        <v>18</v>
      </c>
      <c r="E620">
        <v>154.75</v>
      </c>
      <c r="F620">
        <v>11.65</v>
      </c>
      <c r="G620">
        <v>0</v>
      </c>
      <c r="H620">
        <f t="shared" si="9"/>
        <v>58562.910000000018</v>
      </c>
      <c r="I620" t="str">
        <f>IF(Sheet1[[#This Row],[Month_Revenue]] &lt; AVERAGE(Sheet1[Month_Revenue]), "Off-Peak", "Peak")</f>
        <v>Peak</v>
      </c>
      <c r="J620">
        <f xml:space="preserve"> IF(Sheet1[[#This Row],[Ad Spend]] &gt; 0, (Sheet1[[#This Row],[Profit]] / Sheet1[[#This Row],[Ad Spend]]), 0)</f>
        <v>12.283261802575106</v>
      </c>
      <c r="K620">
        <f>Sheet1[[#This Row],[Revenue]]-Sheet1[[#This Row],[Ad Spend]]</f>
        <v>143.1</v>
      </c>
      <c r="L620" s="2" t="s">
        <v>22</v>
      </c>
      <c r="M620">
        <v>4</v>
      </c>
      <c r="N620" s="2" t="s">
        <v>19</v>
      </c>
      <c r="O620">
        <v>0</v>
      </c>
    </row>
    <row r="621" spans="1:15" x14ac:dyDescent="0.3">
      <c r="A621" s="1">
        <v>45398</v>
      </c>
      <c r="B621" s="2" t="s">
        <v>11</v>
      </c>
      <c r="C621" s="2" t="s">
        <v>21</v>
      </c>
      <c r="D621" s="2" t="s">
        <v>18</v>
      </c>
      <c r="E621">
        <v>180.04</v>
      </c>
      <c r="F621">
        <v>16.059999999999999</v>
      </c>
      <c r="G621">
        <v>1</v>
      </c>
      <c r="H621">
        <f t="shared" si="9"/>
        <v>58562.910000000018</v>
      </c>
      <c r="I621" t="str">
        <f>IF(Sheet1[[#This Row],[Month_Revenue]] &lt; AVERAGE(Sheet1[Month_Revenue]), "Off-Peak", "Peak")</f>
        <v>Peak</v>
      </c>
      <c r="J621">
        <f xml:space="preserve"> IF(Sheet1[[#This Row],[Ad Spend]] &gt; 0, (Sheet1[[#This Row],[Profit]] / Sheet1[[#This Row],[Ad Spend]]), 0)</f>
        <v>10.210460772104607</v>
      </c>
      <c r="K621">
        <f>Sheet1[[#This Row],[Revenue]]-Sheet1[[#This Row],[Ad Spend]]</f>
        <v>163.98</v>
      </c>
      <c r="L621" s="2" t="s">
        <v>14</v>
      </c>
      <c r="M621">
        <v>4</v>
      </c>
      <c r="N621" s="2" t="s">
        <v>19</v>
      </c>
      <c r="O621">
        <v>180.04</v>
      </c>
    </row>
    <row r="622" spans="1:15" x14ac:dyDescent="0.3">
      <c r="A622" s="1">
        <v>45313</v>
      </c>
      <c r="B622" s="2" t="s">
        <v>20</v>
      </c>
      <c r="C622" s="2" t="s">
        <v>17</v>
      </c>
      <c r="D622" s="2" t="s">
        <v>13</v>
      </c>
      <c r="E622">
        <v>121.3</v>
      </c>
      <c r="F622">
        <v>13.99</v>
      </c>
      <c r="G622">
        <v>0</v>
      </c>
      <c r="H622">
        <f t="shared" si="9"/>
        <v>61207.979999999989</v>
      </c>
      <c r="I622" t="str">
        <f>IF(Sheet1[[#This Row],[Month_Revenue]] &lt; AVERAGE(Sheet1[Month_Revenue]), "Off-Peak", "Peak")</f>
        <v>Peak</v>
      </c>
      <c r="J622">
        <f xml:space="preserve"> IF(Sheet1[[#This Row],[Ad Spend]] &gt; 0, (Sheet1[[#This Row],[Profit]] / Sheet1[[#This Row],[Ad Spend]]), 0)</f>
        <v>7.6704789135096494</v>
      </c>
      <c r="K622">
        <f>Sheet1[[#This Row],[Revenue]]-Sheet1[[#This Row],[Ad Spend]]</f>
        <v>107.31</v>
      </c>
      <c r="L622" s="2" t="s">
        <v>14</v>
      </c>
      <c r="M622">
        <v>1</v>
      </c>
      <c r="N622" s="2" t="s">
        <v>15</v>
      </c>
      <c r="O622">
        <v>0</v>
      </c>
    </row>
    <row r="623" spans="1:15" x14ac:dyDescent="0.3">
      <c r="A623" s="1">
        <v>45356</v>
      </c>
      <c r="B623" s="2" t="s">
        <v>11</v>
      </c>
      <c r="C623" s="2" t="s">
        <v>17</v>
      </c>
      <c r="D623" s="2" t="s">
        <v>13</v>
      </c>
      <c r="E623">
        <v>177.12</v>
      </c>
      <c r="F623">
        <v>19.11</v>
      </c>
      <c r="G623">
        <v>0</v>
      </c>
      <c r="H623">
        <f t="shared" si="9"/>
        <v>54735.250000000029</v>
      </c>
      <c r="I623" t="str">
        <f>IF(Sheet1[[#This Row],[Month_Revenue]] &lt; AVERAGE(Sheet1[Month_Revenue]), "Off-Peak", "Peak")</f>
        <v>Off-Peak</v>
      </c>
      <c r="J623">
        <f xml:space="preserve"> IF(Sheet1[[#This Row],[Ad Spend]] &gt; 0, (Sheet1[[#This Row],[Profit]] / Sheet1[[#This Row],[Ad Spend]]), 0)</f>
        <v>8.2684458398744116</v>
      </c>
      <c r="K623">
        <f>Sheet1[[#This Row],[Revenue]]-Sheet1[[#This Row],[Ad Spend]]</f>
        <v>158.01</v>
      </c>
      <c r="L623" s="2" t="s">
        <v>22</v>
      </c>
      <c r="M623">
        <v>3</v>
      </c>
      <c r="N623" s="2" t="s">
        <v>19</v>
      </c>
      <c r="O623">
        <v>0</v>
      </c>
    </row>
    <row r="624" spans="1:15" x14ac:dyDescent="0.3">
      <c r="A624" s="1">
        <v>45310</v>
      </c>
      <c r="B624" s="2" t="s">
        <v>23</v>
      </c>
      <c r="C624" s="2" t="s">
        <v>12</v>
      </c>
      <c r="D624" s="2" t="s">
        <v>18</v>
      </c>
      <c r="E624">
        <v>40.229999999999997</v>
      </c>
      <c r="F624">
        <v>14.13</v>
      </c>
      <c r="G624">
        <v>0</v>
      </c>
      <c r="H624">
        <f t="shared" si="9"/>
        <v>61207.979999999989</v>
      </c>
      <c r="I624" t="str">
        <f>IF(Sheet1[[#This Row],[Month_Revenue]] &lt; AVERAGE(Sheet1[Month_Revenue]), "Off-Peak", "Peak")</f>
        <v>Peak</v>
      </c>
      <c r="J624">
        <f xml:space="preserve"> IF(Sheet1[[#This Row],[Ad Spend]] &gt; 0, (Sheet1[[#This Row],[Profit]] / Sheet1[[#This Row],[Ad Spend]]), 0)</f>
        <v>1.847133757961783</v>
      </c>
      <c r="K624">
        <f>Sheet1[[#This Row],[Revenue]]-Sheet1[[#This Row],[Ad Spend]]</f>
        <v>26.099999999999994</v>
      </c>
      <c r="L624" s="2" t="s">
        <v>22</v>
      </c>
      <c r="M624">
        <v>1</v>
      </c>
      <c r="N624" s="2" t="s">
        <v>15</v>
      </c>
      <c r="O624">
        <v>0</v>
      </c>
    </row>
    <row r="625" spans="1:15" x14ac:dyDescent="0.3">
      <c r="A625" s="1">
        <v>45402</v>
      </c>
      <c r="B625" s="2" t="s">
        <v>11</v>
      </c>
      <c r="C625" s="2" t="s">
        <v>17</v>
      </c>
      <c r="D625" s="2" t="s">
        <v>13</v>
      </c>
      <c r="E625">
        <v>36.32</v>
      </c>
      <c r="F625">
        <v>2.13</v>
      </c>
      <c r="G625">
        <v>0</v>
      </c>
      <c r="H625">
        <f t="shared" si="9"/>
        <v>58562.910000000018</v>
      </c>
      <c r="I625" t="str">
        <f>IF(Sheet1[[#This Row],[Month_Revenue]] &lt; AVERAGE(Sheet1[Month_Revenue]), "Off-Peak", "Peak")</f>
        <v>Peak</v>
      </c>
      <c r="J625">
        <f xml:space="preserve"> IF(Sheet1[[#This Row],[Ad Spend]] &gt; 0, (Sheet1[[#This Row],[Profit]] / Sheet1[[#This Row],[Ad Spend]]), 0)</f>
        <v>16.051643192488264</v>
      </c>
      <c r="K625">
        <f>Sheet1[[#This Row],[Revenue]]-Sheet1[[#This Row],[Ad Spend]]</f>
        <v>34.19</v>
      </c>
      <c r="L625" s="2" t="s">
        <v>14</v>
      </c>
      <c r="M625">
        <v>4</v>
      </c>
      <c r="N625" s="2" t="s">
        <v>19</v>
      </c>
      <c r="O625">
        <v>0</v>
      </c>
    </row>
    <row r="626" spans="1:15" x14ac:dyDescent="0.3">
      <c r="A626" s="1">
        <v>45377</v>
      </c>
      <c r="B626" s="2" t="s">
        <v>11</v>
      </c>
      <c r="C626" s="2" t="s">
        <v>12</v>
      </c>
      <c r="D626" s="2" t="s">
        <v>18</v>
      </c>
      <c r="E626">
        <v>184.37</v>
      </c>
      <c r="F626">
        <v>30.63</v>
      </c>
      <c r="G626">
        <v>0</v>
      </c>
      <c r="H626">
        <f t="shared" si="9"/>
        <v>54735.250000000029</v>
      </c>
      <c r="I626" t="str">
        <f>IF(Sheet1[[#This Row],[Month_Revenue]] &lt; AVERAGE(Sheet1[Month_Revenue]), "Off-Peak", "Peak")</f>
        <v>Off-Peak</v>
      </c>
      <c r="J626">
        <f xml:space="preserve"> IF(Sheet1[[#This Row],[Ad Spend]] &gt; 0, (Sheet1[[#This Row],[Profit]] / Sheet1[[#This Row],[Ad Spend]]), 0)</f>
        <v>5.0192621612797916</v>
      </c>
      <c r="K626">
        <f>Sheet1[[#This Row],[Revenue]]-Sheet1[[#This Row],[Ad Spend]]</f>
        <v>153.74</v>
      </c>
      <c r="L626" s="2" t="s">
        <v>14</v>
      </c>
      <c r="M626">
        <v>3</v>
      </c>
      <c r="N626" s="2" t="s">
        <v>19</v>
      </c>
      <c r="O626">
        <v>0</v>
      </c>
    </row>
    <row r="627" spans="1:15" x14ac:dyDescent="0.3">
      <c r="A627" s="1">
        <v>45346</v>
      </c>
      <c r="B627" s="2" t="s">
        <v>24</v>
      </c>
      <c r="C627" s="2" t="s">
        <v>17</v>
      </c>
      <c r="D627" s="2" t="s">
        <v>13</v>
      </c>
      <c r="E627">
        <v>78.77</v>
      </c>
      <c r="F627">
        <v>41.88</v>
      </c>
      <c r="G627">
        <v>1</v>
      </c>
      <c r="H627">
        <f t="shared" si="9"/>
        <v>48675.899999999936</v>
      </c>
      <c r="I627" t="str">
        <f>IF(Sheet1[[#This Row],[Month_Revenue]] &lt; AVERAGE(Sheet1[Month_Revenue]), "Off-Peak", "Peak")</f>
        <v>Off-Peak</v>
      </c>
      <c r="J627">
        <f xml:space="preserve"> IF(Sheet1[[#This Row],[Ad Spend]] &gt; 0, (Sheet1[[#This Row],[Profit]] / Sheet1[[#This Row],[Ad Spend]]), 0)</f>
        <v>0.88085004775549169</v>
      </c>
      <c r="K627">
        <f>Sheet1[[#This Row],[Revenue]]-Sheet1[[#This Row],[Ad Spend]]</f>
        <v>36.889999999999993</v>
      </c>
      <c r="L627" s="2" t="s">
        <v>22</v>
      </c>
      <c r="M627">
        <v>2</v>
      </c>
      <c r="N627" s="2" t="s">
        <v>15</v>
      </c>
      <c r="O627">
        <v>78.77</v>
      </c>
    </row>
    <row r="628" spans="1:15" x14ac:dyDescent="0.3">
      <c r="A628" s="1">
        <v>45410</v>
      </c>
      <c r="B628" s="2" t="s">
        <v>23</v>
      </c>
      <c r="C628" s="2" t="s">
        <v>12</v>
      </c>
      <c r="D628" s="2" t="s">
        <v>13</v>
      </c>
      <c r="E628">
        <v>118.83</v>
      </c>
      <c r="F628">
        <v>27.98</v>
      </c>
      <c r="G628">
        <v>0</v>
      </c>
      <c r="H628">
        <f t="shared" si="9"/>
        <v>58562.910000000018</v>
      </c>
      <c r="I628" t="str">
        <f>IF(Sheet1[[#This Row],[Month_Revenue]] &lt; AVERAGE(Sheet1[Month_Revenue]), "Off-Peak", "Peak")</f>
        <v>Peak</v>
      </c>
      <c r="J628">
        <f xml:space="preserve"> IF(Sheet1[[#This Row],[Ad Spend]] &gt; 0, (Sheet1[[#This Row],[Profit]] / Sheet1[[#This Row],[Ad Spend]]), 0)</f>
        <v>3.2469621157969977</v>
      </c>
      <c r="K628">
        <f>Sheet1[[#This Row],[Revenue]]-Sheet1[[#This Row],[Ad Spend]]</f>
        <v>90.85</v>
      </c>
      <c r="L628" s="2" t="s">
        <v>14</v>
      </c>
      <c r="M628">
        <v>4</v>
      </c>
      <c r="N628" s="2" t="s">
        <v>19</v>
      </c>
      <c r="O628">
        <v>0</v>
      </c>
    </row>
    <row r="629" spans="1:15" x14ac:dyDescent="0.3">
      <c r="A629" s="1">
        <v>45393</v>
      </c>
      <c r="B629" s="2" t="s">
        <v>20</v>
      </c>
      <c r="C629" s="2" t="s">
        <v>21</v>
      </c>
      <c r="D629" s="2" t="s">
        <v>13</v>
      </c>
      <c r="E629">
        <v>40.98</v>
      </c>
      <c r="F629">
        <v>19.84</v>
      </c>
      <c r="G629">
        <v>3</v>
      </c>
      <c r="H629">
        <f t="shared" si="9"/>
        <v>58562.910000000018</v>
      </c>
      <c r="I629" t="str">
        <f>IF(Sheet1[[#This Row],[Month_Revenue]] &lt; AVERAGE(Sheet1[Month_Revenue]), "Off-Peak", "Peak")</f>
        <v>Peak</v>
      </c>
      <c r="J629">
        <f xml:space="preserve"> IF(Sheet1[[#This Row],[Ad Spend]] &gt; 0, (Sheet1[[#This Row],[Profit]] / Sheet1[[#This Row],[Ad Spend]]), 0)</f>
        <v>1.065524193548387</v>
      </c>
      <c r="K629">
        <f>Sheet1[[#This Row],[Revenue]]-Sheet1[[#This Row],[Ad Spend]]</f>
        <v>21.139999999999997</v>
      </c>
      <c r="L629" s="2" t="s">
        <v>22</v>
      </c>
      <c r="M629">
        <v>4</v>
      </c>
      <c r="N629" s="2" t="s">
        <v>19</v>
      </c>
      <c r="O629">
        <v>13.659999999999998</v>
      </c>
    </row>
    <row r="630" spans="1:15" x14ac:dyDescent="0.3">
      <c r="A630" s="1">
        <v>45335</v>
      </c>
      <c r="B630" s="2" t="s">
        <v>16</v>
      </c>
      <c r="C630" s="2" t="s">
        <v>12</v>
      </c>
      <c r="D630" s="2" t="s">
        <v>13</v>
      </c>
      <c r="E630">
        <v>152.86000000000001</v>
      </c>
      <c r="F630">
        <v>22.74</v>
      </c>
      <c r="G630">
        <v>2</v>
      </c>
      <c r="H630">
        <f t="shared" si="9"/>
        <v>48675.899999999936</v>
      </c>
      <c r="I630" t="str">
        <f>IF(Sheet1[[#This Row],[Month_Revenue]] &lt; AVERAGE(Sheet1[Month_Revenue]), "Off-Peak", "Peak")</f>
        <v>Off-Peak</v>
      </c>
      <c r="J630">
        <f xml:space="preserve"> IF(Sheet1[[#This Row],[Ad Spend]] &gt; 0, (Sheet1[[#This Row],[Profit]] / Sheet1[[#This Row],[Ad Spend]]), 0)</f>
        <v>5.7220756376429209</v>
      </c>
      <c r="K630">
        <f>Sheet1[[#This Row],[Revenue]]-Sheet1[[#This Row],[Ad Spend]]</f>
        <v>130.12</v>
      </c>
      <c r="L630" s="2" t="s">
        <v>22</v>
      </c>
      <c r="M630">
        <v>2</v>
      </c>
      <c r="N630" s="2" t="s">
        <v>15</v>
      </c>
      <c r="O630">
        <v>76.430000000000007</v>
      </c>
    </row>
    <row r="631" spans="1:15" x14ac:dyDescent="0.3">
      <c r="A631" s="1">
        <v>45396</v>
      </c>
      <c r="B631" s="2" t="s">
        <v>23</v>
      </c>
      <c r="C631" s="2" t="s">
        <v>17</v>
      </c>
      <c r="D631" s="2" t="s">
        <v>13</v>
      </c>
      <c r="E631">
        <v>94.49</v>
      </c>
      <c r="F631">
        <v>42.18</v>
      </c>
      <c r="G631">
        <v>3</v>
      </c>
      <c r="H631">
        <f t="shared" si="9"/>
        <v>58562.910000000018</v>
      </c>
      <c r="I631" t="str">
        <f>IF(Sheet1[[#This Row],[Month_Revenue]] &lt; AVERAGE(Sheet1[Month_Revenue]), "Off-Peak", "Peak")</f>
        <v>Peak</v>
      </c>
      <c r="J631">
        <f xml:space="preserve"> IF(Sheet1[[#This Row],[Ad Spend]] &gt; 0, (Sheet1[[#This Row],[Profit]] / Sheet1[[#This Row],[Ad Spend]]), 0)</f>
        <v>1.2401612138454243</v>
      </c>
      <c r="K631">
        <f>Sheet1[[#This Row],[Revenue]]-Sheet1[[#This Row],[Ad Spend]]</f>
        <v>52.309999999999995</v>
      </c>
      <c r="L631" s="2" t="s">
        <v>14</v>
      </c>
      <c r="M631">
        <v>4</v>
      </c>
      <c r="N631" s="2" t="s">
        <v>19</v>
      </c>
      <c r="O631">
        <v>31.496666666666666</v>
      </c>
    </row>
    <row r="632" spans="1:15" x14ac:dyDescent="0.3">
      <c r="A632" s="1">
        <v>45402</v>
      </c>
      <c r="B632" s="2" t="s">
        <v>24</v>
      </c>
      <c r="C632" s="2" t="s">
        <v>21</v>
      </c>
      <c r="D632" s="2" t="s">
        <v>13</v>
      </c>
      <c r="E632">
        <v>96.93</v>
      </c>
      <c r="F632">
        <v>22.96</v>
      </c>
      <c r="G632">
        <v>0</v>
      </c>
      <c r="H632">
        <f t="shared" si="9"/>
        <v>58562.910000000018</v>
      </c>
      <c r="I632" t="str">
        <f>IF(Sheet1[[#This Row],[Month_Revenue]] &lt; AVERAGE(Sheet1[Month_Revenue]), "Off-Peak", "Peak")</f>
        <v>Peak</v>
      </c>
      <c r="J632">
        <f xml:space="preserve"> IF(Sheet1[[#This Row],[Ad Spend]] &gt; 0, (Sheet1[[#This Row],[Profit]] / Sheet1[[#This Row],[Ad Spend]]), 0)</f>
        <v>3.2216898954703832</v>
      </c>
      <c r="K632">
        <f>Sheet1[[#This Row],[Revenue]]-Sheet1[[#This Row],[Ad Spend]]</f>
        <v>73.97</v>
      </c>
      <c r="L632" s="2" t="s">
        <v>22</v>
      </c>
      <c r="M632">
        <v>4</v>
      </c>
      <c r="N632" s="2" t="s">
        <v>19</v>
      </c>
      <c r="O632">
        <v>0</v>
      </c>
    </row>
    <row r="633" spans="1:15" x14ac:dyDescent="0.3">
      <c r="A633" s="1">
        <v>45379</v>
      </c>
      <c r="B633" s="2" t="s">
        <v>24</v>
      </c>
      <c r="C633" s="2" t="s">
        <v>21</v>
      </c>
      <c r="D633" s="2" t="s">
        <v>13</v>
      </c>
      <c r="E633">
        <v>117.18</v>
      </c>
      <c r="F633">
        <v>5.61</v>
      </c>
      <c r="G633">
        <v>1</v>
      </c>
      <c r="H633">
        <f t="shared" si="9"/>
        <v>54735.250000000029</v>
      </c>
      <c r="I633" t="str">
        <f>IF(Sheet1[[#This Row],[Month_Revenue]] &lt; AVERAGE(Sheet1[Month_Revenue]), "Off-Peak", "Peak")</f>
        <v>Off-Peak</v>
      </c>
      <c r="J633">
        <f xml:space="preserve"> IF(Sheet1[[#This Row],[Ad Spend]] &gt; 0, (Sheet1[[#This Row],[Profit]] / Sheet1[[#This Row],[Ad Spend]]), 0)</f>
        <v>19.887700534759357</v>
      </c>
      <c r="K633">
        <f>Sheet1[[#This Row],[Revenue]]-Sheet1[[#This Row],[Ad Spend]]</f>
        <v>111.57000000000001</v>
      </c>
      <c r="L633" s="2" t="s">
        <v>14</v>
      </c>
      <c r="M633">
        <v>3</v>
      </c>
      <c r="N633" s="2" t="s">
        <v>19</v>
      </c>
      <c r="O633">
        <v>117.18</v>
      </c>
    </row>
    <row r="634" spans="1:15" x14ac:dyDescent="0.3">
      <c r="A634" s="1">
        <v>45377</v>
      </c>
      <c r="B634" s="2" t="s">
        <v>23</v>
      </c>
      <c r="C634" s="2" t="s">
        <v>17</v>
      </c>
      <c r="D634" s="2" t="s">
        <v>18</v>
      </c>
      <c r="E634">
        <v>129.4</v>
      </c>
      <c r="F634">
        <v>21.86</v>
      </c>
      <c r="G634">
        <v>0</v>
      </c>
      <c r="H634">
        <f t="shared" si="9"/>
        <v>54735.250000000029</v>
      </c>
      <c r="I634" t="str">
        <f>IF(Sheet1[[#This Row],[Month_Revenue]] &lt; AVERAGE(Sheet1[Month_Revenue]), "Off-Peak", "Peak")</f>
        <v>Off-Peak</v>
      </c>
      <c r="J634">
        <f xml:space="preserve"> IF(Sheet1[[#This Row],[Ad Spend]] &gt; 0, (Sheet1[[#This Row],[Profit]] / Sheet1[[#This Row],[Ad Spend]]), 0)</f>
        <v>4.9194876486733765</v>
      </c>
      <c r="K634">
        <f>Sheet1[[#This Row],[Revenue]]-Sheet1[[#This Row],[Ad Spend]]</f>
        <v>107.54</v>
      </c>
      <c r="L634" s="2" t="s">
        <v>22</v>
      </c>
      <c r="M634">
        <v>3</v>
      </c>
      <c r="N634" s="2" t="s">
        <v>19</v>
      </c>
      <c r="O634">
        <v>0</v>
      </c>
    </row>
    <row r="635" spans="1:15" x14ac:dyDescent="0.3">
      <c r="A635" s="1">
        <v>45310</v>
      </c>
      <c r="B635" s="2" t="s">
        <v>11</v>
      </c>
      <c r="C635" s="2" t="s">
        <v>17</v>
      </c>
      <c r="D635" s="2" t="s">
        <v>13</v>
      </c>
      <c r="E635">
        <v>43.45</v>
      </c>
      <c r="F635">
        <v>34.94</v>
      </c>
      <c r="G635">
        <v>2</v>
      </c>
      <c r="H635">
        <f t="shared" si="9"/>
        <v>61207.979999999989</v>
      </c>
      <c r="I635" t="str">
        <f>IF(Sheet1[[#This Row],[Month_Revenue]] &lt; AVERAGE(Sheet1[Month_Revenue]), "Off-Peak", "Peak")</f>
        <v>Peak</v>
      </c>
      <c r="J635">
        <f xml:space="preserve"> IF(Sheet1[[#This Row],[Ad Spend]] &gt; 0, (Sheet1[[#This Row],[Profit]] / Sheet1[[#This Row],[Ad Spend]]), 0)</f>
        <v>0.24356038923869508</v>
      </c>
      <c r="K635">
        <f>Sheet1[[#This Row],[Revenue]]-Sheet1[[#This Row],[Ad Spend]]</f>
        <v>8.5100000000000051</v>
      </c>
      <c r="L635" s="2" t="s">
        <v>22</v>
      </c>
      <c r="M635">
        <v>1</v>
      </c>
      <c r="N635" s="2" t="s">
        <v>15</v>
      </c>
      <c r="O635">
        <v>21.725000000000001</v>
      </c>
    </row>
    <row r="636" spans="1:15" x14ac:dyDescent="0.3">
      <c r="A636" s="1">
        <v>45307</v>
      </c>
      <c r="B636" s="2" t="s">
        <v>20</v>
      </c>
      <c r="C636" s="2" t="s">
        <v>12</v>
      </c>
      <c r="D636" s="2" t="s">
        <v>18</v>
      </c>
      <c r="E636">
        <v>50.91</v>
      </c>
      <c r="F636">
        <v>18</v>
      </c>
      <c r="G636">
        <v>0</v>
      </c>
      <c r="H636">
        <f t="shared" si="9"/>
        <v>61207.979999999989</v>
      </c>
      <c r="I636" t="str">
        <f>IF(Sheet1[[#This Row],[Month_Revenue]] &lt; AVERAGE(Sheet1[Month_Revenue]), "Off-Peak", "Peak")</f>
        <v>Peak</v>
      </c>
      <c r="J636">
        <f xml:space="preserve"> IF(Sheet1[[#This Row],[Ad Spend]] &gt; 0, (Sheet1[[#This Row],[Profit]] / Sheet1[[#This Row],[Ad Spend]]), 0)</f>
        <v>1.8283333333333331</v>
      </c>
      <c r="K636">
        <f>Sheet1[[#This Row],[Revenue]]-Sheet1[[#This Row],[Ad Spend]]</f>
        <v>32.909999999999997</v>
      </c>
      <c r="L636" s="2" t="s">
        <v>14</v>
      </c>
      <c r="M636">
        <v>1</v>
      </c>
      <c r="N636" s="2" t="s">
        <v>15</v>
      </c>
      <c r="O636">
        <v>0</v>
      </c>
    </row>
    <row r="637" spans="1:15" x14ac:dyDescent="0.3">
      <c r="A637" s="1">
        <v>45310</v>
      </c>
      <c r="B637" s="2" t="s">
        <v>24</v>
      </c>
      <c r="C637" s="2" t="s">
        <v>12</v>
      </c>
      <c r="D637" s="2" t="s">
        <v>13</v>
      </c>
      <c r="E637">
        <v>38.700000000000003</v>
      </c>
      <c r="F637">
        <v>46.8</v>
      </c>
      <c r="G637">
        <v>3</v>
      </c>
      <c r="H637">
        <f t="shared" si="9"/>
        <v>61207.979999999989</v>
      </c>
      <c r="I637" t="str">
        <f>IF(Sheet1[[#This Row],[Month_Revenue]] &lt; AVERAGE(Sheet1[Month_Revenue]), "Off-Peak", "Peak")</f>
        <v>Peak</v>
      </c>
      <c r="J637">
        <f xml:space="preserve"> IF(Sheet1[[#This Row],[Ad Spend]] &gt; 0, (Sheet1[[#This Row],[Profit]] / Sheet1[[#This Row],[Ad Spend]]), 0)</f>
        <v>-0.17307692307692296</v>
      </c>
      <c r="K637">
        <f>Sheet1[[#This Row],[Revenue]]-Sheet1[[#This Row],[Ad Spend]]</f>
        <v>-8.0999999999999943</v>
      </c>
      <c r="L637" s="2" t="s">
        <v>14</v>
      </c>
      <c r="M637">
        <v>1</v>
      </c>
      <c r="N637" s="2" t="s">
        <v>15</v>
      </c>
      <c r="O637">
        <v>12.9</v>
      </c>
    </row>
    <row r="638" spans="1:15" x14ac:dyDescent="0.3">
      <c r="A638" s="1">
        <v>45385</v>
      </c>
      <c r="B638" s="2" t="s">
        <v>23</v>
      </c>
      <c r="C638" s="2" t="s">
        <v>12</v>
      </c>
      <c r="D638" s="2" t="s">
        <v>18</v>
      </c>
      <c r="E638">
        <v>126.5</v>
      </c>
      <c r="F638">
        <v>40.53</v>
      </c>
      <c r="G638">
        <v>0</v>
      </c>
      <c r="H638">
        <f t="shared" si="9"/>
        <v>58562.910000000018</v>
      </c>
      <c r="I638" t="str">
        <f>IF(Sheet1[[#This Row],[Month_Revenue]] &lt; AVERAGE(Sheet1[Month_Revenue]), "Off-Peak", "Peak")</f>
        <v>Peak</v>
      </c>
      <c r="J638">
        <f xml:space="preserve"> IF(Sheet1[[#This Row],[Ad Spend]] &gt; 0, (Sheet1[[#This Row],[Profit]] / Sheet1[[#This Row],[Ad Spend]]), 0)</f>
        <v>2.1211448309893903</v>
      </c>
      <c r="K638">
        <f>Sheet1[[#This Row],[Revenue]]-Sheet1[[#This Row],[Ad Spend]]</f>
        <v>85.97</v>
      </c>
      <c r="L638" s="2" t="s">
        <v>22</v>
      </c>
      <c r="M638">
        <v>4</v>
      </c>
      <c r="N638" s="2" t="s">
        <v>19</v>
      </c>
      <c r="O638">
        <v>0</v>
      </c>
    </row>
    <row r="639" spans="1:15" x14ac:dyDescent="0.3">
      <c r="A639" s="1">
        <v>45328</v>
      </c>
      <c r="B639" s="2" t="s">
        <v>11</v>
      </c>
      <c r="C639" s="2" t="s">
        <v>12</v>
      </c>
      <c r="D639" s="2" t="s">
        <v>13</v>
      </c>
      <c r="E639">
        <v>176.71</v>
      </c>
      <c r="F639">
        <v>30.6</v>
      </c>
      <c r="G639">
        <v>2</v>
      </c>
      <c r="H639">
        <f t="shared" si="9"/>
        <v>48675.899999999936</v>
      </c>
      <c r="I639" t="str">
        <f>IF(Sheet1[[#This Row],[Month_Revenue]] &lt; AVERAGE(Sheet1[Month_Revenue]), "Off-Peak", "Peak")</f>
        <v>Off-Peak</v>
      </c>
      <c r="J639">
        <f xml:space="preserve"> IF(Sheet1[[#This Row],[Ad Spend]] &gt; 0, (Sheet1[[#This Row],[Profit]] / Sheet1[[#This Row],[Ad Spend]]), 0)</f>
        <v>4.7748366013071895</v>
      </c>
      <c r="K639">
        <f>Sheet1[[#This Row],[Revenue]]-Sheet1[[#This Row],[Ad Spend]]</f>
        <v>146.11000000000001</v>
      </c>
      <c r="L639" s="2" t="s">
        <v>14</v>
      </c>
      <c r="M639">
        <v>2</v>
      </c>
      <c r="N639" s="2" t="s">
        <v>15</v>
      </c>
      <c r="O639">
        <v>88.355000000000004</v>
      </c>
    </row>
    <row r="640" spans="1:15" x14ac:dyDescent="0.3">
      <c r="A640" s="1">
        <v>45336</v>
      </c>
      <c r="B640" s="2" t="s">
        <v>20</v>
      </c>
      <c r="C640" s="2" t="s">
        <v>12</v>
      </c>
      <c r="D640" s="2" t="s">
        <v>13</v>
      </c>
      <c r="E640">
        <v>51.08</v>
      </c>
      <c r="F640">
        <v>24.03</v>
      </c>
      <c r="G640">
        <v>0</v>
      </c>
      <c r="H640">
        <f t="shared" si="9"/>
        <v>48675.899999999936</v>
      </c>
      <c r="I640" t="str">
        <f>IF(Sheet1[[#This Row],[Month_Revenue]] &lt; AVERAGE(Sheet1[Month_Revenue]), "Off-Peak", "Peak")</f>
        <v>Off-Peak</v>
      </c>
      <c r="J640">
        <f xml:space="preserve"> IF(Sheet1[[#This Row],[Ad Spend]] &gt; 0, (Sheet1[[#This Row],[Profit]] / Sheet1[[#This Row],[Ad Spend]]), 0)</f>
        <v>1.1256762380357885</v>
      </c>
      <c r="K640">
        <f>Sheet1[[#This Row],[Revenue]]-Sheet1[[#This Row],[Ad Spend]]</f>
        <v>27.049999999999997</v>
      </c>
      <c r="L640" s="2" t="s">
        <v>22</v>
      </c>
      <c r="M640">
        <v>2</v>
      </c>
      <c r="N640" s="2" t="s">
        <v>15</v>
      </c>
      <c r="O640">
        <v>0</v>
      </c>
    </row>
    <row r="641" spans="1:15" x14ac:dyDescent="0.3">
      <c r="A641" s="1">
        <v>45350</v>
      </c>
      <c r="B641" s="2" t="s">
        <v>23</v>
      </c>
      <c r="C641" s="2" t="s">
        <v>17</v>
      </c>
      <c r="D641" s="2" t="s">
        <v>18</v>
      </c>
      <c r="E641">
        <v>49.02</v>
      </c>
      <c r="F641">
        <v>36.69</v>
      </c>
      <c r="G641">
        <v>0</v>
      </c>
      <c r="H641">
        <f t="shared" si="9"/>
        <v>48675.899999999936</v>
      </c>
      <c r="I641" t="str">
        <f>IF(Sheet1[[#This Row],[Month_Revenue]] &lt; AVERAGE(Sheet1[Month_Revenue]), "Off-Peak", "Peak")</f>
        <v>Off-Peak</v>
      </c>
      <c r="J641">
        <f xml:space="preserve"> IF(Sheet1[[#This Row],[Ad Spend]] &gt; 0, (Sheet1[[#This Row],[Profit]] / Sheet1[[#This Row],[Ad Spend]]), 0)</f>
        <v>0.33605887162714654</v>
      </c>
      <c r="K641">
        <f>Sheet1[[#This Row],[Revenue]]-Sheet1[[#This Row],[Ad Spend]]</f>
        <v>12.330000000000005</v>
      </c>
      <c r="L641" s="2" t="s">
        <v>22</v>
      </c>
      <c r="M641">
        <v>2</v>
      </c>
      <c r="N641" s="2" t="s">
        <v>15</v>
      </c>
      <c r="O641">
        <v>0</v>
      </c>
    </row>
    <row r="642" spans="1:15" x14ac:dyDescent="0.3">
      <c r="A642" s="1">
        <v>45412</v>
      </c>
      <c r="B642" s="2" t="s">
        <v>23</v>
      </c>
      <c r="C642" s="2" t="s">
        <v>21</v>
      </c>
      <c r="D642" s="2" t="s">
        <v>13</v>
      </c>
      <c r="E642">
        <v>171.13</v>
      </c>
      <c r="F642">
        <v>6.64</v>
      </c>
      <c r="G642">
        <v>2</v>
      </c>
      <c r="H642">
        <f t="shared" ref="H642:H705" si="10">SUMIFS($E$2:$E$2001, $M$2:$M$2001, M642)</f>
        <v>58562.910000000018</v>
      </c>
      <c r="I642" t="str">
        <f>IF(Sheet1[[#This Row],[Month_Revenue]] &lt; AVERAGE(Sheet1[Month_Revenue]), "Off-Peak", "Peak")</f>
        <v>Peak</v>
      </c>
      <c r="J642">
        <f xml:space="preserve"> IF(Sheet1[[#This Row],[Ad Spend]] &gt; 0, (Sheet1[[#This Row],[Profit]] / Sheet1[[#This Row],[Ad Spend]]), 0)</f>
        <v>24.772590361445786</v>
      </c>
      <c r="K642">
        <f>Sheet1[[#This Row],[Revenue]]-Sheet1[[#This Row],[Ad Spend]]</f>
        <v>164.49</v>
      </c>
      <c r="L642" s="2" t="s">
        <v>22</v>
      </c>
      <c r="M642">
        <v>4</v>
      </c>
      <c r="N642" s="2" t="s">
        <v>19</v>
      </c>
      <c r="O642">
        <v>85.564999999999998</v>
      </c>
    </row>
    <row r="643" spans="1:15" x14ac:dyDescent="0.3">
      <c r="A643" s="1">
        <v>45396</v>
      </c>
      <c r="B643" s="2" t="s">
        <v>20</v>
      </c>
      <c r="C643" s="2" t="s">
        <v>12</v>
      </c>
      <c r="D643" s="2" t="s">
        <v>13</v>
      </c>
      <c r="E643">
        <v>100.14</v>
      </c>
      <c r="F643">
        <v>18.25</v>
      </c>
      <c r="G643">
        <v>1</v>
      </c>
      <c r="H643">
        <f t="shared" si="10"/>
        <v>58562.910000000018</v>
      </c>
      <c r="I643" t="str">
        <f>IF(Sheet1[[#This Row],[Month_Revenue]] &lt; AVERAGE(Sheet1[Month_Revenue]), "Off-Peak", "Peak")</f>
        <v>Peak</v>
      </c>
      <c r="J643">
        <f xml:space="preserve"> IF(Sheet1[[#This Row],[Ad Spend]] &gt; 0, (Sheet1[[#This Row],[Profit]] / Sheet1[[#This Row],[Ad Spend]]), 0)</f>
        <v>4.487123287671233</v>
      </c>
      <c r="K643">
        <f>Sheet1[[#This Row],[Revenue]]-Sheet1[[#This Row],[Ad Spend]]</f>
        <v>81.89</v>
      </c>
      <c r="L643" s="2" t="s">
        <v>14</v>
      </c>
      <c r="M643">
        <v>4</v>
      </c>
      <c r="N643" s="2" t="s">
        <v>19</v>
      </c>
      <c r="O643">
        <v>100.14</v>
      </c>
    </row>
    <row r="644" spans="1:15" x14ac:dyDescent="0.3">
      <c r="A644" s="1">
        <v>45358</v>
      </c>
      <c r="B644" s="2" t="s">
        <v>11</v>
      </c>
      <c r="C644" s="2" t="s">
        <v>12</v>
      </c>
      <c r="D644" s="2" t="s">
        <v>13</v>
      </c>
      <c r="E644">
        <v>130.97999999999999</v>
      </c>
      <c r="F644">
        <v>45.86</v>
      </c>
      <c r="G644">
        <v>2</v>
      </c>
      <c r="H644">
        <f t="shared" si="10"/>
        <v>54735.250000000029</v>
      </c>
      <c r="I644" t="str">
        <f>IF(Sheet1[[#This Row],[Month_Revenue]] &lt; AVERAGE(Sheet1[Month_Revenue]), "Off-Peak", "Peak")</f>
        <v>Off-Peak</v>
      </c>
      <c r="J644">
        <f xml:space="preserve"> IF(Sheet1[[#This Row],[Ad Spend]] &gt; 0, (Sheet1[[#This Row],[Profit]] / Sheet1[[#This Row],[Ad Spend]]), 0)</f>
        <v>1.8560837331007412</v>
      </c>
      <c r="K644">
        <f>Sheet1[[#This Row],[Revenue]]-Sheet1[[#This Row],[Ad Spend]]</f>
        <v>85.11999999999999</v>
      </c>
      <c r="L644" s="2" t="s">
        <v>14</v>
      </c>
      <c r="M644">
        <v>3</v>
      </c>
      <c r="N644" s="2" t="s">
        <v>19</v>
      </c>
      <c r="O644">
        <v>65.489999999999995</v>
      </c>
    </row>
    <row r="645" spans="1:15" x14ac:dyDescent="0.3">
      <c r="A645" s="1">
        <v>45383</v>
      </c>
      <c r="B645" s="2" t="s">
        <v>24</v>
      </c>
      <c r="C645" s="2" t="s">
        <v>17</v>
      </c>
      <c r="D645" s="2" t="s">
        <v>18</v>
      </c>
      <c r="E645">
        <v>165.2</v>
      </c>
      <c r="F645">
        <v>32.46</v>
      </c>
      <c r="G645">
        <v>2</v>
      </c>
      <c r="H645">
        <f t="shared" si="10"/>
        <v>58562.910000000018</v>
      </c>
      <c r="I645" t="str">
        <f>IF(Sheet1[[#This Row],[Month_Revenue]] &lt; AVERAGE(Sheet1[Month_Revenue]), "Off-Peak", "Peak")</f>
        <v>Peak</v>
      </c>
      <c r="J645">
        <f xml:space="preserve"> IF(Sheet1[[#This Row],[Ad Spend]] &gt; 0, (Sheet1[[#This Row],[Profit]] / Sheet1[[#This Row],[Ad Spend]]), 0)</f>
        <v>4.0893407270486746</v>
      </c>
      <c r="K645">
        <f>Sheet1[[#This Row],[Revenue]]-Sheet1[[#This Row],[Ad Spend]]</f>
        <v>132.73999999999998</v>
      </c>
      <c r="L645" s="2" t="s">
        <v>14</v>
      </c>
      <c r="M645">
        <v>4</v>
      </c>
      <c r="N645" s="2" t="s">
        <v>19</v>
      </c>
      <c r="O645">
        <v>82.6</v>
      </c>
    </row>
    <row r="646" spans="1:15" x14ac:dyDescent="0.3">
      <c r="A646" s="1">
        <v>45331</v>
      </c>
      <c r="B646" s="2" t="s">
        <v>20</v>
      </c>
      <c r="C646" s="2" t="s">
        <v>21</v>
      </c>
      <c r="D646" s="2" t="s">
        <v>13</v>
      </c>
      <c r="E646">
        <v>99.25</v>
      </c>
      <c r="F646">
        <v>19.32</v>
      </c>
      <c r="G646">
        <v>0</v>
      </c>
      <c r="H646">
        <f t="shared" si="10"/>
        <v>48675.899999999936</v>
      </c>
      <c r="I646" t="str">
        <f>IF(Sheet1[[#This Row],[Month_Revenue]] &lt; AVERAGE(Sheet1[Month_Revenue]), "Off-Peak", "Peak")</f>
        <v>Off-Peak</v>
      </c>
      <c r="J646">
        <f xml:space="preserve"> IF(Sheet1[[#This Row],[Ad Spend]] &gt; 0, (Sheet1[[#This Row],[Profit]] / Sheet1[[#This Row],[Ad Spend]]), 0)</f>
        <v>4.1371635610766049</v>
      </c>
      <c r="K646">
        <f>Sheet1[[#This Row],[Revenue]]-Sheet1[[#This Row],[Ad Spend]]</f>
        <v>79.930000000000007</v>
      </c>
      <c r="L646" s="2" t="s">
        <v>22</v>
      </c>
      <c r="M646">
        <v>2</v>
      </c>
      <c r="N646" s="2" t="s">
        <v>15</v>
      </c>
      <c r="O646">
        <v>0</v>
      </c>
    </row>
    <row r="647" spans="1:15" x14ac:dyDescent="0.3">
      <c r="A647" s="1">
        <v>45402</v>
      </c>
      <c r="B647" s="2" t="s">
        <v>11</v>
      </c>
      <c r="C647" s="2" t="s">
        <v>21</v>
      </c>
      <c r="D647" s="2" t="s">
        <v>13</v>
      </c>
      <c r="E647">
        <v>78.17</v>
      </c>
      <c r="F647">
        <v>32.409999999999997</v>
      </c>
      <c r="G647">
        <v>1</v>
      </c>
      <c r="H647">
        <f t="shared" si="10"/>
        <v>58562.910000000018</v>
      </c>
      <c r="I647" t="str">
        <f>IF(Sheet1[[#This Row],[Month_Revenue]] &lt; AVERAGE(Sheet1[Month_Revenue]), "Off-Peak", "Peak")</f>
        <v>Peak</v>
      </c>
      <c r="J647">
        <f xml:space="preserve"> IF(Sheet1[[#This Row],[Ad Spend]] &gt; 0, (Sheet1[[#This Row],[Profit]] / Sheet1[[#This Row],[Ad Spend]]), 0)</f>
        <v>1.4119099043505094</v>
      </c>
      <c r="K647">
        <f>Sheet1[[#This Row],[Revenue]]-Sheet1[[#This Row],[Ad Spend]]</f>
        <v>45.760000000000005</v>
      </c>
      <c r="L647" s="2" t="s">
        <v>22</v>
      </c>
      <c r="M647">
        <v>4</v>
      </c>
      <c r="N647" s="2" t="s">
        <v>19</v>
      </c>
      <c r="O647">
        <v>78.17</v>
      </c>
    </row>
    <row r="648" spans="1:15" x14ac:dyDescent="0.3">
      <c r="A648" s="1">
        <v>45370</v>
      </c>
      <c r="B648" s="2" t="s">
        <v>11</v>
      </c>
      <c r="C648" s="2" t="s">
        <v>21</v>
      </c>
      <c r="D648" s="2" t="s">
        <v>18</v>
      </c>
      <c r="E648">
        <v>133.62</v>
      </c>
      <c r="F648">
        <v>6.17</v>
      </c>
      <c r="G648">
        <v>0</v>
      </c>
      <c r="H648">
        <f t="shared" si="10"/>
        <v>54735.250000000029</v>
      </c>
      <c r="I648" t="str">
        <f>IF(Sheet1[[#This Row],[Month_Revenue]] &lt; AVERAGE(Sheet1[Month_Revenue]), "Off-Peak", "Peak")</f>
        <v>Off-Peak</v>
      </c>
      <c r="J648">
        <f xml:space="preserve"> IF(Sheet1[[#This Row],[Ad Spend]] &gt; 0, (Sheet1[[#This Row],[Profit]] / Sheet1[[#This Row],[Ad Spend]]), 0)</f>
        <v>20.656401944894654</v>
      </c>
      <c r="K648">
        <f>Sheet1[[#This Row],[Revenue]]-Sheet1[[#This Row],[Ad Spend]]</f>
        <v>127.45</v>
      </c>
      <c r="L648" s="2" t="s">
        <v>14</v>
      </c>
      <c r="M648">
        <v>3</v>
      </c>
      <c r="N648" s="2" t="s">
        <v>19</v>
      </c>
      <c r="O648">
        <v>0</v>
      </c>
    </row>
    <row r="649" spans="1:15" x14ac:dyDescent="0.3">
      <c r="A649" s="1">
        <v>45393</v>
      </c>
      <c r="B649" s="2" t="s">
        <v>11</v>
      </c>
      <c r="C649" s="2" t="s">
        <v>12</v>
      </c>
      <c r="D649" s="2" t="s">
        <v>18</v>
      </c>
      <c r="E649">
        <v>157.32</v>
      </c>
      <c r="F649">
        <v>13.89</v>
      </c>
      <c r="G649">
        <v>0</v>
      </c>
      <c r="H649">
        <f t="shared" si="10"/>
        <v>58562.910000000018</v>
      </c>
      <c r="I649" t="str">
        <f>IF(Sheet1[[#This Row],[Month_Revenue]] &lt; AVERAGE(Sheet1[Month_Revenue]), "Off-Peak", "Peak")</f>
        <v>Peak</v>
      </c>
      <c r="J649">
        <f xml:space="preserve"> IF(Sheet1[[#This Row],[Ad Spend]] &gt; 0, (Sheet1[[#This Row],[Profit]] / Sheet1[[#This Row],[Ad Spend]]), 0)</f>
        <v>10.326133909287257</v>
      </c>
      <c r="K649">
        <f>Sheet1[[#This Row],[Revenue]]-Sheet1[[#This Row],[Ad Spend]]</f>
        <v>143.43</v>
      </c>
      <c r="L649" s="2" t="s">
        <v>22</v>
      </c>
      <c r="M649">
        <v>4</v>
      </c>
      <c r="N649" s="2" t="s">
        <v>19</v>
      </c>
      <c r="O649">
        <v>0</v>
      </c>
    </row>
    <row r="650" spans="1:15" x14ac:dyDescent="0.3">
      <c r="A650" s="1">
        <v>45306</v>
      </c>
      <c r="B650" s="2" t="s">
        <v>20</v>
      </c>
      <c r="C650" s="2" t="s">
        <v>21</v>
      </c>
      <c r="D650" s="2" t="s">
        <v>13</v>
      </c>
      <c r="E650">
        <v>198.46</v>
      </c>
      <c r="F650">
        <v>40.79</v>
      </c>
      <c r="G650">
        <v>1</v>
      </c>
      <c r="H650">
        <f t="shared" si="10"/>
        <v>61207.979999999989</v>
      </c>
      <c r="I650" t="str">
        <f>IF(Sheet1[[#This Row],[Month_Revenue]] &lt; AVERAGE(Sheet1[Month_Revenue]), "Off-Peak", "Peak")</f>
        <v>Peak</v>
      </c>
      <c r="J650">
        <f xml:space="preserve"> IF(Sheet1[[#This Row],[Ad Spend]] &gt; 0, (Sheet1[[#This Row],[Profit]] / Sheet1[[#This Row],[Ad Spend]]), 0)</f>
        <v>3.8654081882814419</v>
      </c>
      <c r="K650">
        <f>Sheet1[[#This Row],[Revenue]]-Sheet1[[#This Row],[Ad Spend]]</f>
        <v>157.67000000000002</v>
      </c>
      <c r="L650" s="2" t="s">
        <v>22</v>
      </c>
      <c r="M650">
        <v>1</v>
      </c>
      <c r="N650" s="2" t="s">
        <v>15</v>
      </c>
      <c r="O650">
        <v>198.46</v>
      </c>
    </row>
    <row r="651" spans="1:15" x14ac:dyDescent="0.3">
      <c r="A651" s="1">
        <v>45399</v>
      </c>
      <c r="B651" s="2" t="s">
        <v>16</v>
      </c>
      <c r="C651" s="2" t="s">
        <v>17</v>
      </c>
      <c r="D651" s="2" t="s">
        <v>18</v>
      </c>
      <c r="E651">
        <v>21.76</v>
      </c>
      <c r="F651">
        <v>49.92</v>
      </c>
      <c r="G651">
        <v>2</v>
      </c>
      <c r="H651">
        <f t="shared" si="10"/>
        <v>58562.910000000018</v>
      </c>
      <c r="I651" t="str">
        <f>IF(Sheet1[[#This Row],[Month_Revenue]] &lt; AVERAGE(Sheet1[Month_Revenue]), "Off-Peak", "Peak")</f>
        <v>Peak</v>
      </c>
      <c r="J651">
        <f xml:space="preserve"> IF(Sheet1[[#This Row],[Ad Spend]] &gt; 0, (Sheet1[[#This Row],[Profit]] / Sheet1[[#This Row],[Ad Spend]]), 0)</f>
        <v>-0.5641025641025641</v>
      </c>
      <c r="K651">
        <f>Sheet1[[#This Row],[Revenue]]-Sheet1[[#This Row],[Ad Spend]]</f>
        <v>-28.16</v>
      </c>
      <c r="L651" s="2" t="s">
        <v>14</v>
      </c>
      <c r="M651">
        <v>4</v>
      </c>
      <c r="N651" s="2" t="s">
        <v>19</v>
      </c>
      <c r="O651">
        <v>10.88</v>
      </c>
    </row>
    <row r="652" spans="1:15" x14ac:dyDescent="0.3">
      <c r="A652" s="1">
        <v>45317</v>
      </c>
      <c r="B652" s="2" t="s">
        <v>23</v>
      </c>
      <c r="C652" s="2" t="s">
        <v>12</v>
      </c>
      <c r="D652" s="2" t="s">
        <v>18</v>
      </c>
      <c r="E652">
        <v>189.89</v>
      </c>
      <c r="F652">
        <v>12.13</v>
      </c>
      <c r="G652">
        <v>3</v>
      </c>
      <c r="H652">
        <f t="shared" si="10"/>
        <v>61207.979999999989</v>
      </c>
      <c r="I652" t="str">
        <f>IF(Sheet1[[#This Row],[Month_Revenue]] &lt; AVERAGE(Sheet1[Month_Revenue]), "Off-Peak", "Peak")</f>
        <v>Peak</v>
      </c>
      <c r="J652">
        <f xml:space="preserve"> IF(Sheet1[[#This Row],[Ad Spend]] &gt; 0, (Sheet1[[#This Row],[Profit]] / Sheet1[[#This Row],[Ad Spend]]), 0)</f>
        <v>14.65457543281121</v>
      </c>
      <c r="K652">
        <f>Sheet1[[#This Row],[Revenue]]-Sheet1[[#This Row],[Ad Spend]]</f>
        <v>177.76</v>
      </c>
      <c r="L652" s="2" t="s">
        <v>22</v>
      </c>
      <c r="M652">
        <v>1</v>
      </c>
      <c r="N652" s="2" t="s">
        <v>15</v>
      </c>
      <c r="O652">
        <v>63.29666666666666</v>
      </c>
    </row>
    <row r="653" spans="1:15" x14ac:dyDescent="0.3">
      <c r="A653" s="1">
        <v>45348</v>
      </c>
      <c r="B653" s="2" t="s">
        <v>20</v>
      </c>
      <c r="C653" s="2" t="s">
        <v>17</v>
      </c>
      <c r="D653" s="2" t="s">
        <v>18</v>
      </c>
      <c r="E653">
        <v>69.38</v>
      </c>
      <c r="F653">
        <v>15.18</v>
      </c>
      <c r="G653">
        <v>0</v>
      </c>
      <c r="H653">
        <f t="shared" si="10"/>
        <v>48675.899999999936</v>
      </c>
      <c r="I653" t="str">
        <f>IF(Sheet1[[#This Row],[Month_Revenue]] &lt; AVERAGE(Sheet1[Month_Revenue]), "Off-Peak", "Peak")</f>
        <v>Off-Peak</v>
      </c>
      <c r="J653">
        <f xml:space="preserve"> IF(Sheet1[[#This Row],[Ad Spend]] &gt; 0, (Sheet1[[#This Row],[Profit]] / Sheet1[[#This Row],[Ad Spend]]), 0)</f>
        <v>3.5704874835309615</v>
      </c>
      <c r="K653">
        <f>Sheet1[[#This Row],[Revenue]]-Sheet1[[#This Row],[Ad Spend]]</f>
        <v>54.199999999999996</v>
      </c>
      <c r="L653" s="2" t="s">
        <v>14</v>
      </c>
      <c r="M653">
        <v>2</v>
      </c>
      <c r="N653" s="2" t="s">
        <v>15</v>
      </c>
      <c r="O653">
        <v>0</v>
      </c>
    </row>
    <row r="654" spans="1:15" x14ac:dyDescent="0.3">
      <c r="A654" s="1">
        <v>45351</v>
      </c>
      <c r="B654" s="2" t="s">
        <v>24</v>
      </c>
      <c r="C654" s="2" t="s">
        <v>21</v>
      </c>
      <c r="D654" s="2" t="s">
        <v>18</v>
      </c>
      <c r="E654">
        <v>47.23</v>
      </c>
      <c r="F654">
        <v>10.85</v>
      </c>
      <c r="G654">
        <v>3</v>
      </c>
      <c r="H654">
        <f t="shared" si="10"/>
        <v>48675.899999999936</v>
      </c>
      <c r="I654" t="str">
        <f>IF(Sheet1[[#This Row],[Month_Revenue]] &lt; AVERAGE(Sheet1[Month_Revenue]), "Off-Peak", "Peak")</f>
        <v>Off-Peak</v>
      </c>
      <c r="J654">
        <f xml:space="preserve"> IF(Sheet1[[#This Row],[Ad Spend]] &gt; 0, (Sheet1[[#This Row],[Profit]] / Sheet1[[#This Row],[Ad Spend]]), 0)</f>
        <v>3.3529953917050688</v>
      </c>
      <c r="K654">
        <f>Sheet1[[#This Row],[Revenue]]-Sheet1[[#This Row],[Ad Spend]]</f>
        <v>36.379999999999995</v>
      </c>
      <c r="L654" s="2" t="s">
        <v>14</v>
      </c>
      <c r="M654">
        <v>2</v>
      </c>
      <c r="N654" s="2" t="s">
        <v>15</v>
      </c>
      <c r="O654">
        <v>15.743333333333332</v>
      </c>
    </row>
    <row r="655" spans="1:15" x14ac:dyDescent="0.3">
      <c r="A655" s="1">
        <v>45378</v>
      </c>
      <c r="B655" s="2" t="s">
        <v>20</v>
      </c>
      <c r="C655" s="2" t="s">
        <v>12</v>
      </c>
      <c r="D655" s="2" t="s">
        <v>18</v>
      </c>
      <c r="E655">
        <v>76.930000000000007</v>
      </c>
      <c r="F655">
        <v>43.86</v>
      </c>
      <c r="G655">
        <v>3</v>
      </c>
      <c r="H655">
        <f t="shared" si="10"/>
        <v>54735.250000000029</v>
      </c>
      <c r="I655" t="str">
        <f>IF(Sheet1[[#This Row],[Month_Revenue]] &lt; AVERAGE(Sheet1[Month_Revenue]), "Off-Peak", "Peak")</f>
        <v>Off-Peak</v>
      </c>
      <c r="J655">
        <f xml:space="preserve"> IF(Sheet1[[#This Row],[Ad Spend]] &gt; 0, (Sheet1[[#This Row],[Profit]] / Sheet1[[#This Row],[Ad Spend]]), 0)</f>
        <v>0.75398996808025553</v>
      </c>
      <c r="K655">
        <f>Sheet1[[#This Row],[Revenue]]-Sheet1[[#This Row],[Ad Spend]]</f>
        <v>33.070000000000007</v>
      </c>
      <c r="L655" s="2" t="s">
        <v>14</v>
      </c>
      <c r="M655">
        <v>3</v>
      </c>
      <c r="N655" s="2" t="s">
        <v>19</v>
      </c>
      <c r="O655">
        <v>25.643333333333334</v>
      </c>
    </row>
    <row r="656" spans="1:15" x14ac:dyDescent="0.3">
      <c r="A656" s="1">
        <v>45315</v>
      </c>
      <c r="B656" s="2" t="s">
        <v>16</v>
      </c>
      <c r="C656" s="2" t="s">
        <v>17</v>
      </c>
      <c r="D656" s="2" t="s">
        <v>18</v>
      </c>
      <c r="E656">
        <v>187.05</v>
      </c>
      <c r="F656">
        <v>1.23</v>
      </c>
      <c r="G656">
        <v>2</v>
      </c>
      <c r="H656">
        <f t="shared" si="10"/>
        <v>61207.979999999989</v>
      </c>
      <c r="I656" t="str">
        <f>IF(Sheet1[[#This Row],[Month_Revenue]] &lt; AVERAGE(Sheet1[Month_Revenue]), "Off-Peak", "Peak")</f>
        <v>Peak</v>
      </c>
      <c r="J656">
        <f xml:space="preserve"> IF(Sheet1[[#This Row],[Ad Spend]] &gt; 0, (Sheet1[[#This Row],[Profit]] / Sheet1[[#This Row],[Ad Spend]]), 0)</f>
        <v>151.07317073170734</v>
      </c>
      <c r="K656">
        <f>Sheet1[[#This Row],[Revenue]]-Sheet1[[#This Row],[Ad Spend]]</f>
        <v>185.82000000000002</v>
      </c>
      <c r="L656" s="2" t="s">
        <v>14</v>
      </c>
      <c r="M656">
        <v>1</v>
      </c>
      <c r="N656" s="2" t="s">
        <v>15</v>
      </c>
      <c r="O656">
        <v>93.525000000000006</v>
      </c>
    </row>
    <row r="657" spans="1:15" x14ac:dyDescent="0.3">
      <c r="A657" s="1">
        <v>45378</v>
      </c>
      <c r="B657" s="2" t="s">
        <v>11</v>
      </c>
      <c r="C657" s="2" t="s">
        <v>12</v>
      </c>
      <c r="D657" s="2" t="s">
        <v>13</v>
      </c>
      <c r="E657">
        <v>139.54</v>
      </c>
      <c r="F657">
        <v>46.38</v>
      </c>
      <c r="G657">
        <v>0</v>
      </c>
      <c r="H657">
        <f t="shared" si="10"/>
        <v>54735.250000000029</v>
      </c>
      <c r="I657" t="str">
        <f>IF(Sheet1[[#This Row],[Month_Revenue]] &lt; AVERAGE(Sheet1[Month_Revenue]), "Off-Peak", "Peak")</f>
        <v>Off-Peak</v>
      </c>
      <c r="J657">
        <f xml:space="preserve"> IF(Sheet1[[#This Row],[Ad Spend]] &gt; 0, (Sheet1[[#This Row],[Profit]] / Sheet1[[#This Row],[Ad Spend]]), 0)</f>
        <v>2.0086244070720136</v>
      </c>
      <c r="K657">
        <f>Sheet1[[#This Row],[Revenue]]-Sheet1[[#This Row],[Ad Spend]]</f>
        <v>93.16</v>
      </c>
      <c r="L657" s="2" t="s">
        <v>22</v>
      </c>
      <c r="M657">
        <v>3</v>
      </c>
      <c r="N657" s="2" t="s">
        <v>19</v>
      </c>
      <c r="O657">
        <v>0</v>
      </c>
    </row>
    <row r="658" spans="1:15" x14ac:dyDescent="0.3">
      <c r="A658" s="1">
        <v>45326</v>
      </c>
      <c r="B658" s="2" t="s">
        <v>16</v>
      </c>
      <c r="C658" s="2" t="s">
        <v>12</v>
      </c>
      <c r="D658" s="2" t="s">
        <v>13</v>
      </c>
      <c r="E658">
        <v>94.71</v>
      </c>
      <c r="F658">
        <v>48.03</v>
      </c>
      <c r="G658">
        <v>0</v>
      </c>
      <c r="H658">
        <f t="shared" si="10"/>
        <v>48675.899999999936</v>
      </c>
      <c r="I658" t="str">
        <f>IF(Sheet1[[#This Row],[Month_Revenue]] &lt; AVERAGE(Sheet1[Month_Revenue]), "Off-Peak", "Peak")</f>
        <v>Off-Peak</v>
      </c>
      <c r="J658">
        <f xml:space="preserve"> IF(Sheet1[[#This Row],[Ad Spend]] &gt; 0, (Sheet1[[#This Row],[Profit]] / Sheet1[[#This Row],[Ad Spend]]), 0)</f>
        <v>0.97189256714553385</v>
      </c>
      <c r="K658">
        <f>Sheet1[[#This Row],[Revenue]]-Sheet1[[#This Row],[Ad Spend]]</f>
        <v>46.679999999999993</v>
      </c>
      <c r="L658" s="2" t="s">
        <v>14</v>
      </c>
      <c r="M658">
        <v>2</v>
      </c>
      <c r="N658" s="2" t="s">
        <v>15</v>
      </c>
      <c r="O658">
        <v>0</v>
      </c>
    </row>
    <row r="659" spans="1:15" x14ac:dyDescent="0.3">
      <c r="A659" s="1">
        <v>45375</v>
      </c>
      <c r="B659" s="2" t="s">
        <v>11</v>
      </c>
      <c r="C659" s="2" t="s">
        <v>21</v>
      </c>
      <c r="D659" s="2" t="s">
        <v>18</v>
      </c>
      <c r="E659">
        <v>66.5</v>
      </c>
      <c r="F659">
        <v>32.78</v>
      </c>
      <c r="G659">
        <v>3</v>
      </c>
      <c r="H659">
        <f t="shared" si="10"/>
        <v>54735.250000000029</v>
      </c>
      <c r="I659" t="str">
        <f>IF(Sheet1[[#This Row],[Month_Revenue]] &lt; AVERAGE(Sheet1[Month_Revenue]), "Off-Peak", "Peak")</f>
        <v>Off-Peak</v>
      </c>
      <c r="J659">
        <f xml:space="preserve"> IF(Sheet1[[#This Row],[Ad Spend]] &gt; 0, (Sheet1[[#This Row],[Profit]] / Sheet1[[#This Row],[Ad Spend]]), 0)</f>
        <v>1.0286760219646125</v>
      </c>
      <c r="K659">
        <f>Sheet1[[#This Row],[Revenue]]-Sheet1[[#This Row],[Ad Spend]]</f>
        <v>33.72</v>
      </c>
      <c r="L659" s="2" t="s">
        <v>14</v>
      </c>
      <c r="M659">
        <v>3</v>
      </c>
      <c r="N659" s="2" t="s">
        <v>19</v>
      </c>
      <c r="O659">
        <v>22.166666666666668</v>
      </c>
    </row>
    <row r="660" spans="1:15" x14ac:dyDescent="0.3">
      <c r="A660" s="1">
        <v>45368</v>
      </c>
      <c r="B660" s="2" t="s">
        <v>23</v>
      </c>
      <c r="C660" s="2" t="s">
        <v>12</v>
      </c>
      <c r="D660" s="2" t="s">
        <v>13</v>
      </c>
      <c r="E660">
        <v>186.5</v>
      </c>
      <c r="F660">
        <v>16.16</v>
      </c>
      <c r="G660">
        <v>2</v>
      </c>
      <c r="H660">
        <f t="shared" si="10"/>
        <v>54735.250000000029</v>
      </c>
      <c r="I660" t="str">
        <f>IF(Sheet1[[#This Row],[Month_Revenue]] &lt; AVERAGE(Sheet1[Month_Revenue]), "Off-Peak", "Peak")</f>
        <v>Off-Peak</v>
      </c>
      <c r="J660">
        <f xml:space="preserve"> IF(Sheet1[[#This Row],[Ad Spend]] &gt; 0, (Sheet1[[#This Row],[Profit]] / Sheet1[[#This Row],[Ad Spend]]), 0)</f>
        <v>10.540841584158416</v>
      </c>
      <c r="K660">
        <f>Sheet1[[#This Row],[Revenue]]-Sheet1[[#This Row],[Ad Spend]]</f>
        <v>170.34</v>
      </c>
      <c r="L660" s="2" t="s">
        <v>14</v>
      </c>
      <c r="M660">
        <v>3</v>
      </c>
      <c r="N660" s="2" t="s">
        <v>19</v>
      </c>
      <c r="O660">
        <v>93.25</v>
      </c>
    </row>
    <row r="661" spans="1:15" x14ac:dyDescent="0.3">
      <c r="A661" s="1">
        <v>45382</v>
      </c>
      <c r="B661" s="2" t="s">
        <v>24</v>
      </c>
      <c r="C661" s="2" t="s">
        <v>12</v>
      </c>
      <c r="D661" s="2" t="s">
        <v>18</v>
      </c>
      <c r="E661">
        <v>91.57</v>
      </c>
      <c r="F661">
        <v>43.1</v>
      </c>
      <c r="G661">
        <v>1</v>
      </c>
      <c r="H661">
        <f t="shared" si="10"/>
        <v>54735.250000000029</v>
      </c>
      <c r="I661" t="str">
        <f>IF(Sheet1[[#This Row],[Month_Revenue]] &lt; AVERAGE(Sheet1[Month_Revenue]), "Off-Peak", "Peak")</f>
        <v>Off-Peak</v>
      </c>
      <c r="J661">
        <f xml:space="preserve"> IF(Sheet1[[#This Row],[Ad Spend]] &gt; 0, (Sheet1[[#This Row],[Profit]] / Sheet1[[#This Row],[Ad Spend]]), 0)</f>
        <v>1.1245939675174013</v>
      </c>
      <c r="K661">
        <f>Sheet1[[#This Row],[Revenue]]-Sheet1[[#This Row],[Ad Spend]]</f>
        <v>48.469999999999992</v>
      </c>
      <c r="L661" s="2" t="s">
        <v>14</v>
      </c>
      <c r="M661">
        <v>3</v>
      </c>
      <c r="N661" s="2" t="s">
        <v>19</v>
      </c>
      <c r="O661">
        <v>91.57</v>
      </c>
    </row>
    <row r="662" spans="1:15" x14ac:dyDescent="0.3">
      <c r="A662" s="1">
        <v>45407</v>
      </c>
      <c r="B662" s="2" t="s">
        <v>23</v>
      </c>
      <c r="C662" s="2" t="s">
        <v>21</v>
      </c>
      <c r="D662" s="2" t="s">
        <v>18</v>
      </c>
      <c r="E662">
        <v>199.06</v>
      </c>
      <c r="F662">
        <v>19.29</v>
      </c>
      <c r="G662">
        <v>0</v>
      </c>
      <c r="H662">
        <f t="shared" si="10"/>
        <v>58562.910000000018</v>
      </c>
      <c r="I662" t="str">
        <f>IF(Sheet1[[#This Row],[Month_Revenue]] &lt; AVERAGE(Sheet1[Month_Revenue]), "Off-Peak", "Peak")</f>
        <v>Peak</v>
      </c>
      <c r="J662">
        <f xml:space="preserve"> IF(Sheet1[[#This Row],[Ad Spend]] &gt; 0, (Sheet1[[#This Row],[Profit]] / Sheet1[[#This Row],[Ad Spend]]), 0)</f>
        <v>9.3193364437532402</v>
      </c>
      <c r="K662">
        <f>Sheet1[[#This Row],[Revenue]]-Sheet1[[#This Row],[Ad Spend]]</f>
        <v>179.77</v>
      </c>
      <c r="L662" s="2" t="s">
        <v>14</v>
      </c>
      <c r="M662">
        <v>4</v>
      </c>
      <c r="N662" s="2" t="s">
        <v>19</v>
      </c>
      <c r="O662">
        <v>0</v>
      </c>
    </row>
    <row r="663" spans="1:15" x14ac:dyDescent="0.3">
      <c r="A663" s="1">
        <v>45411</v>
      </c>
      <c r="B663" s="2" t="s">
        <v>24</v>
      </c>
      <c r="C663" s="2" t="s">
        <v>17</v>
      </c>
      <c r="D663" s="2" t="s">
        <v>13</v>
      </c>
      <c r="E663">
        <v>59.7</v>
      </c>
      <c r="F663">
        <v>43.84</v>
      </c>
      <c r="G663">
        <v>3</v>
      </c>
      <c r="H663">
        <f t="shared" si="10"/>
        <v>58562.910000000018</v>
      </c>
      <c r="I663" t="str">
        <f>IF(Sheet1[[#This Row],[Month_Revenue]] &lt; AVERAGE(Sheet1[Month_Revenue]), "Off-Peak", "Peak")</f>
        <v>Peak</v>
      </c>
      <c r="J663">
        <f xml:space="preserve"> IF(Sheet1[[#This Row],[Ad Spend]] &gt; 0, (Sheet1[[#This Row],[Profit]] / Sheet1[[#This Row],[Ad Spend]]), 0)</f>
        <v>0.3617700729927007</v>
      </c>
      <c r="K663">
        <f>Sheet1[[#This Row],[Revenue]]-Sheet1[[#This Row],[Ad Spend]]</f>
        <v>15.86</v>
      </c>
      <c r="L663" s="2" t="s">
        <v>14</v>
      </c>
      <c r="M663">
        <v>4</v>
      </c>
      <c r="N663" s="2" t="s">
        <v>19</v>
      </c>
      <c r="O663">
        <v>19.900000000000002</v>
      </c>
    </row>
    <row r="664" spans="1:15" x14ac:dyDescent="0.3">
      <c r="A664" s="1">
        <v>45409</v>
      </c>
      <c r="B664" s="2" t="s">
        <v>11</v>
      </c>
      <c r="C664" s="2" t="s">
        <v>21</v>
      </c>
      <c r="D664" s="2" t="s">
        <v>13</v>
      </c>
      <c r="E664">
        <v>141.08000000000001</v>
      </c>
      <c r="F664">
        <v>6.13</v>
      </c>
      <c r="G664">
        <v>2</v>
      </c>
      <c r="H664">
        <f t="shared" si="10"/>
        <v>58562.910000000018</v>
      </c>
      <c r="I664" t="str">
        <f>IF(Sheet1[[#This Row],[Month_Revenue]] &lt; AVERAGE(Sheet1[Month_Revenue]), "Off-Peak", "Peak")</f>
        <v>Peak</v>
      </c>
      <c r="J664">
        <f xml:space="preserve"> IF(Sheet1[[#This Row],[Ad Spend]] &gt; 0, (Sheet1[[#This Row],[Profit]] / Sheet1[[#This Row],[Ad Spend]]), 0)</f>
        <v>22.014681892332792</v>
      </c>
      <c r="K664">
        <f>Sheet1[[#This Row],[Revenue]]-Sheet1[[#This Row],[Ad Spend]]</f>
        <v>134.95000000000002</v>
      </c>
      <c r="L664" s="2" t="s">
        <v>22</v>
      </c>
      <c r="M664">
        <v>4</v>
      </c>
      <c r="N664" s="2" t="s">
        <v>19</v>
      </c>
      <c r="O664">
        <v>70.540000000000006</v>
      </c>
    </row>
    <row r="665" spans="1:15" x14ac:dyDescent="0.3">
      <c r="A665" s="1">
        <v>45371</v>
      </c>
      <c r="B665" s="2" t="s">
        <v>20</v>
      </c>
      <c r="C665" s="2" t="s">
        <v>21</v>
      </c>
      <c r="D665" s="2" t="s">
        <v>13</v>
      </c>
      <c r="E665">
        <v>110.06</v>
      </c>
      <c r="F665">
        <v>18.02</v>
      </c>
      <c r="G665">
        <v>0</v>
      </c>
      <c r="H665">
        <f t="shared" si="10"/>
        <v>54735.250000000029</v>
      </c>
      <c r="I665" t="str">
        <f>IF(Sheet1[[#This Row],[Month_Revenue]] &lt; AVERAGE(Sheet1[Month_Revenue]), "Off-Peak", "Peak")</f>
        <v>Off-Peak</v>
      </c>
      <c r="J665">
        <f xml:space="preserve"> IF(Sheet1[[#This Row],[Ad Spend]] &gt; 0, (Sheet1[[#This Row],[Profit]] / Sheet1[[#This Row],[Ad Spend]]), 0)</f>
        <v>5.1076581576026641</v>
      </c>
      <c r="K665">
        <f>Sheet1[[#This Row],[Revenue]]-Sheet1[[#This Row],[Ad Spend]]</f>
        <v>92.04</v>
      </c>
      <c r="L665" s="2" t="s">
        <v>22</v>
      </c>
      <c r="M665">
        <v>3</v>
      </c>
      <c r="N665" s="2" t="s">
        <v>19</v>
      </c>
      <c r="O665">
        <v>0</v>
      </c>
    </row>
    <row r="666" spans="1:15" x14ac:dyDescent="0.3">
      <c r="A666" s="1">
        <v>45384</v>
      </c>
      <c r="B666" s="2" t="s">
        <v>24</v>
      </c>
      <c r="C666" s="2" t="s">
        <v>17</v>
      </c>
      <c r="D666" s="2" t="s">
        <v>13</v>
      </c>
      <c r="E666">
        <v>133.87</v>
      </c>
      <c r="F666">
        <v>49.87</v>
      </c>
      <c r="G666">
        <v>0</v>
      </c>
      <c r="H666">
        <f t="shared" si="10"/>
        <v>58562.910000000018</v>
      </c>
      <c r="I666" t="str">
        <f>IF(Sheet1[[#This Row],[Month_Revenue]] &lt; AVERAGE(Sheet1[Month_Revenue]), "Off-Peak", "Peak")</f>
        <v>Peak</v>
      </c>
      <c r="J666">
        <f xml:space="preserve"> IF(Sheet1[[#This Row],[Ad Spend]] &gt; 0, (Sheet1[[#This Row],[Profit]] / Sheet1[[#This Row],[Ad Spend]]), 0)</f>
        <v>1.6843793864046521</v>
      </c>
      <c r="K666">
        <f>Sheet1[[#This Row],[Revenue]]-Sheet1[[#This Row],[Ad Spend]]</f>
        <v>84</v>
      </c>
      <c r="L666" s="2" t="s">
        <v>14</v>
      </c>
      <c r="M666">
        <v>4</v>
      </c>
      <c r="N666" s="2" t="s">
        <v>19</v>
      </c>
      <c r="O666">
        <v>0</v>
      </c>
    </row>
    <row r="667" spans="1:15" x14ac:dyDescent="0.3">
      <c r="A667" s="1">
        <v>45357</v>
      </c>
      <c r="B667" s="2" t="s">
        <v>24</v>
      </c>
      <c r="C667" s="2" t="s">
        <v>17</v>
      </c>
      <c r="D667" s="2" t="s">
        <v>13</v>
      </c>
      <c r="E667">
        <v>192.19</v>
      </c>
      <c r="F667">
        <v>20.72</v>
      </c>
      <c r="G667">
        <v>1</v>
      </c>
      <c r="H667">
        <f t="shared" si="10"/>
        <v>54735.250000000029</v>
      </c>
      <c r="I667" t="str">
        <f>IF(Sheet1[[#This Row],[Month_Revenue]] &lt; AVERAGE(Sheet1[Month_Revenue]), "Off-Peak", "Peak")</f>
        <v>Off-Peak</v>
      </c>
      <c r="J667">
        <f xml:space="preserve"> IF(Sheet1[[#This Row],[Ad Spend]] &gt; 0, (Sheet1[[#This Row],[Profit]] / Sheet1[[#This Row],[Ad Spend]]), 0)</f>
        <v>8.2755791505791514</v>
      </c>
      <c r="K667">
        <f>Sheet1[[#This Row],[Revenue]]-Sheet1[[#This Row],[Ad Spend]]</f>
        <v>171.47</v>
      </c>
      <c r="L667" s="2" t="s">
        <v>22</v>
      </c>
      <c r="M667">
        <v>3</v>
      </c>
      <c r="N667" s="2" t="s">
        <v>19</v>
      </c>
      <c r="O667">
        <v>192.19</v>
      </c>
    </row>
    <row r="668" spans="1:15" x14ac:dyDescent="0.3">
      <c r="A668" s="1">
        <v>45374</v>
      </c>
      <c r="B668" s="2" t="s">
        <v>20</v>
      </c>
      <c r="C668" s="2" t="s">
        <v>21</v>
      </c>
      <c r="D668" s="2" t="s">
        <v>18</v>
      </c>
      <c r="E668">
        <v>178.45</v>
      </c>
      <c r="F668">
        <v>38.049999999999997</v>
      </c>
      <c r="G668">
        <v>0</v>
      </c>
      <c r="H668">
        <f t="shared" si="10"/>
        <v>54735.250000000029</v>
      </c>
      <c r="I668" t="str">
        <f>IF(Sheet1[[#This Row],[Month_Revenue]] &lt; AVERAGE(Sheet1[Month_Revenue]), "Off-Peak", "Peak")</f>
        <v>Off-Peak</v>
      </c>
      <c r="J668">
        <f xml:space="preserve"> IF(Sheet1[[#This Row],[Ad Spend]] &gt; 0, (Sheet1[[#This Row],[Profit]] / Sheet1[[#This Row],[Ad Spend]]), 0)</f>
        <v>3.6898817345597896</v>
      </c>
      <c r="K668">
        <f>Sheet1[[#This Row],[Revenue]]-Sheet1[[#This Row],[Ad Spend]]</f>
        <v>140.39999999999998</v>
      </c>
      <c r="L668" s="2" t="s">
        <v>22</v>
      </c>
      <c r="M668">
        <v>3</v>
      </c>
      <c r="N668" s="2" t="s">
        <v>19</v>
      </c>
      <c r="O668">
        <v>0</v>
      </c>
    </row>
    <row r="669" spans="1:15" x14ac:dyDescent="0.3">
      <c r="A669" s="1">
        <v>45411</v>
      </c>
      <c r="B669" s="2" t="s">
        <v>23</v>
      </c>
      <c r="C669" s="2" t="s">
        <v>21</v>
      </c>
      <c r="D669" s="2" t="s">
        <v>18</v>
      </c>
      <c r="E669">
        <v>46.08</v>
      </c>
      <c r="F669">
        <v>21.79</v>
      </c>
      <c r="G669">
        <v>1</v>
      </c>
      <c r="H669">
        <f t="shared" si="10"/>
        <v>58562.910000000018</v>
      </c>
      <c r="I669" t="str">
        <f>IF(Sheet1[[#This Row],[Month_Revenue]] &lt; AVERAGE(Sheet1[Month_Revenue]), "Off-Peak", "Peak")</f>
        <v>Peak</v>
      </c>
      <c r="J669">
        <f xml:space="preserve"> IF(Sheet1[[#This Row],[Ad Spend]] &gt; 0, (Sheet1[[#This Row],[Profit]] / Sheet1[[#This Row],[Ad Spend]]), 0)</f>
        <v>1.114731528223956</v>
      </c>
      <c r="K669">
        <f>Sheet1[[#This Row],[Revenue]]-Sheet1[[#This Row],[Ad Spend]]</f>
        <v>24.29</v>
      </c>
      <c r="L669" s="2" t="s">
        <v>14</v>
      </c>
      <c r="M669">
        <v>4</v>
      </c>
      <c r="N669" s="2" t="s">
        <v>19</v>
      </c>
      <c r="O669">
        <v>46.08</v>
      </c>
    </row>
    <row r="670" spans="1:15" x14ac:dyDescent="0.3">
      <c r="A670" s="1">
        <v>45383</v>
      </c>
      <c r="B670" s="2" t="s">
        <v>24</v>
      </c>
      <c r="C670" s="2" t="s">
        <v>21</v>
      </c>
      <c r="D670" s="2" t="s">
        <v>18</v>
      </c>
      <c r="E670">
        <v>79.540000000000006</v>
      </c>
      <c r="F670">
        <v>22.46</v>
      </c>
      <c r="G670">
        <v>1</v>
      </c>
      <c r="H670">
        <f t="shared" si="10"/>
        <v>58562.910000000018</v>
      </c>
      <c r="I670" t="str">
        <f>IF(Sheet1[[#This Row],[Month_Revenue]] &lt; AVERAGE(Sheet1[Month_Revenue]), "Off-Peak", "Peak")</f>
        <v>Peak</v>
      </c>
      <c r="J670">
        <f xml:space="preserve"> IF(Sheet1[[#This Row],[Ad Spend]] &gt; 0, (Sheet1[[#This Row],[Profit]] / Sheet1[[#This Row],[Ad Spend]]), 0)</f>
        <v>2.5414069456812114</v>
      </c>
      <c r="K670">
        <f>Sheet1[[#This Row],[Revenue]]-Sheet1[[#This Row],[Ad Spend]]</f>
        <v>57.080000000000005</v>
      </c>
      <c r="L670" s="2" t="s">
        <v>14</v>
      </c>
      <c r="M670">
        <v>4</v>
      </c>
      <c r="N670" s="2" t="s">
        <v>19</v>
      </c>
      <c r="O670">
        <v>79.540000000000006</v>
      </c>
    </row>
    <row r="671" spans="1:15" x14ac:dyDescent="0.3">
      <c r="A671" s="1">
        <v>45382</v>
      </c>
      <c r="B671" s="2" t="s">
        <v>20</v>
      </c>
      <c r="C671" s="2" t="s">
        <v>12</v>
      </c>
      <c r="D671" s="2" t="s">
        <v>13</v>
      </c>
      <c r="E671">
        <v>153.6</v>
      </c>
      <c r="F671">
        <v>8.07</v>
      </c>
      <c r="G671">
        <v>3</v>
      </c>
      <c r="H671">
        <f t="shared" si="10"/>
        <v>54735.250000000029</v>
      </c>
      <c r="I671" t="str">
        <f>IF(Sheet1[[#This Row],[Month_Revenue]] &lt; AVERAGE(Sheet1[Month_Revenue]), "Off-Peak", "Peak")</f>
        <v>Off-Peak</v>
      </c>
      <c r="J671">
        <f xml:space="preserve"> IF(Sheet1[[#This Row],[Ad Spend]] &gt; 0, (Sheet1[[#This Row],[Profit]] / Sheet1[[#This Row],[Ad Spend]]), 0)</f>
        <v>18.033457249070633</v>
      </c>
      <c r="K671">
        <f>Sheet1[[#This Row],[Revenue]]-Sheet1[[#This Row],[Ad Spend]]</f>
        <v>145.53</v>
      </c>
      <c r="L671" s="2" t="s">
        <v>14</v>
      </c>
      <c r="M671">
        <v>3</v>
      </c>
      <c r="N671" s="2" t="s">
        <v>19</v>
      </c>
      <c r="O671">
        <v>51.199999999999996</v>
      </c>
    </row>
    <row r="672" spans="1:15" x14ac:dyDescent="0.3">
      <c r="A672" s="1">
        <v>45408</v>
      </c>
      <c r="B672" s="2" t="s">
        <v>24</v>
      </c>
      <c r="C672" s="2" t="s">
        <v>17</v>
      </c>
      <c r="D672" s="2" t="s">
        <v>18</v>
      </c>
      <c r="E672">
        <v>46.88</v>
      </c>
      <c r="F672">
        <v>28.07</v>
      </c>
      <c r="G672">
        <v>2</v>
      </c>
      <c r="H672">
        <f t="shared" si="10"/>
        <v>58562.910000000018</v>
      </c>
      <c r="I672" t="str">
        <f>IF(Sheet1[[#This Row],[Month_Revenue]] &lt; AVERAGE(Sheet1[Month_Revenue]), "Off-Peak", "Peak")</f>
        <v>Peak</v>
      </c>
      <c r="J672">
        <f xml:space="preserve"> IF(Sheet1[[#This Row],[Ad Spend]] &gt; 0, (Sheet1[[#This Row],[Profit]] / Sheet1[[#This Row],[Ad Spend]]), 0)</f>
        <v>0.67011043819023874</v>
      </c>
      <c r="K672">
        <f>Sheet1[[#This Row],[Revenue]]-Sheet1[[#This Row],[Ad Spend]]</f>
        <v>18.810000000000002</v>
      </c>
      <c r="L672" s="2" t="s">
        <v>14</v>
      </c>
      <c r="M672">
        <v>4</v>
      </c>
      <c r="N672" s="2" t="s">
        <v>19</v>
      </c>
      <c r="O672">
        <v>23.44</v>
      </c>
    </row>
    <row r="673" spans="1:15" x14ac:dyDescent="0.3">
      <c r="A673" s="1">
        <v>45396</v>
      </c>
      <c r="B673" s="2" t="s">
        <v>11</v>
      </c>
      <c r="C673" s="2" t="s">
        <v>12</v>
      </c>
      <c r="D673" s="2" t="s">
        <v>18</v>
      </c>
      <c r="E673">
        <v>134.63999999999999</v>
      </c>
      <c r="F673">
        <v>44.25</v>
      </c>
      <c r="G673">
        <v>3</v>
      </c>
      <c r="H673">
        <f t="shared" si="10"/>
        <v>58562.910000000018</v>
      </c>
      <c r="I673" t="str">
        <f>IF(Sheet1[[#This Row],[Month_Revenue]] &lt; AVERAGE(Sheet1[Month_Revenue]), "Off-Peak", "Peak")</f>
        <v>Peak</v>
      </c>
      <c r="J673">
        <f xml:space="preserve"> IF(Sheet1[[#This Row],[Ad Spend]] &gt; 0, (Sheet1[[#This Row],[Profit]] / Sheet1[[#This Row],[Ad Spend]]), 0)</f>
        <v>2.0427118644067792</v>
      </c>
      <c r="K673">
        <f>Sheet1[[#This Row],[Revenue]]-Sheet1[[#This Row],[Ad Spend]]</f>
        <v>90.389999999999986</v>
      </c>
      <c r="L673" s="2" t="s">
        <v>22</v>
      </c>
      <c r="M673">
        <v>4</v>
      </c>
      <c r="N673" s="2" t="s">
        <v>19</v>
      </c>
      <c r="O673">
        <v>44.879999999999995</v>
      </c>
    </row>
    <row r="674" spans="1:15" x14ac:dyDescent="0.3">
      <c r="A674" s="1">
        <v>45320</v>
      </c>
      <c r="B674" s="2" t="s">
        <v>16</v>
      </c>
      <c r="C674" s="2" t="s">
        <v>17</v>
      </c>
      <c r="D674" s="2" t="s">
        <v>18</v>
      </c>
      <c r="E674">
        <v>35.880000000000003</v>
      </c>
      <c r="F674">
        <v>27.2</v>
      </c>
      <c r="G674">
        <v>3</v>
      </c>
      <c r="H674">
        <f t="shared" si="10"/>
        <v>61207.979999999989</v>
      </c>
      <c r="I674" t="str">
        <f>IF(Sheet1[[#This Row],[Month_Revenue]] &lt; AVERAGE(Sheet1[Month_Revenue]), "Off-Peak", "Peak")</f>
        <v>Peak</v>
      </c>
      <c r="J674">
        <f xml:space="preserve"> IF(Sheet1[[#This Row],[Ad Spend]] &gt; 0, (Sheet1[[#This Row],[Profit]] / Sheet1[[#This Row],[Ad Spend]]), 0)</f>
        <v>0.31911764705882367</v>
      </c>
      <c r="K674">
        <f>Sheet1[[#This Row],[Revenue]]-Sheet1[[#This Row],[Ad Spend]]</f>
        <v>8.6800000000000033</v>
      </c>
      <c r="L674" s="2" t="s">
        <v>22</v>
      </c>
      <c r="M674">
        <v>1</v>
      </c>
      <c r="N674" s="2" t="s">
        <v>15</v>
      </c>
      <c r="O674">
        <v>11.96</v>
      </c>
    </row>
    <row r="675" spans="1:15" x14ac:dyDescent="0.3">
      <c r="A675" s="1">
        <v>45333</v>
      </c>
      <c r="B675" s="2" t="s">
        <v>11</v>
      </c>
      <c r="C675" s="2" t="s">
        <v>17</v>
      </c>
      <c r="D675" s="2" t="s">
        <v>18</v>
      </c>
      <c r="E675">
        <v>37.58</v>
      </c>
      <c r="F675">
        <v>32.39</v>
      </c>
      <c r="G675">
        <v>1</v>
      </c>
      <c r="H675">
        <f t="shared" si="10"/>
        <v>48675.899999999936</v>
      </c>
      <c r="I675" t="str">
        <f>IF(Sheet1[[#This Row],[Month_Revenue]] &lt; AVERAGE(Sheet1[Month_Revenue]), "Off-Peak", "Peak")</f>
        <v>Off-Peak</v>
      </c>
      <c r="J675">
        <f xml:space="preserve"> IF(Sheet1[[#This Row],[Ad Spend]] &gt; 0, (Sheet1[[#This Row],[Profit]] / Sheet1[[#This Row],[Ad Spend]]), 0)</f>
        <v>0.16023464032108667</v>
      </c>
      <c r="K675">
        <f>Sheet1[[#This Row],[Revenue]]-Sheet1[[#This Row],[Ad Spend]]</f>
        <v>5.1899999999999977</v>
      </c>
      <c r="L675" s="2" t="s">
        <v>14</v>
      </c>
      <c r="M675">
        <v>2</v>
      </c>
      <c r="N675" s="2" t="s">
        <v>15</v>
      </c>
      <c r="O675">
        <v>37.58</v>
      </c>
    </row>
    <row r="676" spans="1:15" x14ac:dyDescent="0.3">
      <c r="A676" s="1">
        <v>45388</v>
      </c>
      <c r="B676" s="2" t="s">
        <v>20</v>
      </c>
      <c r="C676" s="2" t="s">
        <v>12</v>
      </c>
      <c r="D676" s="2" t="s">
        <v>18</v>
      </c>
      <c r="E676">
        <v>134.66999999999999</v>
      </c>
      <c r="F676">
        <v>11.17</v>
      </c>
      <c r="G676">
        <v>2</v>
      </c>
      <c r="H676">
        <f t="shared" si="10"/>
        <v>58562.910000000018</v>
      </c>
      <c r="I676" t="str">
        <f>IF(Sheet1[[#This Row],[Month_Revenue]] &lt; AVERAGE(Sheet1[Month_Revenue]), "Off-Peak", "Peak")</f>
        <v>Peak</v>
      </c>
      <c r="J676">
        <f xml:space="preserve"> IF(Sheet1[[#This Row],[Ad Spend]] &gt; 0, (Sheet1[[#This Row],[Profit]] / Sheet1[[#This Row],[Ad Spend]]), 0)</f>
        <v>11.056401074306176</v>
      </c>
      <c r="K676">
        <f>Sheet1[[#This Row],[Revenue]]-Sheet1[[#This Row],[Ad Spend]]</f>
        <v>123.49999999999999</v>
      </c>
      <c r="L676" s="2" t="s">
        <v>14</v>
      </c>
      <c r="M676">
        <v>4</v>
      </c>
      <c r="N676" s="2" t="s">
        <v>19</v>
      </c>
      <c r="O676">
        <v>67.334999999999994</v>
      </c>
    </row>
    <row r="677" spans="1:15" x14ac:dyDescent="0.3">
      <c r="A677" s="1">
        <v>45299</v>
      </c>
      <c r="B677" s="2" t="s">
        <v>11</v>
      </c>
      <c r="C677" s="2" t="s">
        <v>17</v>
      </c>
      <c r="D677" s="2" t="s">
        <v>18</v>
      </c>
      <c r="E677">
        <v>133.9</v>
      </c>
      <c r="F677">
        <v>47.39</v>
      </c>
      <c r="G677">
        <v>0</v>
      </c>
      <c r="H677">
        <f t="shared" si="10"/>
        <v>61207.979999999989</v>
      </c>
      <c r="I677" t="str">
        <f>IF(Sheet1[[#This Row],[Month_Revenue]] &lt; AVERAGE(Sheet1[Month_Revenue]), "Off-Peak", "Peak")</f>
        <v>Peak</v>
      </c>
      <c r="J677">
        <f xml:space="preserve"> IF(Sheet1[[#This Row],[Ad Spend]] &gt; 0, (Sheet1[[#This Row],[Profit]] / Sheet1[[#This Row],[Ad Spend]]), 0)</f>
        <v>1.8254906098332984</v>
      </c>
      <c r="K677">
        <f>Sheet1[[#This Row],[Revenue]]-Sheet1[[#This Row],[Ad Spend]]</f>
        <v>86.51</v>
      </c>
      <c r="L677" s="2" t="s">
        <v>22</v>
      </c>
      <c r="M677">
        <v>1</v>
      </c>
      <c r="N677" s="2" t="s">
        <v>15</v>
      </c>
      <c r="O677">
        <v>0</v>
      </c>
    </row>
    <row r="678" spans="1:15" x14ac:dyDescent="0.3">
      <c r="A678" s="1">
        <v>45402</v>
      </c>
      <c r="B678" s="2" t="s">
        <v>11</v>
      </c>
      <c r="C678" s="2" t="s">
        <v>12</v>
      </c>
      <c r="D678" s="2" t="s">
        <v>13</v>
      </c>
      <c r="E678">
        <v>40.56</v>
      </c>
      <c r="F678">
        <v>45.85</v>
      </c>
      <c r="G678">
        <v>0</v>
      </c>
      <c r="H678">
        <f t="shared" si="10"/>
        <v>58562.910000000018</v>
      </c>
      <c r="I678" t="str">
        <f>IF(Sheet1[[#This Row],[Month_Revenue]] &lt; AVERAGE(Sheet1[Month_Revenue]), "Off-Peak", "Peak")</f>
        <v>Peak</v>
      </c>
      <c r="J678">
        <f xml:space="preserve"> IF(Sheet1[[#This Row],[Ad Spend]] &gt; 0, (Sheet1[[#This Row],[Profit]] / Sheet1[[#This Row],[Ad Spend]]), 0)</f>
        <v>-0.11537622682660849</v>
      </c>
      <c r="K678">
        <f>Sheet1[[#This Row],[Revenue]]-Sheet1[[#This Row],[Ad Spend]]</f>
        <v>-5.2899999999999991</v>
      </c>
      <c r="L678" s="2" t="s">
        <v>22</v>
      </c>
      <c r="M678">
        <v>4</v>
      </c>
      <c r="N678" s="2" t="s">
        <v>19</v>
      </c>
      <c r="O678">
        <v>0</v>
      </c>
    </row>
    <row r="679" spans="1:15" x14ac:dyDescent="0.3">
      <c r="A679" s="1">
        <v>45354</v>
      </c>
      <c r="B679" s="2" t="s">
        <v>20</v>
      </c>
      <c r="C679" s="2" t="s">
        <v>12</v>
      </c>
      <c r="D679" s="2" t="s">
        <v>18</v>
      </c>
      <c r="E679">
        <v>100.27</v>
      </c>
      <c r="F679">
        <v>48.69</v>
      </c>
      <c r="G679">
        <v>1</v>
      </c>
      <c r="H679">
        <f t="shared" si="10"/>
        <v>54735.250000000029</v>
      </c>
      <c r="I679" t="str">
        <f>IF(Sheet1[[#This Row],[Month_Revenue]] &lt; AVERAGE(Sheet1[Month_Revenue]), "Off-Peak", "Peak")</f>
        <v>Off-Peak</v>
      </c>
      <c r="J679">
        <f xml:space="preserve"> IF(Sheet1[[#This Row],[Ad Spend]] &gt; 0, (Sheet1[[#This Row],[Profit]] / Sheet1[[#This Row],[Ad Spend]]), 0)</f>
        <v>1.0593551037173958</v>
      </c>
      <c r="K679">
        <f>Sheet1[[#This Row],[Revenue]]-Sheet1[[#This Row],[Ad Spend]]</f>
        <v>51.58</v>
      </c>
      <c r="L679" s="2" t="s">
        <v>22</v>
      </c>
      <c r="M679">
        <v>3</v>
      </c>
      <c r="N679" s="2" t="s">
        <v>19</v>
      </c>
      <c r="O679">
        <v>100.27</v>
      </c>
    </row>
    <row r="680" spans="1:15" x14ac:dyDescent="0.3">
      <c r="A680" s="1">
        <v>45319</v>
      </c>
      <c r="B680" s="2" t="s">
        <v>23</v>
      </c>
      <c r="C680" s="2" t="s">
        <v>17</v>
      </c>
      <c r="D680" s="2" t="s">
        <v>13</v>
      </c>
      <c r="E680">
        <v>144.76</v>
      </c>
      <c r="F680">
        <v>29.82</v>
      </c>
      <c r="G680">
        <v>0</v>
      </c>
      <c r="H680">
        <f t="shared" si="10"/>
        <v>61207.979999999989</v>
      </c>
      <c r="I680" t="str">
        <f>IF(Sheet1[[#This Row],[Month_Revenue]] &lt; AVERAGE(Sheet1[Month_Revenue]), "Off-Peak", "Peak")</f>
        <v>Peak</v>
      </c>
      <c r="J680">
        <f xml:space="preserve"> IF(Sheet1[[#This Row],[Ad Spend]] &gt; 0, (Sheet1[[#This Row],[Profit]] / Sheet1[[#This Row],[Ad Spend]]), 0)</f>
        <v>3.8544600938967135</v>
      </c>
      <c r="K680">
        <f>Sheet1[[#This Row],[Revenue]]-Sheet1[[#This Row],[Ad Spend]]</f>
        <v>114.94</v>
      </c>
      <c r="L680" s="2" t="s">
        <v>14</v>
      </c>
      <c r="M680">
        <v>1</v>
      </c>
      <c r="N680" s="2" t="s">
        <v>15</v>
      </c>
      <c r="O680">
        <v>0</v>
      </c>
    </row>
    <row r="681" spans="1:15" x14ac:dyDescent="0.3">
      <c r="A681" s="1">
        <v>45362</v>
      </c>
      <c r="B681" s="2" t="s">
        <v>11</v>
      </c>
      <c r="C681" s="2" t="s">
        <v>21</v>
      </c>
      <c r="D681" s="2" t="s">
        <v>18</v>
      </c>
      <c r="E681">
        <v>20.399999999999999</v>
      </c>
      <c r="F681">
        <v>36.58</v>
      </c>
      <c r="G681">
        <v>3</v>
      </c>
      <c r="H681">
        <f t="shared" si="10"/>
        <v>54735.250000000029</v>
      </c>
      <c r="I681" t="str">
        <f>IF(Sheet1[[#This Row],[Month_Revenue]] &lt; AVERAGE(Sheet1[Month_Revenue]), "Off-Peak", "Peak")</f>
        <v>Off-Peak</v>
      </c>
      <c r="J681">
        <f xml:space="preserve"> IF(Sheet1[[#This Row],[Ad Spend]] &gt; 0, (Sheet1[[#This Row],[Profit]] / Sheet1[[#This Row],[Ad Spend]]), 0)</f>
        <v>-0.44231820667031163</v>
      </c>
      <c r="K681">
        <f>Sheet1[[#This Row],[Revenue]]-Sheet1[[#This Row],[Ad Spend]]</f>
        <v>-16.18</v>
      </c>
      <c r="L681" s="2" t="s">
        <v>14</v>
      </c>
      <c r="M681">
        <v>3</v>
      </c>
      <c r="N681" s="2" t="s">
        <v>19</v>
      </c>
      <c r="O681">
        <v>6.8</v>
      </c>
    </row>
    <row r="682" spans="1:15" x14ac:dyDescent="0.3">
      <c r="A682" s="1">
        <v>45334</v>
      </c>
      <c r="B682" s="2" t="s">
        <v>23</v>
      </c>
      <c r="C682" s="2" t="s">
        <v>17</v>
      </c>
      <c r="D682" s="2" t="s">
        <v>13</v>
      </c>
      <c r="E682">
        <v>43.06</v>
      </c>
      <c r="F682">
        <v>45.25</v>
      </c>
      <c r="G682">
        <v>2</v>
      </c>
      <c r="H682">
        <f t="shared" si="10"/>
        <v>48675.899999999936</v>
      </c>
      <c r="I682" t="str">
        <f>IF(Sheet1[[#This Row],[Month_Revenue]] &lt; AVERAGE(Sheet1[Month_Revenue]), "Off-Peak", "Peak")</f>
        <v>Off-Peak</v>
      </c>
      <c r="J682">
        <f xml:space="preserve"> IF(Sheet1[[#This Row],[Ad Spend]] &gt; 0, (Sheet1[[#This Row],[Profit]] / Sheet1[[#This Row],[Ad Spend]]), 0)</f>
        <v>-4.8397790055248566E-2</v>
      </c>
      <c r="K682">
        <f>Sheet1[[#This Row],[Revenue]]-Sheet1[[#This Row],[Ad Spend]]</f>
        <v>-2.1899999999999977</v>
      </c>
      <c r="L682" s="2" t="s">
        <v>14</v>
      </c>
      <c r="M682">
        <v>2</v>
      </c>
      <c r="N682" s="2" t="s">
        <v>15</v>
      </c>
      <c r="O682">
        <v>21.53</v>
      </c>
    </row>
    <row r="683" spans="1:15" x14ac:dyDescent="0.3">
      <c r="A683" s="1">
        <v>45408</v>
      </c>
      <c r="B683" s="2" t="s">
        <v>11</v>
      </c>
      <c r="C683" s="2" t="s">
        <v>17</v>
      </c>
      <c r="D683" s="2" t="s">
        <v>13</v>
      </c>
      <c r="E683">
        <v>187.74</v>
      </c>
      <c r="F683">
        <v>39.99</v>
      </c>
      <c r="G683">
        <v>2</v>
      </c>
      <c r="H683">
        <f t="shared" si="10"/>
        <v>58562.910000000018</v>
      </c>
      <c r="I683" t="str">
        <f>IF(Sheet1[[#This Row],[Month_Revenue]] &lt; AVERAGE(Sheet1[Month_Revenue]), "Off-Peak", "Peak")</f>
        <v>Peak</v>
      </c>
      <c r="J683">
        <f xml:space="preserve"> IF(Sheet1[[#This Row],[Ad Spend]] &gt; 0, (Sheet1[[#This Row],[Profit]] / Sheet1[[#This Row],[Ad Spend]]), 0)</f>
        <v>3.6946736684171042</v>
      </c>
      <c r="K683">
        <f>Sheet1[[#This Row],[Revenue]]-Sheet1[[#This Row],[Ad Spend]]</f>
        <v>147.75</v>
      </c>
      <c r="L683" s="2" t="s">
        <v>22</v>
      </c>
      <c r="M683">
        <v>4</v>
      </c>
      <c r="N683" s="2" t="s">
        <v>19</v>
      </c>
      <c r="O683">
        <v>93.87</v>
      </c>
    </row>
    <row r="684" spans="1:15" x14ac:dyDescent="0.3">
      <c r="A684" s="1">
        <v>45387</v>
      </c>
      <c r="B684" s="2" t="s">
        <v>23</v>
      </c>
      <c r="C684" s="2" t="s">
        <v>21</v>
      </c>
      <c r="D684" s="2" t="s">
        <v>18</v>
      </c>
      <c r="E684">
        <v>89.17</v>
      </c>
      <c r="F684">
        <v>27.92</v>
      </c>
      <c r="G684">
        <v>0</v>
      </c>
      <c r="H684">
        <f t="shared" si="10"/>
        <v>58562.910000000018</v>
      </c>
      <c r="I684" t="str">
        <f>IF(Sheet1[[#This Row],[Month_Revenue]] &lt; AVERAGE(Sheet1[Month_Revenue]), "Off-Peak", "Peak")</f>
        <v>Peak</v>
      </c>
      <c r="J684">
        <f xml:space="preserve"> IF(Sheet1[[#This Row],[Ad Spend]] &gt; 0, (Sheet1[[#This Row],[Profit]] / Sheet1[[#This Row],[Ad Spend]]), 0)</f>
        <v>2.1937679083094554</v>
      </c>
      <c r="K684">
        <f>Sheet1[[#This Row],[Revenue]]-Sheet1[[#This Row],[Ad Spend]]</f>
        <v>61.25</v>
      </c>
      <c r="L684" s="2" t="s">
        <v>14</v>
      </c>
      <c r="M684">
        <v>4</v>
      </c>
      <c r="N684" s="2" t="s">
        <v>19</v>
      </c>
      <c r="O684">
        <v>0</v>
      </c>
    </row>
    <row r="685" spans="1:15" x14ac:dyDescent="0.3">
      <c r="A685" s="1">
        <v>45337</v>
      </c>
      <c r="B685" s="2" t="s">
        <v>23</v>
      </c>
      <c r="C685" s="2" t="s">
        <v>17</v>
      </c>
      <c r="D685" s="2" t="s">
        <v>18</v>
      </c>
      <c r="E685">
        <v>50.66</v>
      </c>
      <c r="F685">
        <v>35.049999999999997</v>
      </c>
      <c r="G685">
        <v>2</v>
      </c>
      <c r="H685">
        <f t="shared" si="10"/>
        <v>48675.899999999936</v>
      </c>
      <c r="I685" t="str">
        <f>IF(Sheet1[[#This Row],[Month_Revenue]] &lt; AVERAGE(Sheet1[Month_Revenue]), "Off-Peak", "Peak")</f>
        <v>Off-Peak</v>
      </c>
      <c r="J685">
        <f xml:space="preserve"> IF(Sheet1[[#This Row],[Ad Spend]] &gt; 0, (Sheet1[[#This Row],[Profit]] / Sheet1[[#This Row],[Ad Spend]]), 0)</f>
        <v>0.44536376604850214</v>
      </c>
      <c r="K685">
        <f>Sheet1[[#This Row],[Revenue]]-Sheet1[[#This Row],[Ad Spend]]</f>
        <v>15.61</v>
      </c>
      <c r="L685" s="2" t="s">
        <v>22</v>
      </c>
      <c r="M685">
        <v>2</v>
      </c>
      <c r="N685" s="2" t="s">
        <v>15</v>
      </c>
      <c r="O685">
        <v>25.33</v>
      </c>
    </row>
    <row r="686" spans="1:15" x14ac:dyDescent="0.3">
      <c r="A686" s="1">
        <v>45332</v>
      </c>
      <c r="B686" s="2" t="s">
        <v>23</v>
      </c>
      <c r="C686" s="2" t="s">
        <v>21</v>
      </c>
      <c r="D686" s="2" t="s">
        <v>18</v>
      </c>
      <c r="E686">
        <v>37.24</v>
      </c>
      <c r="F686">
        <v>1.82</v>
      </c>
      <c r="G686">
        <v>1</v>
      </c>
      <c r="H686">
        <f t="shared" si="10"/>
        <v>48675.899999999936</v>
      </c>
      <c r="I686" t="str">
        <f>IF(Sheet1[[#This Row],[Month_Revenue]] &lt; AVERAGE(Sheet1[Month_Revenue]), "Off-Peak", "Peak")</f>
        <v>Off-Peak</v>
      </c>
      <c r="J686">
        <f xml:space="preserve"> IF(Sheet1[[#This Row],[Ad Spend]] &gt; 0, (Sheet1[[#This Row],[Profit]] / Sheet1[[#This Row],[Ad Spend]]), 0)</f>
        <v>19.461538461538463</v>
      </c>
      <c r="K686">
        <f>Sheet1[[#This Row],[Revenue]]-Sheet1[[#This Row],[Ad Spend]]</f>
        <v>35.42</v>
      </c>
      <c r="L686" s="2" t="s">
        <v>14</v>
      </c>
      <c r="M686">
        <v>2</v>
      </c>
      <c r="N686" s="2" t="s">
        <v>15</v>
      </c>
      <c r="O686">
        <v>37.24</v>
      </c>
    </row>
    <row r="687" spans="1:15" x14ac:dyDescent="0.3">
      <c r="A687" s="1">
        <v>45337</v>
      </c>
      <c r="B687" s="2" t="s">
        <v>23</v>
      </c>
      <c r="C687" s="2" t="s">
        <v>12</v>
      </c>
      <c r="D687" s="2" t="s">
        <v>18</v>
      </c>
      <c r="E687">
        <v>159.35</v>
      </c>
      <c r="F687">
        <v>29.7</v>
      </c>
      <c r="G687">
        <v>2</v>
      </c>
      <c r="H687">
        <f t="shared" si="10"/>
        <v>48675.899999999936</v>
      </c>
      <c r="I687" t="str">
        <f>IF(Sheet1[[#This Row],[Month_Revenue]] &lt; AVERAGE(Sheet1[Month_Revenue]), "Off-Peak", "Peak")</f>
        <v>Off-Peak</v>
      </c>
      <c r="J687">
        <f xml:space="preserve"> IF(Sheet1[[#This Row],[Ad Spend]] &gt; 0, (Sheet1[[#This Row],[Profit]] / Sheet1[[#This Row],[Ad Spend]]), 0)</f>
        <v>4.3653198653198659</v>
      </c>
      <c r="K687">
        <f>Sheet1[[#This Row],[Revenue]]-Sheet1[[#This Row],[Ad Spend]]</f>
        <v>129.65</v>
      </c>
      <c r="L687" s="2" t="s">
        <v>22</v>
      </c>
      <c r="M687">
        <v>2</v>
      </c>
      <c r="N687" s="2" t="s">
        <v>15</v>
      </c>
      <c r="O687">
        <v>79.674999999999997</v>
      </c>
    </row>
    <row r="688" spans="1:15" x14ac:dyDescent="0.3">
      <c r="A688" s="1">
        <v>45354</v>
      </c>
      <c r="B688" s="2" t="s">
        <v>20</v>
      </c>
      <c r="C688" s="2" t="s">
        <v>21</v>
      </c>
      <c r="D688" s="2" t="s">
        <v>18</v>
      </c>
      <c r="E688">
        <v>21.06</v>
      </c>
      <c r="F688">
        <v>49.49</v>
      </c>
      <c r="G688">
        <v>3</v>
      </c>
      <c r="H688">
        <f t="shared" si="10"/>
        <v>54735.250000000029</v>
      </c>
      <c r="I688" t="str">
        <f>IF(Sheet1[[#This Row],[Month_Revenue]] &lt; AVERAGE(Sheet1[Month_Revenue]), "Off-Peak", "Peak")</f>
        <v>Off-Peak</v>
      </c>
      <c r="J688">
        <f xml:space="preserve"> IF(Sheet1[[#This Row],[Ad Spend]] &gt; 0, (Sheet1[[#This Row],[Profit]] / Sheet1[[#This Row],[Ad Spend]]), 0)</f>
        <v>-0.57445948676500302</v>
      </c>
      <c r="K688">
        <f>Sheet1[[#This Row],[Revenue]]-Sheet1[[#This Row],[Ad Spend]]</f>
        <v>-28.430000000000003</v>
      </c>
      <c r="L688" s="2" t="s">
        <v>14</v>
      </c>
      <c r="M688">
        <v>3</v>
      </c>
      <c r="N688" s="2" t="s">
        <v>19</v>
      </c>
      <c r="O688">
        <v>7.02</v>
      </c>
    </row>
    <row r="689" spans="1:15" x14ac:dyDescent="0.3">
      <c r="A689" s="1">
        <v>45355</v>
      </c>
      <c r="B689" s="2" t="s">
        <v>11</v>
      </c>
      <c r="C689" s="2" t="s">
        <v>21</v>
      </c>
      <c r="D689" s="2" t="s">
        <v>13</v>
      </c>
      <c r="E689">
        <v>133.16</v>
      </c>
      <c r="F689">
        <v>11.75</v>
      </c>
      <c r="G689">
        <v>2</v>
      </c>
      <c r="H689">
        <f t="shared" si="10"/>
        <v>54735.250000000029</v>
      </c>
      <c r="I689" t="str">
        <f>IF(Sheet1[[#This Row],[Month_Revenue]] &lt; AVERAGE(Sheet1[Month_Revenue]), "Off-Peak", "Peak")</f>
        <v>Off-Peak</v>
      </c>
      <c r="J689">
        <f xml:space="preserve"> IF(Sheet1[[#This Row],[Ad Spend]] &gt; 0, (Sheet1[[#This Row],[Profit]] / Sheet1[[#This Row],[Ad Spend]]), 0)</f>
        <v>10.332765957446808</v>
      </c>
      <c r="K689">
        <f>Sheet1[[#This Row],[Revenue]]-Sheet1[[#This Row],[Ad Spend]]</f>
        <v>121.41</v>
      </c>
      <c r="L689" s="2" t="s">
        <v>14</v>
      </c>
      <c r="M689">
        <v>3</v>
      </c>
      <c r="N689" s="2" t="s">
        <v>19</v>
      </c>
      <c r="O689">
        <v>66.58</v>
      </c>
    </row>
    <row r="690" spans="1:15" x14ac:dyDescent="0.3">
      <c r="A690" s="1">
        <v>45409</v>
      </c>
      <c r="B690" s="2" t="s">
        <v>23</v>
      </c>
      <c r="C690" s="2" t="s">
        <v>17</v>
      </c>
      <c r="D690" s="2" t="s">
        <v>18</v>
      </c>
      <c r="E690">
        <v>151.74</v>
      </c>
      <c r="F690">
        <v>38.17</v>
      </c>
      <c r="G690">
        <v>3</v>
      </c>
      <c r="H690">
        <f t="shared" si="10"/>
        <v>58562.910000000018</v>
      </c>
      <c r="I690" t="str">
        <f>IF(Sheet1[[#This Row],[Month_Revenue]] &lt; AVERAGE(Sheet1[Month_Revenue]), "Off-Peak", "Peak")</f>
        <v>Peak</v>
      </c>
      <c r="J690">
        <f xml:space="preserve"> IF(Sheet1[[#This Row],[Ad Spend]] &gt; 0, (Sheet1[[#This Row],[Profit]] / Sheet1[[#This Row],[Ad Spend]]), 0)</f>
        <v>2.9753733298401888</v>
      </c>
      <c r="K690">
        <f>Sheet1[[#This Row],[Revenue]]-Sheet1[[#This Row],[Ad Spend]]</f>
        <v>113.57000000000001</v>
      </c>
      <c r="L690" s="2" t="s">
        <v>14</v>
      </c>
      <c r="M690">
        <v>4</v>
      </c>
      <c r="N690" s="2" t="s">
        <v>19</v>
      </c>
      <c r="O690">
        <v>50.580000000000005</v>
      </c>
    </row>
    <row r="691" spans="1:15" x14ac:dyDescent="0.3">
      <c r="A691" s="1">
        <v>45378</v>
      </c>
      <c r="B691" s="2" t="s">
        <v>16</v>
      </c>
      <c r="C691" s="2" t="s">
        <v>21</v>
      </c>
      <c r="D691" s="2" t="s">
        <v>13</v>
      </c>
      <c r="E691">
        <v>141.19</v>
      </c>
      <c r="F691">
        <v>5.26</v>
      </c>
      <c r="G691">
        <v>2</v>
      </c>
      <c r="H691">
        <f t="shared" si="10"/>
        <v>54735.250000000029</v>
      </c>
      <c r="I691" t="str">
        <f>IF(Sheet1[[#This Row],[Month_Revenue]] &lt; AVERAGE(Sheet1[Month_Revenue]), "Off-Peak", "Peak")</f>
        <v>Off-Peak</v>
      </c>
      <c r="J691">
        <f xml:space="preserve"> IF(Sheet1[[#This Row],[Ad Spend]] &gt; 0, (Sheet1[[#This Row],[Profit]] / Sheet1[[#This Row],[Ad Spend]]), 0)</f>
        <v>25.842205323193919</v>
      </c>
      <c r="K691">
        <f>Sheet1[[#This Row],[Revenue]]-Sheet1[[#This Row],[Ad Spend]]</f>
        <v>135.93</v>
      </c>
      <c r="L691" s="2" t="s">
        <v>14</v>
      </c>
      <c r="M691">
        <v>3</v>
      </c>
      <c r="N691" s="2" t="s">
        <v>19</v>
      </c>
      <c r="O691">
        <v>70.594999999999999</v>
      </c>
    </row>
    <row r="692" spans="1:15" x14ac:dyDescent="0.3">
      <c r="A692" s="1">
        <v>45330</v>
      </c>
      <c r="B692" s="2" t="s">
        <v>23</v>
      </c>
      <c r="C692" s="2" t="s">
        <v>17</v>
      </c>
      <c r="D692" s="2" t="s">
        <v>13</v>
      </c>
      <c r="E692">
        <v>195.26</v>
      </c>
      <c r="F692">
        <v>32.78</v>
      </c>
      <c r="G692">
        <v>1</v>
      </c>
      <c r="H692">
        <f t="shared" si="10"/>
        <v>48675.899999999936</v>
      </c>
      <c r="I692" t="str">
        <f>IF(Sheet1[[#This Row],[Month_Revenue]] &lt; AVERAGE(Sheet1[Month_Revenue]), "Off-Peak", "Peak")</f>
        <v>Off-Peak</v>
      </c>
      <c r="J692">
        <f xml:space="preserve"> IF(Sheet1[[#This Row],[Ad Spend]] &gt; 0, (Sheet1[[#This Row],[Profit]] / Sheet1[[#This Row],[Ad Spend]]), 0)</f>
        <v>4.9566809029896275</v>
      </c>
      <c r="K692">
        <f>Sheet1[[#This Row],[Revenue]]-Sheet1[[#This Row],[Ad Spend]]</f>
        <v>162.47999999999999</v>
      </c>
      <c r="L692" s="2" t="s">
        <v>22</v>
      </c>
      <c r="M692">
        <v>2</v>
      </c>
      <c r="N692" s="2" t="s">
        <v>15</v>
      </c>
      <c r="O692">
        <v>195.26</v>
      </c>
    </row>
    <row r="693" spans="1:15" x14ac:dyDescent="0.3">
      <c r="A693" s="1">
        <v>45347</v>
      </c>
      <c r="B693" s="2" t="s">
        <v>11</v>
      </c>
      <c r="C693" s="2" t="s">
        <v>17</v>
      </c>
      <c r="D693" s="2" t="s">
        <v>13</v>
      </c>
      <c r="E693">
        <v>50.48</v>
      </c>
      <c r="F693">
        <v>35.42</v>
      </c>
      <c r="G693">
        <v>1</v>
      </c>
      <c r="H693">
        <f t="shared" si="10"/>
        <v>48675.899999999936</v>
      </c>
      <c r="I693" t="str">
        <f>IF(Sheet1[[#This Row],[Month_Revenue]] &lt; AVERAGE(Sheet1[Month_Revenue]), "Off-Peak", "Peak")</f>
        <v>Off-Peak</v>
      </c>
      <c r="J693">
        <f xml:space="preserve"> IF(Sheet1[[#This Row],[Ad Spend]] &gt; 0, (Sheet1[[#This Row],[Profit]] / Sheet1[[#This Row],[Ad Spend]]), 0)</f>
        <v>0.42518351214003375</v>
      </c>
      <c r="K693">
        <f>Sheet1[[#This Row],[Revenue]]-Sheet1[[#This Row],[Ad Spend]]</f>
        <v>15.059999999999995</v>
      </c>
      <c r="L693" s="2" t="s">
        <v>14</v>
      </c>
      <c r="M693">
        <v>2</v>
      </c>
      <c r="N693" s="2" t="s">
        <v>15</v>
      </c>
      <c r="O693">
        <v>50.48</v>
      </c>
    </row>
    <row r="694" spans="1:15" x14ac:dyDescent="0.3">
      <c r="A694" s="1">
        <v>45350</v>
      </c>
      <c r="B694" s="2" t="s">
        <v>24</v>
      </c>
      <c r="C694" s="2" t="s">
        <v>12</v>
      </c>
      <c r="D694" s="2" t="s">
        <v>18</v>
      </c>
      <c r="E694">
        <v>66.459999999999994</v>
      </c>
      <c r="F694">
        <v>46.57</v>
      </c>
      <c r="G694">
        <v>3</v>
      </c>
      <c r="H694">
        <f t="shared" si="10"/>
        <v>48675.899999999936</v>
      </c>
      <c r="I694" t="str">
        <f>IF(Sheet1[[#This Row],[Month_Revenue]] &lt; AVERAGE(Sheet1[Month_Revenue]), "Off-Peak", "Peak")</f>
        <v>Off-Peak</v>
      </c>
      <c r="J694">
        <f xml:space="preserve"> IF(Sheet1[[#This Row],[Ad Spend]] &gt; 0, (Sheet1[[#This Row],[Profit]] / Sheet1[[#This Row],[Ad Spend]]), 0)</f>
        <v>0.4270989907665878</v>
      </c>
      <c r="K694">
        <f>Sheet1[[#This Row],[Revenue]]-Sheet1[[#This Row],[Ad Spend]]</f>
        <v>19.889999999999993</v>
      </c>
      <c r="L694" s="2" t="s">
        <v>14</v>
      </c>
      <c r="M694">
        <v>2</v>
      </c>
      <c r="N694" s="2" t="s">
        <v>15</v>
      </c>
      <c r="O694">
        <v>22.153333333333332</v>
      </c>
    </row>
    <row r="695" spans="1:15" x14ac:dyDescent="0.3">
      <c r="A695" s="1">
        <v>45355</v>
      </c>
      <c r="B695" s="2" t="s">
        <v>24</v>
      </c>
      <c r="C695" s="2" t="s">
        <v>12</v>
      </c>
      <c r="D695" s="2" t="s">
        <v>18</v>
      </c>
      <c r="E695">
        <v>64.53</v>
      </c>
      <c r="F695">
        <v>11.47</v>
      </c>
      <c r="G695">
        <v>2</v>
      </c>
      <c r="H695">
        <f t="shared" si="10"/>
        <v>54735.250000000029</v>
      </c>
      <c r="I695" t="str">
        <f>IF(Sheet1[[#This Row],[Month_Revenue]] &lt; AVERAGE(Sheet1[Month_Revenue]), "Off-Peak", "Peak")</f>
        <v>Off-Peak</v>
      </c>
      <c r="J695">
        <f xml:space="preserve"> IF(Sheet1[[#This Row],[Ad Spend]] &gt; 0, (Sheet1[[#This Row],[Profit]] / Sheet1[[#This Row],[Ad Spend]]), 0)</f>
        <v>4.6259808195292065</v>
      </c>
      <c r="K695">
        <f>Sheet1[[#This Row],[Revenue]]-Sheet1[[#This Row],[Ad Spend]]</f>
        <v>53.06</v>
      </c>
      <c r="L695" s="2" t="s">
        <v>22</v>
      </c>
      <c r="M695">
        <v>3</v>
      </c>
      <c r="N695" s="2" t="s">
        <v>19</v>
      </c>
      <c r="O695">
        <v>32.265000000000001</v>
      </c>
    </row>
    <row r="696" spans="1:15" x14ac:dyDescent="0.3">
      <c r="A696" s="1">
        <v>45307</v>
      </c>
      <c r="B696" s="2" t="s">
        <v>23</v>
      </c>
      <c r="C696" s="2" t="s">
        <v>21</v>
      </c>
      <c r="D696" s="2" t="s">
        <v>18</v>
      </c>
      <c r="E696">
        <v>96.12</v>
      </c>
      <c r="F696">
        <v>29.53</v>
      </c>
      <c r="G696">
        <v>1</v>
      </c>
      <c r="H696">
        <f t="shared" si="10"/>
        <v>61207.979999999989</v>
      </c>
      <c r="I696" t="str">
        <f>IF(Sheet1[[#This Row],[Month_Revenue]] &lt; AVERAGE(Sheet1[Month_Revenue]), "Off-Peak", "Peak")</f>
        <v>Peak</v>
      </c>
      <c r="J696">
        <f xml:space="preserve"> IF(Sheet1[[#This Row],[Ad Spend]] &gt; 0, (Sheet1[[#This Row],[Profit]] / Sheet1[[#This Row],[Ad Spend]]), 0)</f>
        <v>2.2549949204199118</v>
      </c>
      <c r="K696">
        <f>Sheet1[[#This Row],[Revenue]]-Sheet1[[#This Row],[Ad Spend]]</f>
        <v>66.59</v>
      </c>
      <c r="L696" s="2" t="s">
        <v>22</v>
      </c>
      <c r="M696">
        <v>1</v>
      </c>
      <c r="N696" s="2" t="s">
        <v>15</v>
      </c>
      <c r="O696">
        <v>96.12</v>
      </c>
    </row>
    <row r="697" spans="1:15" x14ac:dyDescent="0.3">
      <c r="A697" s="1">
        <v>45389</v>
      </c>
      <c r="B697" s="2" t="s">
        <v>23</v>
      </c>
      <c r="C697" s="2" t="s">
        <v>12</v>
      </c>
      <c r="D697" s="2" t="s">
        <v>18</v>
      </c>
      <c r="E697">
        <v>163.43</v>
      </c>
      <c r="F697">
        <v>47.86</v>
      </c>
      <c r="G697">
        <v>2</v>
      </c>
      <c r="H697">
        <f t="shared" si="10"/>
        <v>58562.910000000018</v>
      </c>
      <c r="I697" t="str">
        <f>IF(Sheet1[[#This Row],[Month_Revenue]] &lt; AVERAGE(Sheet1[Month_Revenue]), "Off-Peak", "Peak")</f>
        <v>Peak</v>
      </c>
      <c r="J697">
        <f xml:space="preserve"> IF(Sheet1[[#This Row],[Ad Spend]] &gt; 0, (Sheet1[[#This Row],[Profit]] / Sheet1[[#This Row],[Ad Spend]]), 0)</f>
        <v>2.414751358127873</v>
      </c>
      <c r="K697">
        <f>Sheet1[[#This Row],[Revenue]]-Sheet1[[#This Row],[Ad Spend]]</f>
        <v>115.57000000000001</v>
      </c>
      <c r="L697" s="2" t="s">
        <v>14</v>
      </c>
      <c r="M697">
        <v>4</v>
      </c>
      <c r="N697" s="2" t="s">
        <v>19</v>
      </c>
      <c r="O697">
        <v>81.715000000000003</v>
      </c>
    </row>
    <row r="698" spans="1:15" x14ac:dyDescent="0.3">
      <c r="A698" s="1">
        <v>45369</v>
      </c>
      <c r="B698" s="2" t="s">
        <v>23</v>
      </c>
      <c r="C698" s="2" t="s">
        <v>21</v>
      </c>
      <c r="D698" s="2" t="s">
        <v>13</v>
      </c>
      <c r="E698">
        <v>150.21</v>
      </c>
      <c r="F698">
        <v>26.34</v>
      </c>
      <c r="G698">
        <v>1</v>
      </c>
      <c r="H698">
        <f t="shared" si="10"/>
        <v>54735.250000000029</v>
      </c>
      <c r="I698" t="str">
        <f>IF(Sheet1[[#This Row],[Month_Revenue]] &lt; AVERAGE(Sheet1[Month_Revenue]), "Off-Peak", "Peak")</f>
        <v>Off-Peak</v>
      </c>
      <c r="J698">
        <f xml:space="preserve"> IF(Sheet1[[#This Row],[Ad Spend]] &gt; 0, (Sheet1[[#This Row],[Profit]] / Sheet1[[#This Row],[Ad Spend]]), 0)</f>
        <v>4.7027334851936224</v>
      </c>
      <c r="K698">
        <f>Sheet1[[#This Row],[Revenue]]-Sheet1[[#This Row],[Ad Spend]]</f>
        <v>123.87</v>
      </c>
      <c r="L698" s="2" t="s">
        <v>14</v>
      </c>
      <c r="M698">
        <v>3</v>
      </c>
      <c r="N698" s="2" t="s">
        <v>19</v>
      </c>
      <c r="O698">
        <v>150.21</v>
      </c>
    </row>
    <row r="699" spans="1:15" x14ac:dyDescent="0.3">
      <c r="A699" s="1">
        <v>45349</v>
      </c>
      <c r="B699" s="2" t="s">
        <v>24</v>
      </c>
      <c r="C699" s="2" t="s">
        <v>17</v>
      </c>
      <c r="D699" s="2" t="s">
        <v>18</v>
      </c>
      <c r="E699">
        <v>127.94</v>
      </c>
      <c r="F699">
        <v>21.49</v>
      </c>
      <c r="G699">
        <v>0</v>
      </c>
      <c r="H699">
        <f t="shared" si="10"/>
        <v>48675.899999999936</v>
      </c>
      <c r="I699" t="str">
        <f>IF(Sheet1[[#This Row],[Month_Revenue]] &lt; AVERAGE(Sheet1[Month_Revenue]), "Off-Peak", "Peak")</f>
        <v>Off-Peak</v>
      </c>
      <c r="J699">
        <f xml:space="preserve"> IF(Sheet1[[#This Row],[Ad Spend]] &gt; 0, (Sheet1[[#This Row],[Profit]] / Sheet1[[#This Row],[Ad Spend]]), 0)</f>
        <v>4.953466728711029</v>
      </c>
      <c r="K699">
        <f>Sheet1[[#This Row],[Revenue]]-Sheet1[[#This Row],[Ad Spend]]</f>
        <v>106.45</v>
      </c>
      <c r="L699" s="2" t="s">
        <v>22</v>
      </c>
      <c r="M699">
        <v>2</v>
      </c>
      <c r="N699" s="2" t="s">
        <v>15</v>
      </c>
      <c r="O699">
        <v>0</v>
      </c>
    </row>
    <row r="700" spans="1:15" x14ac:dyDescent="0.3">
      <c r="A700" s="1">
        <v>45368</v>
      </c>
      <c r="B700" s="2" t="s">
        <v>24</v>
      </c>
      <c r="C700" s="2" t="s">
        <v>21</v>
      </c>
      <c r="D700" s="2" t="s">
        <v>18</v>
      </c>
      <c r="E700">
        <v>25.74</v>
      </c>
      <c r="F700">
        <v>9.58</v>
      </c>
      <c r="G700">
        <v>3</v>
      </c>
      <c r="H700">
        <f t="shared" si="10"/>
        <v>54735.250000000029</v>
      </c>
      <c r="I700" t="str">
        <f>IF(Sheet1[[#This Row],[Month_Revenue]] &lt; AVERAGE(Sheet1[Month_Revenue]), "Off-Peak", "Peak")</f>
        <v>Off-Peak</v>
      </c>
      <c r="J700">
        <f xml:space="preserve"> IF(Sheet1[[#This Row],[Ad Spend]] &gt; 0, (Sheet1[[#This Row],[Profit]] / Sheet1[[#This Row],[Ad Spend]]), 0)</f>
        <v>1.6868475991649265</v>
      </c>
      <c r="K700">
        <f>Sheet1[[#This Row],[Revenue]]-Sheet1[[#This Row],[Ad Spend]]</f>
        <v>16.159999999999997</v>
      </c>
      <c r="L700" s="2" t="s">
        <v>22</v>
      </c>
      <c r="M700">
        <v>3</v>
      </c>
      <c r="N700" s="2" t="s">
        <v>19</v>
      </c>
      <c r="O700">
        <v>8.58</v>
      </c>
    </row>
    <row r="701" spans="1:15" x14ac:dyDescent="0.3">
      <c r="A701" s="1">
        <v>45310</v>
      </c>
      <c r="B701" s="2" t="s">
        <v>24</v>
      </c>
      <c r="C701" s="2" t="s">
        <v>21</v>
      </c>
      <c r="D701" s="2" t="s">
        <v>18</v>
      </c>
      <c r="E701">
        <v>22.76</v>
      </c>
      <c r="F701">
        <v>43.33</v>
      </c>
      <c r="G701">
        <v>0</v>
      </c>
      <c r="H701">
        <f t="shared" si="10"/>
        <v>61207.979999999989</v>
      </c>
      <c r="I701" t="str">
        <f>IF(Sheet1[[#This Row],[Month_Revenue]] &lt; AVERAGE(Sheet1[Month_Revenue]), "Off-Peak", "Peak")</f>
        <v>Peak</v>
      </c>
      <c r="J701">
        <f xml:space="preserve"> IF(Sheet1[[#This Row],[Ad Spend]] &gt; 0, (Sheet1[[#This Row],[Profit]] / Sheet1[[#This Row],[Ad Spend]]), 0)</f>
        <v>-0.47472882529425336</v>
      </c>
      <c r="K701">
        <f>Sheet1[[#This Row],[Revenue]]-Sheet1[[#This Row],[Ad Spend]]</f>
        <v>-20.569999999999997</v>
      </c>
      <c r="L701" s="2" t="s">
        <v>14</v>
      </c>
      <c r="M701">
        <v>1</v>
      </c>
      <c r="N701" s="2" t="s">
        <v>15</v>
      </c>
      <c r="O701">
        <v>0</v>
      </c>
    </row>
    <row r="702" spans="1:15" x14ac:dyDescent="0.3">
      <c r="A702" s="1">
        <v>45298</v>
      </c>
      <c r="B702" s="2" t="s">
        <v>24</v>
      </c>
      <c r="C702" s="2" t="s">
        <v>12</v>
      </c>
      <c r="D702" s="2" t="s">
        <v>18</v>
      </c>
      <c r="E702">
        <v>155.01</v>
      </c>
      <c r="F702">
        <v>45.46</v>
      </c>
      <c r="G702">
        <v>0</v>
      </c>
      <c r="H702">
        <f t="shared" si="10"/>
        <v>61207.979999999989</v>
      </c>
      <c r="I702" t="str">
        <f>IF(Sheet1[[#This Row],[Month_Revenue]] &lt; AVERAGE(Sheet1[Month_Revenue]), "Off-Peak", "Peak")</f>
        <v>Peak</v>
      </c>
      <c r="J702">
        <f xml:space="preserve"> IF(Sheet1[[#This Row],[Ad Spend]] &gt; 0, (Sheet1[[#This Row],[Profit]] / Sheet1[[#This Row],[Ad Spend]]), 0)</f>
        <v>2.4098108227012753</v>
      </c>
      <c r="K702">
        <f>Sheet1[[#This Row],[Revenue]]-Sheet1[[#This Row],[Ad Spend]]</f>
        <v>109.54999999999998</v>
      </c>
      <c r="L702" s="2" t="s">
        <v>14</v>
      </c>
      <c r="M702">
        <v>1</v>
      </c>
      <c r="N702" s="2" t="s">
        <v>15</v>
      </c>
      <c r="O702">
        <v>0</v>
      </c>
    </row>
    <row r="703" spans="1:15" x14ac:dyDescent="0.3">
      <c r="A703" s="1">
        <v>45349</v>
      </c>
      <c r="B703" s="2" t="s">
        <v>11</v>
      </c>
      <c r="C703" s="2" t="s">
        <v>12</v>
      </c>
      <c r="D703" s="2" t="s">
        <v>18</v>
      </c>
      <c r="E703">
        <v>182.43</v>
      </c>
      <c r="F703">
        <v>14.76</v>
      </c>
      <c r="G703">
        <v>2</v>
      </c>
      <c r="H703">
        <f t="shared" si="10"/>
        <v>48675.899999999936</v>
      </c>
      <c r="I703" t="str">
        <f>IF(Sheet1[[#This Row],[Month_Revenue]] &lt; AVERAGE(Sheet1[Month_Revenue]), "Off-Peak", "Peak")</f>
        <v>Off-Peak</v>
      </c>
      <c r="J703">
        <f xml:space="preserve"> IF(Sheet1[[#This Row],[Ad Spend]] &gt; 0, (Sheet1[[#This Row],[Profit]] / Sheet1[[#This Row],[Ad Spend]]), 0)</f>
        <v>11.359756097560977</v>
      </c>
      <c r="K703">
        <f>Sheet1[[#This Row],[Revenue]]-Sheet1[[#This Row],[Ad Spend]]</f>
        <v>167.67000000000002</v>
      </c>
      <c r="L703" s="2" t="s">
        <v>22</v>
      </c>
      <c r="M703">
        <v>2</v>
      </c>
      <c r="N703" s="2" t="s">
        <v>15</v>
      </c>
      <c r="O703">
        <v>91.215000000000003</v>
      </c>
    </row>
    <row r="704" spans="1:15" x14ac:dyDescent="0.3">
      <c r="A704" s="1">
        <v>45298</v>
      </c>
      <c r="B704" s="2" t="s">
        <v>20</v>
      </c>
      <c r="C704" s="2" t="s">
        <v>21</v>
      </c>
      <c r="D704" s="2" t="s">
        <v>13</v>
      </c>
      <c r="E704">
        <v>130.75</v>
      </c>
      <c r="F704">
        <v>18.170000000000002</v>
      </c>
      <c r="G704">
        <v>1</v>
      </c>
      <c r="H704">
        <f t="shared" si="10"/>
        <v>61207.979999999989</v>
      </c>
      <c r="I704" t="str">
        <f>IF(Sheet1[[#This Row],[Month_Revenue]] &lt; AVERAGE(Sheet1[Month_Revenue]), "Off-Peak", "Peak")</f>
        <v>Peak</v>
      </c>
      <c r="J704">
        <f xml:space="preserve"> IF(Sheet1[[#This Row],[Ad Spend]] &gt; 0, (Sheet1[[#This Row],[Profit]] / Sheet1[[#This Row],[Ad Spend]]), 0)</f>
        <v>6.1959273527793055</v>
      </c>
      <c r="K704">
        <f>Sheet1[[#This Row],[Revenue]]-Sheet1[[#This Row],[Ad Spend]]</f>
        <v>112.58</v>
      </c>
      <c r="L704" s="2" t="s">
        <v>22</v>
      </c>
      <c r="M704">
        <v>1</v>
      </c>
      <c r="N704" s="2" t="s">
        <v>15</v>
      </c>
      <c r="O704">
        <v>130.75</v>
      </c>
    </row>
    <row r="705" spans="1:15" x14ac:dyDescent="0.3">
      <c r="A705" s="1">
        <v>45396</v>
      </c>
      <c r="B705" s="2" t="s">
        <v>11</v>
      </c>
      <c r="C705" s="2" t="s">
        <v>17</v>
      </c>
      <c r="D705" s="2" t="s">
        <v>13</v>
      </c>
      <c r="E705">
        <v>114.47</v>
      </c>
      <c r="F705">
        <v>6.31</v>
      </c>
      <c r="G705">
        <v>2</v>
      </c>
      <c r="H705">
        <f t="shared" si="10"/>
        <v>58562.910000000018</v>
      </c>
      <c r="I705" t="str">
        <f>IF(Sheet1[[#This Row],[Month_Revenue]] &lt; AVERAGE(Sheet1[Month_Revenue]), "Off-Peak", "Peak")</f>
        <v>Peak</v>
      </c>
      <c r="J705">
        <f xml:space="preserve"> IF(Sheet1[[#This Row],[Ad Spend]] &gt; 0, (Sheet1[[#This Row],[Profit]] / Sheet1[[#This Row],[Ad Spend]]), 0)</f>
        <v>17.141045958795562</v>
      </c>
      <c r="K705">
        <f>Sheet1[[#This Row],[Revenue]]-Sheet1[[#This Row],[Ad Spend]]</f>
        <v>108.16</v>
      </c>
      <c r="L705" s="2" t="s">
        <v>22</v>
      </c>
      <c r="M705">
        <v>4</v>
      </c>
      <c r="N705" s="2" t="s">
        <v>19</v>
      </c>
      <c r="O705">
        <v>57.234999999999999</v>
      </c>
    </row>
    <row r="706" spans="1:15" x14ac:dyDescent="0.3">
      <c r="A706" s="1">
        <v>45372</v>
      </c>
      <c r="B706" s="2" t="s">
        <v>24</v>
      </c>
      <c r="C706" s="2" t="s">
        <v>21</v>
      </c>
      <c r="D706" s="2" t="s">
        <v>18</v>
      </c>
      <c r="E706">
        <v>185.54</v>
      </c>
      <c r="F706">
        <v>24.97</v>
      </c>
      <c r="G706">
        <v>2</v>
      </c>
      <c r="H706">
        <f t="shared" ref="H706:H769" si="11">SUMIFS($E$2:$E$2001, $M$2:$M$2001, M706)</f>
        <v>54735.250000000029</v>
      </c>
      <c r="I706" t="str">
        <f>IF(Sheet1[[#This Row],[Month_Revenue]] &lt; AVERAGE(Sheet1[Month_Revenue]), "Off-Peak", "Peak")</f>
        <v>Off-Peak</v>
      </c>
      <c r="J706">
        <f xml:space="preserve"> IF(Sheet1[[#This Row],[Ad Spend]] &gt; 0, (Sheet1[[#This Row],[Profit]] / Sheet1[[#This Row],[Ad Spend]]), 0)</f>
        <v>6.4305166199439325</v>
      </c>
      <c r="K706">
        <f>Sheet1[[#This Row],[Revenue]]-Sheet1[[#This Row],[Ad Spend]]</f>
        <v>160.57</v>
      </c>
      <c r="L706" s="2" t="s">
        <v>22</v>
      </c>
      <c r="M706">
        <v>3</v>
      </c>
      <c r="N706" s="2" t="s">
        <v>19</v>
      </c>
      <c r="O706">
        <v>92.77</v>
      </c>
    </row>
    <row r="707" spans="1:15" x14ac:dyDescent="0.3">
      <c r="A707" s="1">
        <v>45313</v>
      </c>
      <c r="B707" s="2" t="s">
        <v>23</v>
      </c>
      <c r="C707" s="2" t="s">
        <v>12</v>
      </c>
      <c r="D707" s="2" t="s">
        <v>18</v>
      </c>
      <c r="E707">
        <v>170.39</v>
      </c>
      <c r="F707">
        <v>43.44</v>
      </c>
      <c r="G707">
        <v>1</v>
      </c>
      <c r="H707">
        <f t="shared" si="11"/>
        <v>61207.979999999989</v>
      </c>
      <c r="I707" t="str">
        <f>IF(Sheet1[[#This Row],[Month_Revenue]] &lt; AVERAGE(Sheet1[Month_Revenue]), "Off-Peak", "Peak")</f>
        <v>Peak</v>
      </c>
      <c r="J707">
        <f xml:space="preserve"> IF(Sheet1[[#This Row],[Ad Spend]] &gt; 0, (Sheet1[[#This Row],[Profit]] / Sheet1[[#This Row],[Ad Spend]]), 0)</f>
        <v>2.9224217311233884</v>
      </c>
      <c r="K707">
        <f>Sheet1[[#This Row],[Revenue]]-Sheet1[[#This Row],[Ad Spend]]</f>
        <v>126.94999999999999</v>
      </c>
      <c r="L707" s="2" t="s">
        <v>14</v>
      </c>
      <c r="M707">
        <v>1</v>
      </c>
      <c r="N707" s="2" t="s">
        <v>15</v>
      </c>
      <c r="O707">
        <v>170.39</v>
      </c>
    </row>
    <row r="708" spans="1:15" x14ac:dyDescent="0.3">
      <c r="A708" s="1">
        <v>45404</v>
      </c>
      <c r="B708" s="2" t="s">
        <v>23</v>
      </c>
      <c r="C708" s="2" t="s">
        <v>12</v>
      </c>
      <c r="D708" s="2" t="s">
        <v>13</v>
      </c>
      <c r="E708">
        <v>199.8</v>
      </c>
      <c r="F708">
        <v>1.86</v>
      </c>
      <c r="G708">
        <v>0</v>
      </c>
      <c r="H708">
        <f t="shared" si="11"/>
        <v>58562.910000000018</v>
      </c>
      <c r="I708" t="str">
        <f>IF(Sheet1[[#This Row],[Month_Revenue]] &lt; AVERAGE(Sheet1[Month_Revenue]), "Off-Peak", "Peak")</f>
        <v>Peak</v>
      </c>
      <c r="J708">
        <f xml:space="preserve"> IF(Sheet1[[#This Row],[Ad Spend]] &gt; 0, (Sheet1[[#This Row],[Profit]] / Sheet1[[#This Row],[Ad Spend]]), 0)</f>
        <v>106.41935483870967</v>
      </c>
      <c r="K708">
        <f>Sheet1[[#This Row],[Revenue]]-Sheet1[[#This Row],[Ad Spend]]</f>
        <v>197.94</v>
      </c>
      <c r="L708" s="2" t="s">
        <v>14</v>
      </c>
      <c r="M708">
        <v>4</v>
      </c>
      <c r="N708" s="2" t="s">
        <v>19</v>
      </c>
      <c r="O708">
        <v>0</v>
      </c>
    </row>
    <row r="709" spans="1:15" x14ac:dyDescent="0.3">
      <c r="A709" s="1">
        <v>45355</v>
      </c>
      <c r="B709" s="2" t="s">
        <v>23</v>
      </c>
      <c r="C709" s="2" t="s">
        <v>17</v>
      </c>
      <c r="D709" s="2" t="s">
        <v>13</v>
      </c>
      <c r="E709">
        <v>170.08</v>
      </c>
      <c r="F709">
        <v>33.630000000000003</v>
      </c>
      <c r="G709">
        <v>1</v>
      </c>
      <c r="H709">
        <f t="shared" si="11"/>
        <v>54735.250000000029</v>
      </c>
      <c r="I709" t="str">
        <f>IF(Sheet1[[#This Row],[Month_Revenue]] &lt; AVERAGE(Sheet1[Month_Revenue]), "Off-Peak", "Peak")</f>
        <v>Off-Peak</v>
      </c>
      <c r="J709">
        <f xml:space="preserve"> IF(Sheet1[[#This Row],[Ad Spend]] &gt; 0, (Sheet1[[#This Row],[Profit]] / Sheet1[[#This Row],[Ad Spend]]), 0)</f>
        <v>4.0573892358013683</v>
      </c>
      <c r="K709">
        <f>Sheet1[[#This Row],[Revenue]]-Sheet1[[#This Row],[Ad Spend]]</f>
        <v>136.45000000000002</v>
      </c>
      <c r="L709" s="2" t="s">
        <v>14</v>
      </c>
      <c r="M709">
        <v>3</v>
      </c>
      <c r="N709" s="2" t="s">
        <v>19</v>
      </c>
      <c r="O709">
        <v>170.08</v>
      </c>
    </row>
    <row r="710" spans="1:15" x14ac:dyDescent="0.3">
      <c r="A710" s="1">
        <v>45314</v>
      </c>
      <c r="B710" s="2" t="s">
        <v>11</v>
      </c>
      <c r="C710" s="2" t="s">
        <v>12</v>
      </c>
      <c r="D710" s="2" t="s">
        <v>13</v>
      </c>
      <c r="E710">
        <v>125.14</v>
      </c>
      <c r="F710">
        <v>47.44</v>
      </c>
      <c r="G710">
        <v>1</v>
      </c>
      <c r="H710">
        <f t="shared" si="11"/>
        <v>61207.979999999989</v>
      </c>
      <c r="I710" t="str">
        <f>IF(Sheet1[[#This Row],[Month_Revenue]] &lt; AVERAGE(Sheet1[Month_Revenue]), "Off-Peak", "Peak")</f>
        <v>Peak</v>
      </c>
      <c r="J710">
        <f xml:space="preserve"> IF(Sheet1[[#This Row],[Ad Spend]] &gt; 0, (Sheet1[[#This Row],[Profit]] / Sheet1[[#This Row],[Ad Spend]]), 0)</f>
        <v>1.6378583473861721</v>
      </c>
      <c r="K710">
        <f>Sheet1[[#This Row],[Revenue]]-Sheet1[[#This Row],[Ad Spend]]</f>
        <v>77.7</v>
      </c>
      <c r="L710" s="2" t="s">
        <v>14</v>
      </c>
      <c r="M710">
        <v>1</v>
      </c>
      <c r="N710" s="2" t="s">
        <v>15</v>
      </c>
      <c r="O710">
        <v>125.14</v>
      </c>
    </row>
    <row r="711" spans="1:15" x14ac:dyDescent="0.3">
      <c r="A711" s="1">
        <v>45294</v>
      </c>
      <c r="B711" s="2" t="s">
        <v>11</v>
      </c>
      <c r="C711" s="2" t="s">
        <v>21</v>
      </c>
      <c r="D711" s="2" t="s">
        <v>18</v>
      </c>
      <c r="E711">
        <v>30.96</v>
      </c>
      <c r="F711">
        <v>41.51</v>
      </c>
      <c r="G711">
        <v>2</v>
      </c>
      <c r="H711">
        <f t="shared" si="11"/>
        <v>61207.979999999989</v>
      </c>
      <c r="I711" t="str">
        <f>IF(Sheet1[[#This Row],[Month_Revenue]] &lt; AVERAGE(Sheet1[Month_Revenue]), "Off-Peak", "Peak")</f>
        <v>Peak</v>
      </c>
      <c r="J711">
        <f xml:space="preserve"> IF(Sheet1[[#This Row],[Ad Spend]] &gt; 0, (Sheet1[[#This Row],[Profit]] / Sheet1[[#This Row],[Ad Spend]]), 0)</f>
        <v>-0.25415562515056606</v>
      </c>
      <c r="K711">
        <f>Sheet1[[#This Row],[Revenue]]-Sheet1[[#This Row],[Ad Spend]]</f>
        <v>-10.549999999999997</v>
      </c>
      <c r="L711" s="2" t="s">
        <v>14</v>
      </c>
      <c r="M711">
        <v>1</v>
      </c>
      <c r="N711" s="2" t="s">
        <v>15</v>
      </c>
      <c r="O711">
        <v>15.48</v>
      </c>
    </row>
    <row r="712" spans="1:15" x14ac:dyDescent="0.3">
      <c r="A712" s="1">
        <v>45294</v>
      </c>
      <c r="B712" s="2" t="s">
        <v>11</v>
      </c>
      <c r="C712" s="2" t="s">
        <v>17</v>
      </c>
      <c r="D712" s="2" t="s">
        <v>13</v>
      </c>
      <c r="E712">
        <v>116.98</v>
      </c>
      <c r="F712">
        <v>23.53</v>
      </c>
      <c r="G712">
        <v>2</v>
      </c>
      <c r="H712">
        <f t="shared" si="11"/>
        <v>61207.979999999989</v>
      </c>
      <c r="I712" t="str">
        <f>IF(Sheet1[[#This Row],[Month_Revenue]] &lt; AVERAGE(Sheet1[Month_Revenue]), "Off-Peak", "Peak")</f>
        <v>Peak</v>
      </c>
      <c r="J712">
        <f xml:space="preserve"> IF(Sheet1[[#This Row],[Ad Spend]] &gt; 0, (Sheet1[[#This Row],[Profit]] / Sheet1[[#This Row],[Ad Spend]]), 0)</f>
        <v>3.9715257118572036</v>
      </c>
      <c r="K712">
        <f>Sheet1[[#This Row],[Revenue]]-Sheet1[[#This Row],[Ad Spend]]</f>
        <v>93.45</v>
      </c>
      <c r="L712" s="2" t="s">
        <v>22</v>
      </c>
      <c r="M712">
        <v>1</v>
      </c>
      <c r="N712" s="2" t="s">
        <v>15</v>
      </c>
      <c r="O712">
        <v>58.49</v>
      </c>
    </row>
    <row r="713" spans="1:15" x14ac:dyDescent="0.3">
      <c r="A713" s="1">
        <v>45333</v>
      </c>
      <c r="B713" s="2" t="s">
        <v>20</v>
      </c>
      <c r="C713" s="2" t="s">
        <v>21</v>
      </c>
      <c r="D713" s="2" t="s">
        <v>18</v>
      </c>
      <c r="E713">
        <v>63.6</v>
      </c>
      <c r="F713">
        <v>45.07</v>
      </c>
      <c r="G713">
        <v>0</v>
      </c>
      <c r="H713">
        <f t="shared" si="11"/>
        <v>48675.899999999936</v>
      </c>
      <c r="I713" t="str">
        <f>IF(Sheet1[[#This Row],[Month_Revenue]] &lt; AVERAGE(Sheet1[Month_Revenue]), "Off-Peak", "Peak")</f>
        <v>Off-Peak</v>
      </c>
      <c r="J713">
        <f xml:space="preserve"> IF(Sheet1[[#This Row],[Ad Spend]] &gt; 0, (Sheet1[[#This Row],[Profit]] / Sheet1[[#This Row],[Ad Spend]]), 0)</f>
        <v>0.41113822942090084</v>
      </c>
      <c r="K713">
        <f>Sheet1[[#This Row],[Revenue]]-Sheet1[[#This Row],[Ad Spend]]</f>
        <v>18.53</v>
      </c>
      <c r="L713" s="2" t="s">
        <v>22</v>
      </c>
      <c r="M713">
        <v>2</v>
      </c>
      <c r="N713" s="2" t="s">
        <v>15</v>
      </c>
      <c r="O713">
        <v>0</v>
      </c>
    </row>
    <row r="714" spans="1:15" x14ac:dyDescent="0.3">
      <c r="A714" s="1">
        <v>45295</v>
      </c>
      <c r="B714" s="2" t="s">
        <v>11</v>
      </c>
      <c r="C714" s="2" t="s">
        <v>21</v>
      </c>
      <c r="D714" s="2" t="s">
        <v>18</v>
      </c>
      <c r="E714">
        <v>62.88</v>
      </c>
      <c r="F714">
        <v>19.149999999999999</v>
      </c>
      <c r="G714">
        <v>2</v>
      </c>
      <c r="H714">
        <f t="shared" si="11"/>
        <v>61207.979999999989</v>
      </c>
      <c r="I714" t="str">
        <f>IF(Sheet1[[#This Row],[Month_Revenue]] &lt; AVERAGE(Sheet1[Month_Revenue]), "Off-Peak", "Peak")</f>
        <v>Peak</v>
      </c>
      <c r="J714">
        <f xml:space="preserve"> IF(Sheet1[[#This Row],[Ad Spend]] &gt; 0, (Sheet1[[#This Row],[Profit]] / Sheet1[[#This Row],[Ad Spend]]), 0)</f>
        <v>2.2835509138381207</v>
      </c>
      <c r="K714">
        <f>Sheet1[[#This Row],[Revenue]]-Sheet1[[#This Row],[Ad Spend]]</f>
        <v>43.730000000000004</v>
      </c>
      <c r="L714" s="2" t="s">
        <v>22</v>
      </c>
      <c r="M714">
        <v>1</v>
      </c>
      <c r="N714" s="2" t="s">
        <v>15</v>
      </c>
      <c r="O714">
        <v>31.44</v>
      </c>
    </row>
    <row r="715" spans="1:15" x14ac:dyDescent="0.3">
      <c r="A715" s="1">
        <v>45372</v>
      </c>
      <c r="B715" s="2" t="s">
        <v>23</v>
      </c>
      <c r="C715" s="2" t="s">
        <v>12</v>
      </c>
      <c r="D715" s="2" t="s">
        <v>13</v>
      </c>
      <c r="E715">
        <v>51.43</v>
      </c>
      <c r="F715">
        <v>12.6</v>
      </c>
      <c r="G715">
        <v>1</v>
      </c>
      <c r="H715">
        <f t="shared" si="11"/>
        <v>54735.250000000029</v>
      </c>
      <c r="I715" t="str">
        <f>IF(Sheet1[[#This Row],[Month_Revenue]] &lt; AVERAGE(Sheet1[Month_Revenue]), "Off-Peak", "Peak")</f>
        <v>Off-Peak</v>
      </c>
      <c r="J715">
        <f xml:space="preserve"> IF(Sheet1[[#This Row],[Ad Spend]] &gt; 0, (Sheet1[[#This Row],[Profit]] / Sheet1[[#This Row],[Ad Spend]]), 0)</f>
        <v>3.0817460317460319</v>
      </c>
      <c r="K715">
        <f>Sheet1[[#This Row],[Revenue]]-Sheet1[[#This Row],[Ad Spend]]</f>
        <v>38.83</v>
      </c>
      <c r="L715" s="2" t="s">
        <v>14</v>
      </c>
      <c r="M715">
        <v>3</v>
      </c>
      <c r="N715" s="2" t="s">
        <v>19</v>
      </c>
      <c r="O715">
        <v>51.43</v>
      </c>
    </row>
    <row r="716" spans="1:15" x14ac:dyDescent="0.3">
      <c r="A716" s="1">
        <v>45353</v>
      </c>
      <c r="B716" s="2" t="s">
        <v>23</v>
      </c>
      <c r="C716" s="2" t="s">
        <v>12</v>
      </c>
      <c r="D716" s="2" t="s">
        <v>13</v>
      </c>
      <c r="E716">
        <v>44.19</v>
      </c>
      <c r="F716">
        <v>46.04</v>
      </c>
      <c r="G716">
        <v>3</v>
      </c>
      <c r="H716">
        <f t="shared" si="11"/>
        <v>54735.250000000029</v>
      </c>
      <c r="I716" t="str">
        <f>IF(Sheet1[[#This Row],[Month_Revenue]] &lt; AVERAGE(Sheet1[Month_Revenue]), "Off-Peak", "Peak")</f>
        <v>Off-Peak</v>
      </c>
      <c r="J716">
        <f xml:space="preserve"> IF(Sheet1[[#This Row],[Ad Spend]] &gt; 0, (Sheet1[[#This Row],[Profit]] / Sheet1[[#This Row],[Ad Spend]]), 0)</f>
        <v>-4.0182450043440517E-2</v>
      </c>
      <c r="K716">
        <f>Sheet1[[#This Row],[Revenue]]-Sheet1[[#This Row],[Ad Spend]]</f>
        <v>-1.8500000000000014</v>
      </c>
      <c r="L716" s="2" t="s">
        <v>22</v>
      </c>
      <c r="M716">
        <v>3</v>
      </c>
      <c r="N716" s="2" t="s">
        <v>19</v>
      </c>
      <c r="O716">
        <v>14.729999999999999</v>
      </c>
    </row>
    <row r="717" spans="1:15" x14ac:dyDescent="0.3">
      <c r="A717" s="1">
        <v>45412</v>
      </c>
      <c r="B717" s="2" t="s">
        <v>11</v>
      </c>
      <c r="C717" s="2" t="s">
        <v>12</v>
      </c>
      <c r="D717" s="2" t="s">
        <v>18</v>
      </c>
      <c r="E717">
        <v>172.05</v>
      </c>
      <c r="F717">
        <v>25.43</v>
      </c>
      <c r="G717">
        <v>2</v>
      </c>
      <c r="H717">
        <f t="shared" si="11"/>
        <v>58562.910000000018</v>
      </c>
      <c r="I717" t="str">
        <f>IF(Sheet1[[#This Row],[Month_Revenue]] &lt; AVERAGE(Sheet1[Month_Revenue]), "Off-Peak", "Peak")</f>
        <v>Peak</v>
      </c>
      <c r="J717">
        <f xml:space="preserve"> IF(Sheet1[[#This Row],[Ad Spend]] &gt; 0, (Sheet1[[#This Row],[Profit]] / Sheet1[[#This Row],[Ad Spend]]), 0)</f>
        <v>5.7656311443177355</v>
      </c>
      <c r="K717">
        <f>Sheet1[[#This Row],[Revenue]]-Sheet1[[#This Row],[Ad Spend]]</f>
        <v>146.62</v>
      </c>
      <c r="L717" s="2" t="s">
        <v>22</v>
      </c>
      <c r="M717">
        <v>4</v>
      </c>
      <c r="N717" s="2" t="s">
        <v>19</v>
      </c>
      <c r="O717">
        <v>86.025000000000006</v>
      </c>
    </row>
    <row r="718" spans="1:15" x14ac:dyDescent="0.3">
      <c r="A718" s="1">
        <v>45398</v>
      </c>
      <c r="B718" s="2" t="s">
        <v>20</v>
      </c>
      <c r="C718" s="2" t="s">
        <v>12</v>
      </c>
      <c r="D718" s="2" t="s">
        <v>13</v>
      </c>
      <c r="E718">
        <v>154.59</v>
      </c>
      <c r="F718">
        <v>7.71</v>
      </c>
      <c r="G718">
        <v>1</v>
      </c>
      <c r="H718">
        <f t="shared" si="11"/>
        <v>58562.910000000018</v>
      </c>
      <c r="I718" t="str">
        <f>IF(Sheet1[[#This Row],[Month_Revenue]] &lt; AVERAGE(Sheet1[Month_Revenue]), "Off-Peak", "Peak")</f>
        <v>Peak</v>
      </c>
      <c r="J718">
        <f xml:space="preserve"> IF(Sheet1[[#This Row],[Ad Spend]] &gt; 0, (Sheet1[[#This Row],[Profit]] / Sheet1[[#This Row],[Ad Spend]]), 0)</f>
        <v>19.050583657587548</v>
      </c>
      <c r="K718">
        <f>Sheet1[[#This Row],[Revenue]]-Sheet1[[#This Row],[Ad Spend]]</f>
        <v>146.88</v>
      </c>
      <c r="L718" s="2" t="s">
        <v>22</v>
      </c>
      <c r="M718">
        <v>4</v>
      </c>
      <c r="N718" s="2" t="s">
        <v>19</v>
      </c>
      <c r="O718">
        <v>154.59</v>
      </c>
    </row>
    <row r="719" spans="1:15" x14ac:dyDescent="0.3">
      <c r="A719" s="1">
        <v>45333</v>
      </c>
      <c r="B719" s="2" t="s">
        <v>24</v>
      </c>
      <c r="C719" s="2" t="s">
        <v>17</v>
      </c>
      <c r="D719" s="2" t="s">
        <v>18</v>
      </c>
      <c r="E719">
        <v>42.65</v>
      </c>
      <c r="F719">
        <v>38.72</v>
      </c>
      <c r="G719">
        <v>2</v>
      </c>
      <c r="H719">
        <f t="shared" si="11"/>
        <v>48675.899999999936</v>
      </c>
      <c r="I719" t="str">
        <f>IF(Sheet1[[#This Row],[Month_Revenue]] &lt; AVERAGE(Sheet1[Month_Revenue]), "Off-Peak", "Peak")</f>
        <v>Off-Peak</v>
      </c>
      <c r="J719">
        <f xml:space="preserve"> IF(Sheet1[[#This Row],[Ad Spend]] &gt; 0, (Sheet1[[#This Row],[Profit]] / Sheet1[[#This Row],[Ad Spend]]), 0)</f>
        <v>0.10149793388429752</v>
      </c>
      <c r="K719">
        <f>Sheet1[[#This Row],[Revenue]]-Sheet1[[#This Row],[Ad Spend]]</f>
        <v>3.9299999999999997</v>
      </c>
      <c r="L719" s="2" t="s">
        <v>22</v>
      </c>
      <c r="M719">
        <v>2</v>
      </c>
      <c r="N719" s="2" t="s">
        <v>15</v>
      </c>
      <c r="O719">
        <v>21.324999999999999</v>
      </c>
    </row>
    <row r="720" spans="1:15" x14ac:dyDescent="0.3">
      <c r="A720" s="1">
        <v>45412</v>
      </c>
      <c r="B720" s="2" t="s">
        <v>16</v>
      </c>
      <c r="C720" s="2" t="s">
        <v>21</v>
      </c>
      <c r="D720" s="2" t="s">
        <v>13</v>
      </c>
      <c r="E720">
        <v>160.33000000000001</v>
      </c>
      <c r="F720">
        <v>27.12</v>
      </c>
      <c r="G720">
        <v>3</v>
      </c>
      <c r="H720">
        <f t="shared" si="11"/>
        <v>58562.910000000018</v>
      </c>
      <c r="I720" t="str">
        <f>IF(Sheet1[[#This Row],[Month_Revenue]] &lt; AVERAGE(Sheet1[Month_Revenue]), "Off-Peak", "Peak")</f>
        <v>Peak</v>
      </c>
      <c r="J720">
        <f xml:space="preserve"> IF(Sheet1[[#This Row],[Ad Spend]] &gt; 0, (Sheet1[[#This Row],[Profit]] / Sheet1[[#This Row],[Ad Spend]]), 0)</f>
        <v>4.9118731563421827</v>
      </c>
      <c r="K720">
        <f>Sheet1[[#This Row],[Revenue]]-Sheet1[[#This Row],[Ad Spend]]</f>
        <v>133.21</v>
      </c>
      <c r="L720" s="2" t="s">
        <v>14</v>
      </c>
      <c r="M720">
        <v>4</v>
      </c>
      <c r="N720" s="2" t="s">
        <v>19</v>
      </c>
      <c r="O720">
        <v>53.443333333333335</v>
      </c>
    </row>
    <row r="721" spans="1:15" x14ac:dyDescent="0.3">
      <c r="A721" s="1">
        <v>45305</v>
      </c>
      <c r="B721" s="2" t="s">
        <v>24</v>
      </c>
      <c r="C721" s="2" t="s">
        <v>17</v>
      </c>
      <c r="D721" s="2" t="s">
        <v>18</v>
      </c>
      <c r="E721">
        <v>183.1</v>
      </c>
      <c r="F721">
        <v>12.92</v>
      </c>
      <c r="G721">
        <v>3</v>
      </c>
      <c r="H721">
        <f t="shared" si="11"/>
        <v>61207.979999999989</v>
      </c>
      <c r="I721" t="str">
        <f>IF(Sheet1[[#This Row],[Month_Revenue]] &lt; AVERAGE(Sheet1[Month_Revenue]), "Off-Peak", "Peak")</f>
        <v>Peak</v>
      </c>
      <c r="J721">
        <f xml:space="preserve"> IF(Sheet1[[#This Row],[Ad Spend]] &gt; 0, (Sheet1[[#This Row],[Profit]] / Sheet1[[#This Row],[Ad Spend]]), 0)</f>
        <v>13.171826625386997</v>
      </c>
      <c r="K721">
        <f>Sheet1[[#This Row],[Revenue]]-Sheet1[[#This Row],[Ad Spend]]</f>
        <v>170.18</v>
      </c>
      <c r="L721" s="2" t="s">
        <v>22</v>
      </c>
      <c r="M721">
        <v>1</v>
      </c>
      <c r="N721" s="2" t="s">
        <v>15</v>
      </c>
      <c r="O721">
        <v>61.033333333333331</v>
      </c>
    </row>
    <row r="722" spans="1:15" x14ac:dyDescent="0.3">
      <c r="A722" s="1">
        <v>45369</v>
      </c>
      <c r="B722" s="2" t="s">
        <v>20</v>
      </c>
      <c r="C722" s="2" t="s">
        <v>17</v>
      </c>
      <c r="D722" s="2" t="s">
        <v>18</v>
      </c>
      <c r="E722">
        <v>115.15</v>
      </c>
      <c r="F722">
        <v>5.95</v>
      </c>
      <c r="G722">
        <v>3</v>
      </c>
      <c r="H722">
        <f t="shared" si="11"/>
        <v>54735.250000000029</v>
      </c>
      <c r="I722" t="str">
        <f>IF(Sheet1[[#This Row],[Month_Revenue]] &lt; AVERAGE(Sheet1[Month_Revenue]), "Off-Peak", "Peak")</f>
        <v>Off-Peak</v>
      </c>
      <c r="J722">
        <f xml:space="preserve"> IF(Sheet1[[#This Row],[Ad Spend]] &gt; 0, (Sheet1[[#This Row],[Profit]] / Sheet1[[#This Row],[Ad Spend]]), 0)</f>
        <v>18.352941176470587</v>
      </c>
      <c r="K722">
        <f>Sheet1[[#This Row],[Revenue]]-Sheet1[[#This Row],[Ad Spend]]</f>
        <v>109.2</v>
      </c>
      <c r="L722" s="2" t="s">
        <v>14</v>
      </c>
      <c r="M722">
        <v>3</v>
      </c>
      <c r="N722" s="2" t="s">
        <v>19</v>
      </c>
      <c r="O722">
        <v>38.383333333333333</v>
      </c>
    </row>
    <row r="723" spans="1:15" x14ac:dyDescent="0.3">
      <c r="A723" s="1">
        <v>45356</v>
      </c>
      <c r="B723" s="2" t="s">
        <v>20</v>
      </c>
      <c r="C723" s="2" t="s">
        <v>12</v>
      </c>
      <c r="D723" s="2" t="s">
        <v>18</v>
      </c>
      <c r="E723">
        <v>109.97</v>
      </c>
      <c r="F723">
        <v>13.99</v>
      </c>
      <c r="G723">
        <v>0</v>
      </c>
      <c r="H723">
        <f t="shared" si="11"/>
        <v>54735.250000000029</v>
      </c>
      <c r="I723" t="str">
        <f>IF(Sheet1[[#This Row],[Month_Revenue]] &lt; AVERAGE(Sheet1[Month_Revenue]), "Off-Peak", "Peak")</f>
        <v>Off-Peak</v>
      </c>
      <c r="J723">
        <f xml:space="preserve"> IF(Sheet1[[#This Row],[Ad Spend]] &gt; 0, (Sheet1[[#This Row],[Profit]] / Sheet1[[#This Row],[Ad Spend]]), 0)</f>
        <v>6.8606147248034315</v>
      </c>
      <c r="K723">
        <f>Sheet1[[#This Row],[Revenue]]-Sheet1[[#This Row],[Ad Spend]]</f>
        <v>95.98</v>
      </c>
      <c r="L723" s="2" t="s">
        <v>14</v>
      </c>
      <c r="M723">
        <v>3</v>
      </c>
      <c r="N723" s="2" t="s">
        <v>19</v>
      </c>
      <c r="O723">
        <v>0</v>
      </c>
    </row>
    <row r="724" spans="1:15" x14ac:dyDescent="0.3">
      <c r="A724" s="1">
        <v>45392</v>
      </c>
      <c r="B724" s="2" t="s">
        <v>24</v>
      </c>
      <c r="C724" s="2" t="s">
        <v>12</v>
      </c>
      <c r="D724" s="2" t="s">
        <v>13</v>
      </c>
      <c r="E724">
        <v>26.94</v>
      </c>
      <c r="F724">
        <v>12.8</v>
      </c>
      <c r="G724">
        <v>2</v>
      </c>
      <c r="H724">
        <f t="shared" si="11"/>
        <v>58562.910000000018</v>
      </c>
      <c r="I724" t="str">
        <f>IF(Sheet1[[#This Row],[Month_Revenue]] &lt; AVERAGE(Sheet1[Month_Revenue]), "Off-Peak", "Peak")</f>
        <v>Peak</v>
      </c>
      <c r="J724">
        <f xml:space="preserve"> IF(Sheet1[[#This Row],[Ad Spend]] &gt; 0, (Sheet1[[#This Row],[Profit]] / Sheet1[[#This Row],[Ad Spend]]), 0)</f>
        <v>1.1046875</v>
      </c>
      <c r="K724">
        <f>Sheet1[[#This Row],[Revenue]]-Sheet1[[#This Row],[Ad Spend]]</f>
        <v>14.14</v>
      </c>
      <c r="L724" s="2" t="s">
        <v>14</v>
      </c>
      <c r="M724">
        <v>4</v>
      </c>
      <c r="N724" s="2" t="s">
        <v>19</v>
      </c>
      <c r="O724">
        <v>13.47</v>
      </c>
    </row>
    <row r="725" spans="1:15" x14ac:dyDescent="0.3">
      <c r="A725" s="1">
        <v>45336</v>
      </c>
      <c r="B725" s="2" t="s">
        <v>20</v>
      </c>
      <c r="C725" s="2" t="s">
        <v>21</v>
      </c>
      <c r="D725" s="2" t="s">
        <v>18</v>
      </c>
      <c r="E725">
        <v>155.61000000000001</v>
      </c>
      <c r="F725">
        <v>41.32</v>
      </c>
      <c r="G725">
        <v>2</v>
      </c>
      <c r="H725">
        <f t="shared" si="11"/>
        <v>48675.899999999936</v>
      </c>
      <c r="I725" t="str">
        <f>IF(Sheet1[[#This Row],[Month_Revenue]] &lt; AVERAGE(Sheet1[Month_Revenue]), "Off-Peak", "Peak")</f>
        <v>Off-Peak</v>
      </c>
      <c r="J725">
        <f xml:space="preserve"> IF(Sheet1[[#This Row],[Ad Spend]] &gt; 0, (Sheet1[[#This Row],[Profit]] / Sheet1[[#This Row],[Ad Spend]]), 0)</f>
        <v>2.7659728944820916</v>
      </c>
      <c r="K725">
        <f>Sheet1[[#This Row],[Revenue]]-Sheet1[[#This Row],[Ad Spend]]</f>
        <v>114.29000000000002</v>
      </c>
      <c r="L725" s="2" t="s">
        <v>14</v>
      </c>
      <c r="M725">
        <v>2</v>
      </c>
      <c r="N725" s="2" t="s">
        <v>15</v>
      </c>
      <c r="O725">
        <v>77.805000000000007</v>
      </c>
    </row>
    <row r="726" spans="1:15" x14ac:dyDescent="0.3">
      <c r="A726" s="1">
        <v>45381</v>
      </c>
      <c r="B726" s="2" t="s">
        <v>24</v>
      </c>
      <c r="C726" s="2" t="s">
        <v>17</v>
      </c>
      <c r="D726" s="2" t="s">
        <v>18</v>
      </c>
      <c r="E726">
        <v>190.52</v>
      </c>
      <c r="F726">
        <v>19.54</v>
      </c>
      <c r="G726">
        <v>3</v>
      </c>
      <c r="H726">
        <f t="shared" si="11"/>
        <v>54735.250000000029</v>
      </c>
      <c r="I726" t="str">
        <f>IF(Sheet1[[#This Row],[Month_Revenue]] &lt; AVERAGE(Sheet1[Month_Revenue]), "Off-Peak", "Peak")</f>
        <v>Off-Peak</v>
      </c>
      <c r="J726">
        <f xml:space="preserve"> IF(Sheet1[[#This Row],[Ad Spend]] &gt; 0, (Sheet1[[#This Row],[Profit]] / Sheet1[[#This Row],[Ad Spend]]), 0)</f>
        <v>8.7502558853633587</v>
      </c>
      <c r="K726">
        <f>Sheet1[[#This Row],[Revenue]]-Sheet1[[#This Row],[Ad Spend]]</f>
        <v>170.98000000000002</v>
      </c>
      <c r="L726" s="2" t="s">
        <v>14</v>
      </c>
      <c r="M726">
        <v>3</v>
      </c>
      <c r="N726" s="2" t="s">
        <v>19</v>
      </c>
      <c r="O726">
        <v>63.506666666666668</v>
      </c>
    </row>
    <row r="727" spans="1:15" x14ac:dyDescent="0.3">
      <c r="A727" s="1">
        <v>45301</v>
      </c>
      <c r="B727" s="2" t="s">
        <v>20</v>
      </c>
      <c r="C727" s="2" t="s">
        <v>17</v>
      </c>
      <c r="D727" s="2" t="s">
        <v>13</v>
      </c>
      <c r="E727">
        <v>96.09</v>
      </c>
      <c r="F727">
        <v>23.11</v>
      </c>
      <c r="G727">
        <v>3</v>
      </c>
      <c r="H727">
        <f t="shared" si="11"/>
        <v>61207.979999999989</v>
      </c>
      <c r="I727" t="str">
        <f>IF(Sheet1[[#This Row],[Month_Revenue]] &lt; AVERAGE(Sheet1[Month_Revenue]), "Off-Peak", "Peak")</f>
        <v>Peak</v>
      </c>
      <c r="J727">
        <f xml:space="preserve"> IF(Sheet1[[#This Row],[Ad Spend]] &gt; 0, (Sheet1[[#This Row],[Profit]] / Sheet1[[#This Row],[Ad Spend]]), 0)</f>
        <v>3.1579402855906538</v>
      </c>
      <c r="K727">
        <f>Sheet1[[#This Row],[Revenue]]-Sheet1[[#This Row],[Ad Spend]]</f>
        <v>72.98</v>
      </c>
      <c r="L727" s="2" t="s">
        <v>14</v>
      </c>
      <c r="M727">
        <v>1</v>
      </c>
      <c r="N727" s="2" t="s">
        <v>15</v>
      </c>
      <c r="O727">
        <v>32.03</v>
      </c>
    </row>
    <row r="728" spans="1:15" x14ac:dyDescent="0.3">
      <c r="A728" s="1">
        <v>45293</v>
      </c>
      <c r="B728" s="2" t="s">
        <v>11</v>
      </c>
      <c r="C728" s="2" t="s">
        <v>21</v>
      </c>
      <c r="D728" s="2" t="s">
        <v>18</v>
      </c>
      <c r="E728">
        <v>83.96</v>
      </c>
      <c r="F728">
        <v>3.38</v>
      </c>
      <c r="G728">
        <v>2</v>
      </c>
      <c r="H728">
        <f t="shared" si="11"/>
        <v>61207.979999999989</v>
      </c>
      <c r="I728" t="str">
        <f>IF(Sheet1[[#This Row],[Month_Revenue]] &lt; AVERAGE(Sheet1[Month_Revenue]), "Off-Peak", "Peak")</f>
        <v>Peak</v>
      </c>
      <c r="J728">
        <f xml:space="preserve"> IF(Sheet1[[#This Row],[Ad Spend]] &gt; 0, (Sheet1[[#This Row],[Profit]] / Sheet1[[#This Row],[Ad Spend]]), 0)</f>
        <v>23.840236686390533</v>
      </c>
      <c r="K728">
        <f>Sheet1[[#This Row],[Revenue]]-Sheet1[[#This Row],[Ad Spend]]</f>
        <v>80.58</v>
      </c>
      <c r="L728" s="2" t="s">
        <v>14</v>
      </c>
      <c r="M728">
        <v>1</v>
      </c>
      <c r="N728" s="2" t="s">
        <v>15</v>
      </c>
      <c r="O728">
        <v>41.98</v>
      </c>
    </row>
    <row r="729" spans="1:15" x14ac:dyDescent="0.3">
      <c r="A729" s="1">
        <v>45387</v>
      </c>
      <c r="B729" s="2" t="s">
        <v>11</v>
      </c>
      <c r="C729" s="2" t="s">
        <v>17</v>
      </c>
      <c r="D729" s="2" t="s">
        <v>13</v>
      </c>
      <c r="E729">
        <v>148.84</v>
      </c>
      <c r="F729">
        <v>9.1</v>
      </c>
      <c r="G729">
        <v>1</v>
      </c>
      <c r="H729">
        <f t="shared" si="11"/>
        <v>58562.910000000018</v>
      </c>
      <c r="I729" t="str">
        <f>IF(Sheet1[[#This Row],[Month_Revenue]] &lt; AVERAGE(Sheet1[Month_Revenue]), "Off-Peak", "Peak")</f>
        <v>Peak</v>
      </c>
      <c r="J729">
        <f xml:space="preserve"> IF(Sheet1[[#This Row],[Ad Spend]] &gt; 0, (Sheet1[[#This Row],[Profit]] / Sheet1[[#This Row],[Ad Spend]]), 0)</f>
        <v>15.356043956043958</v>
      </c>
      <c r="K729">
        <f>Sheet1[[#This Row],[Revenue]]-Sheet1[[#This Row],[Ad Spend]]</f>
        <v>139.74</v>
      </c>
      <c r="L729" s="2" t="s">
        <v>14</v>
      </c>
      <c r="M729">
        <v>4</v>
      </c>
      <c r="N729" s="2" t="s">
        <v>19</v>
      </c>
      <c r="O729">
        <v>148.84</v>
      </c>
    </row>
    <row r="730" spans="1:15" x14ac:dyDescent="0.3">
      <c r="A730" s="1">
        <v>45398</v>
      </c>
      <c r="B730" s="2" t="s">
        <v>16</v>
      </c>
      <c r="C730" s="2" t="s">
        <v>17</v>
      </c>
      <c r="D730" s="2" t="s">
        <v>18</v>
      </c>
      <c r="E730">
        <v>61.34</v>
      </c>
      <c r="F730">
        <v>26.56</v>
      </c>
      <c r="G730">
        <v>1</v>
      </c>
      <c r="H730">
        <f t="shared" si="11"/>
        <v>58562.910000000018</v>
      </c>
      <c r="I730" t="str">
        <f>IF(Sheet1[[#This Row],[Month_Revenue]] &lt; AVERAGE(Sheet1[Month_Revenue]), "Off-Peak", "Peak")</f>
        <v>Peak</v>
      </c>
      <c r="J730">
        <f xml:space="preserve"> IF(Sheet1[[#This Row],[Ad Spend]] &gt; 0, (Sheet1[[#This Row],[Profit]] / Sheet1[[#This Row],[Ad Spend]]), 0)</f>
        <v>1.3094879518072291</v>
      </c>
      <c r="K730">
        <f>Sheet1[[#This Row],[Revenue]]-Sheet1[[#This Row],[Ad Spend]]</f>
        <v>34.78</v>
      </c>
      <c r="L730" s="2" t="s">
        <v>14</v>
      </c>
      <c r="M730">
        <v>4</v>
      </c>
      <c r="N730" s="2" t="s">
        <v>19</v>
      </c>
      <c r="O730">
        <v>61.34</v>
      </c>
    </row>
    <row r="731" spans="1:15" x14ac:dyDescent="0.3">
      <c r="A731" s="1">
        <v>45312</v>
      </c>
      <c r="B731" s="2" t="s">
        <v>24</v>
      </c>
      <c r="C731" s="2" t="s">
        <v>17</v>
      </c>
      <c r="D731" s="2" t="s">
        <v>18</v>
      </c>
      <c r="E731">
        <v>32.75</v>
      </c>
      <c r="F731">
        <v>16.13</v>
      </c>
      <c r="G731">
        <v>3</v>
      </c>
      <c r="H731">
        <f t="shared" si="11"/>
        <v>61207.979999999989</v>
      </c>
      <c r="I731" t="str">
        <f>IF(Sheet1[[#This Row],[Month_Revenue]] &lt; AVERAGE(Sheet1[Month_Revenue]), "Off-Peak", "Peak")</f>
        <v>Peak</v>
      </c>
      <c r="J731">
        <f xml:space="preserve"> IF(Sheet1[[#This Row],[Ad Spend]] &gt; 0, (Sheet1[[#This Row],[Profit]] / Sheet1[[#This Row],[Ad Spend]]), 0)</f>
        <v>1.0303781773093617</v>
      </c>
      <c r="K731">
        <f>Sheet1[[#This Row],[Revenue]]-Sheet1[[#This Row],[Ad Spend]]</f>
        <v>16.62</v>
      </c>
      <c r="L731" s="2" t="s">
        <v>14</v>
      </c>
      <c r="M731">
        <v>1</v>
      </c>
      <c r="N731" s="2" t="s">
        <v>15</v>
      </c>
      <c r="O731">
        <v>10.916666666666666</v>
      </c>
    </row>
    <row r="732" spans="1:15" x14ac:dyDescent="0.3">
      <c r="A732" s="1">
        <v>45339</v>
      </c>
      <c r="B732" s="2" t="s">
        <v>20</v>
      </c>
      <c r="C732" s="2" t="s">
        <v>12</v>
      </c>
      <c r="D732" s="2" t="s">
        <v>13</v>
      </c>
      <c r="E732">
        <v>73.510000000000005</v>
      </c>
      <c r="F732">
        <v>27.73</v>
      </c>
      <c r="G732">
        <v>0</v>
      </c>
      <c r="H732">
        <f t="shared" si="11"/>
        <v>48675.899999999936</v>
      </c>
      <c r="I732" t="str">
        <f>IF(Sheet1[[#This Row],[Month_Revenue]] &lt; AVERAGE(Sheet1[Month_Revenue]), "Off-Peak", "Peak")</f>
        <v>Off-Peak</v>
      </c>
      <c r="J732">
        <f xml:space="preserve"> IF(Sheet1[[#This Row],[Ad Spend]] &gt; 0, (Sheet1[[#This Row],[Profit]] / Sheet1[[#This Row],[Ad Spend]]), 0)</f>
        <v>1.6509195816804905</v>
      </c>
      <c r="K732">
        <f>Sheet1[[#This Row],[Revenue]]-Sheet1[[#This Row],[Ad Spend]]</f>
        <v>45.78</v>
      </c>
      <c r="L732" s="2" t="s">
        <v>22</v>
      </c>
      <c r="M732">
        <v>2</v>
      </c>
      <c r="N732" s="2" t="s">
        <v>15</v>
      </c>
      <c r="O732">
        <v>0</v>
      </c>
    </row>
    <row r="733" spans="1:15" x14ac:dyDescent="0.3">
      <c r="A733" s="1">
        <v>45397</v>
      </c>
      <c r="B733" s="2" t="s">
        <v>24</v>
      </c>
      <c r="C733" s="2" t="s">
        <v>12</v>
      </c>
      <c r="D733" s="2" t="s">
        <v>18</v>
      </c>
      <c r="E733">
        <v>170.27</v>
      </c>
      <c r="F733">
        <v>18.09</v>
      </c>
      <c r="G733">
        <v>2</v>
      </c>
      <c r="H733">
        <f t="shared" si="11"/>
        <v>58562.910000000018</v>
      </c>
      <c r="I733" t="str">
        <f>IF(Sheet1[[#This Row],[Month_Revenue]] &lt; AVERAGE(Sheet1[Month_Revenue]), "Off-Peak", "Peak")</f>
        <v>Peak</v>
      </c>
      <c r="J733">
        <f xml:space="preserve"> IF(Sheet1[[#This Row],[Ad Spend]] &gt; 0, (Sheet1[[#This Row],[Profit]] / Sheet1[[#This Row],[Ad Spend]]), 0)</f>
        <v>8.4123825317855179</v>
      </c>
      <c r="K733">
        <f>Sheet1[[#This Row],[Revenue]]-Sheet1[[#This Row],[Ad Spend]]</f>
        <v>152.18</v>
      </c>
      <c r="L733" s="2" t="s">
        <v>14</v>
      </c>
      <c r="M733">
        <v>4</v>
      </c>
      <c r="N733" s="2" t="s">
        <v>19</v>
      </c>
      <c r="O733">
        <v>85.135000000000005</v>
      </c>
    </row>
    <row r="734" spans="1:15" x14ac:dyDescent="0.3">
      <c r="A734" s="1">
        <v>45305</v>
      </c>
      <c r="B734" s="2" t="s">
        <v>23</v>
      </c>
      <c r="C734" s="2" t="s">
        <v>12</v>
      </c>
      <c r="D734" s="2" t="s">
        <v>18</v>
      </c>
      <c r="E734">
        <v>80.81</v>
      </c>
      <c r="F734">
        <v>7.55</v>
      </c>
      <c r="G734">
        <v>2</v>
      </c>
      <c r="H734">
        <f t="shared" si="11"/>
        <v>61207.979999999989</v>
      </c>
      <c r="I734" t="str">
        <f>IF(Sheet1[[#This Row],[Month_Revenue]] &lt; AVERAGE(Sheet1[Month_Revenue]), "Off-Peak", "Peak")</f>
        <v>Peak</v>
      </c>
      <c r="J734">
        <f xml:space="preserve"> IF(Sheet1[[#This Row],[Ad Spend]] &gt; 0, (Sheet1[[#This Row],[Profit]] / Sheet1[[#This Row],[Ad Spend]]), 0)</f>
        <v>9.7033112582781467</v>
      </c>
      <c r="K734">
        <f>Sheet1[[#This Row],[Revenue]]-Sheet1[[#This Row],[Ad Spend]]</f>
        <v>73.260000000000005</v>
      </c>
      <c r="L734" s="2" t="s">
        <v>22</v>
      </c>
      <c r="M734">
        <v>1</v>
      </c>
      <c r="N734" s="2" t="s">
        <v>15</v>
      </c>
      <c r="O734">
        <v>40.405000000000001</v>
      </c>
    </row>
    <row r="735" spans="1:15" x14ac:dyDescent="0.3">
      <c r="A735" s="1">
        <v>45308</v>
      </c>
      <c r="B735" s="2" t="s">
        <v>24</v>
      </c>
      <c r="C735" s="2" t="s">
        <v>21</v>
      </c>
      <c r="D735" s="2" t="s">
        <v>18</v>
      </c>
      <c r="E735">
        <v>101.07</v>
      </c>
      <c r="F735">
        <v>49.54</v>
      </c>
      <c r="G735">
        <v>3</v>
      </c>
      <c r="H735">
        <f t="shared" si="11"/>
        <v>61207.979999999989</v>
      </c>
      <c r="I735" t="str">
        <f>IF(Sheet1[[#This Row],[Month_Revenue]] &lt; AVERAGE(Sheet1[Month_Revenue]), "Off-Peak", "Peak")</f>
        <v>Peak</v>
      </c>
      <c r="J735">
        <f xml:space="preserve"> IF(Sheet1[[#This Row],[Ad Spend]] &gt; 0, (Sheet1[[#This Row],[Profit]] / Sheet1[[#This Row],[Ad Spend]]), 0)</f>
        <v>1.0401695599515541</v>
      </c>
      <c r="K735">
        <f>Sheet1[[#This Row],[Revenue]]-Sheet1[[#This Row],[Ad Spend]]</f>
        <v>51.529999999999994</v>
      </c>
      <c r="L735" s="2" t="s">
        <v>22</v>
      </c>
      <c r="M735">
        <v>1</v>
      </c>
      <c r="N735" s="2" t="s">
        <v>15</v>
      </c>
      <c r="O735">
        <v>33.69</v>
      </c>
    </row>
    <row r="736" spans="1:15" x14ac:dyDescent="0.3">
      <c r="A736" s="1">
        <v>45301</v>
      </c>
      <c r="B736" s="2" t="s">
        <v>16</v>
      </c>
      <c r="C736" s="2" t="s">
        <v>12</v>
      </c>
      <c r="D736" s="2" t="s">
        <v>18</v>
      </c>
      <c r="E736">
        <v>126.91</v>
      </c>
      <c r="F736">
        <v>18.07</v>
      </c>
      <c r="G736">
        <v>2</v>
      </c>
      <c r="H736">
        <f t="shared" si="11"/>
        <v>61207.979999999989</v>
      </c>
      <c r="I736" t="str">
        <f>IF(Sheet1[[#This Row],[Month_Revenue]] &lt; AVERAGE(Sheet1[Month_Revenue]), "Off-Peak", "Peak")</f>
        <v>Peak</v>
      </c>
      <c r="J736">
        <f xml:space="preserve"> IF(Sheet1[[#This Row],[Ad Spend]] &gt; 0, (Sheet1[[#This Row],[Profit]] / Sheet1[[#This Row],[Ad Spend]]), 0)</f>
        <v>6.0232429441062534</v>
      </c>
      <c r="K736">
        <f>Sheet1[[#This Row],[Revenue]]-Sheet1[[#This Row],[Ad Spend]]</f>
        <v>108.84</v>
      </c>
      <c r="L736" s="2" t="s">
        <v>14</v>
      </c>
      <c r="M736">
        <v>1</v>
      </c>
      <c r="N736" s="2" t="s">
        <v>15</v>
      </c>
      <c r="O736">
        <v>63.454999999999998</v>
      </c>
    </row>
    <row r="737" spans="1:15" x14ac:dyDescent="0.3">
      <c r="A737" s="1">
        <v>45324</v>
      </c>
      <c r="B737" s="2" t="s">
        <v>24</v>
      </c>
      <c r="C737" s="2" t="s">
        <v>12</v>
      </c>
      <c r="D737" s="2" t="s">
        <v>13</v>
      </c>
      <c r="E737">
        <v>174.05</v>
      </c>
      <c r="F737">
        <v>10.83</v>
      </c>
      <c r="G737">
        <v>0</v>
      </c>
      <c r="H737">
        <f t="shared" si="11"/>
        <v>48675.899999999936</v>
      </c>
      <c r="I737" t="str">
        <f>IF(Sheet1[[#This Row],[Month_Revenue]] &lt; AVERAGE(Sheet1[Month_Revenue]), "Off-Peak", "Peak")</f>
        <v>Off-Peak</v>
      </c>
      <c r="J737">
        <f xml:space="preserve"> IF(Sheet1[[#This Row],[Ad Spend]] &gt; 0, (Sheet1[[#This Row],[Profit]] / Sheet1[[#This Row],[Ad Spend]]), 0)</f>
        <v>15.071098799630656</v>
      </c>
      <c r="K737">
        <f>Sheet1[[#This Row],[Revenue]]-Sheet1[[#This Row],[Ad Spend]]</f>
        <v>163.22</v>
      </c>
      <c r="L737" s="2" t="s">
        <v>14</v>
      </c>
      <c r="M737">
        <v>2</v>
      </c>
      <c r="N737" s="2" t="s">
        <v>15</v>
      </c>
      <c r="O737">
        <v>0</v>
      </c>
    </row>
    <row r="738" spans="1:15" x14ac:dyDescent="0.3">
      <c r="A738" s="1">
        <v>45401</v>
      </c>
      <c r="B738" s="2" t="s">
        <v>16</v>
      </c>
      <c r="C738" s="2" t="s">
        <v>21</v>
      </c>
      <c r="D738" s="2" t="s">
        <v>18</v>
      </c>
      <c r="E738">
        <v>77.930000000000007</v>
      </c>
      <c r="F738">
        <v>24.85</v>
      </c>
      <c r="G738">
        <v>1</v>
      </c>
      <c r="H738">
        <f t="shared" si="11"/>
        <v>58562.910000000018</v>
      </c>
      <c r="I738" t="str">
        <f>IF(Sheet1[[#This Row],[Month_Revenue]] &lt; AVERAGE(Sheet1[Month_Revenue]), "Off-Peak", "Peak")</f>
        <v>Peak</v>
      </c>
      <c r="J738">
        <f xml:space="preserve"> IF(Sheet1[[#This Row],[Ad Spend]] &gt; 0, (Sheet1[[#This Row],[Profit]] / Sheet1[[#This Row],[Ad Spend]]), 0)</f>
        <v>2.136016096579477</v>
      </c>
      <c r="K738">
        <f>Sheet1[[#This Row],[Revenue]]-Sheet1[[#This Row],[Ad Spend]]</f>
        <v>53.080000000000005</v>
      </c>
      <c r="L738" s="2" t="s">
        <v>14</v>
      </c>
      <c r="M738">
        <v>4</v>
      </c>
      <c r="N738" s="2" t="s">
        <v>19</v>
      </c>
      <c r="O738">
        <v>77.930000000000007</v>
      </c>
    </row>
    <row r="739" spans="1:15" x14ac:dyDescent="0.3">
      <c r="A739" s="1">
        <v>45306</v>
      </c>
      <c r="B739" s="2" t="s">
        <v>24</v>
      </c>
      <c r="C739" s="2" t="s">
        <v>21</v>
      </c>
      <c r="D739" s="2" t="s">
        <v>18</v>
      </c>
      <c r="E739">
        <v>109.99</v>
      </c>
      <c r="F739">
        <v>15.77</v>
      </c>
      <c r="G739">
        <v>0</v>
      </c>
      <c r="H739">
        <f t="shared" si="11"/>
        <v>61207.979999999989</v>
      </c>
      <c r="I739" t="str">
        <f>IF(Sheet1[[#This Row],[Month_Revenue]] &lt; AVERAGE(Sheet1[Month_Revenue]), "Off-Peak", "Peak")</f>
        <v>Peak</v>
      </c>
      <c r="J739">
        <f xml:space="preserve"> IF(Sheet1[[#This Row],[Ad Spend]] &gt; 0, (Sheet1[[#This Row],[Profit]] / Sheet1[[#This Row],[Ad Spend]]), 0)</f>
        <v>5.9746353836398223</v>
      </c>
      <c r="K739">
        <f>Sheet1[[#This Row],[Revenue]]-Sheet1[[#This Row],[Ad Spend]]</f>
        <v>94.22</v>
      </c>
      <c r="L739" s="2" t="s">
        <v>14</v>
      </c>
      <c r="M739">
        <v>1</v>
      </c>
      <c r="N739" s="2" t="s">
        <v>15</v>
      </c>
      <c r="O739">
        <v>0</v>
      </c>
    </row>
    <row r="740" spans="1:15" x14ac:dyDescent="0.3">
      <c r="A740" s="1">
        <v>45334</v>
      </c>
      <c r="B740" s="2" t="s">
        <v>16</v>
      </c>
      <c r="C740" s="2" t="s">
        <v>17</v>
      </c>
      <c r="D740" s="2" t="s">
        <v>13</v>
      </c>
      <c r="E740">
        <v>145.1</v>
      </c>
      <c r="F740">
        <v>18.8</v>
      </c>
      <c r="G740">
        <v>1</v>
      </c>
      <c r="H740">
        <f t="shared" si="11"/>
        <v>48675.899999999936</v>
      </c>
      <c r="I740" t="str">
        <f>IF(Sheet1[[#This Row],[Month_Revenue]] &lt; AVERAGE(Sheet1[Month_Revenue]), "Off-Peak", "Peak")</f>
        <v>Off-Peak</v>
      </c>
      <c r="J740">
        <f xml:space="preserve"> IF(Sheet1[[#This Row],[Ad Spend]] &gt; 0, (Sheet1[[#This Row],[Profit]] / Sheet1[[#This Row],[Ad Spend]]), 0)</f>
        <v>6.7180851063829783</v>
      </c>
      <c r="K740">
        <f>Sheet1[[#This Row],[Revenue]]-Sheet1[[#This Row],[Ad Spend]]</f>
        <v>126.3</v>
      </c>
      <c r="L740" s="2" t="s">
        <v>14</v>
      </c>
      <c r="M740">
        <v>2</v>
      </c>
      <c r="N740" s="2" t="s">
        <v>15</v>
      </c>
      <c r="O740">
        <v>145.1</v>
      </c>
    </row>
    <row r="741" spans="1:15" x14ac:dyDescent="0.3">
      <c r="A741" s="1">
        <v>45366</v>
      </c>
      <c r="B741" s="2" t="s">
        <v>24</v>
      </c>
      <c r="C741" s="2" t="s">
        <v>21</v>
      </c>
      <c r="D741" s="2" t="s">
        <v>18</v>
      </c>
      <c r="E741">
        <v>82.99</v>
      </c>
      <c r="F741">
        <v>11.89</v>
      </c>
      <c r="G741">
        <v>0</v>
      </c>
      <c r="H741">
        <f t="shared" si="11"/>
        <v>54735.250000000029</v>
      </c>
      <c r="I741" t="str">
        <f>IF(Sheet1[[#This Row],[Month_Revenue]] &lt; AVERAGE(Sheet1[Month_Revenue]), "Off-Peak", "Peak")</f>
        <v>Off-Peak</v>
      </c>
      <c r="J741">
        <f xml:space="preserve"> IF(Sheet1[[#This Row],[Ad Spend]] &gt; 0, (Sheet1[[#This Row],[Profit]] / Sheet1[[#This Row],[Ad Spend]]), 0)</f>
        <v>5.9798149705634982</v>
      </c>
      <c r="K741">
        <f>Sheet1[[#This Row],[Revenue]]-Sheet1[[#This Row],[Ad Spend]]</f>
        <v>71.099999999999994</v>
      </c>
      <c r="L741" s="2" t="s">
        <v>22</v>
      </c>
      <c r="M741">
        <v>3</v>
      </c>
      <c r="N741" s="2" t="s">
        <v>19</v>
      </c>
      <c r="O741">
        <v>0</v>
      </c>
    </row>
    <row r="742" spans="1:15" x14ac:dyDescent="0.3">
      <c r="A742" s="1">
        <v>45293</v>
      </c>
      <c r="B742" s="2" t="s">
        <v>24</v>
      </c>
      <c r="C742" s="2" t="s">
        <v>21</v>
      </c>
      <c r="D742" s="2" t="s">
        <v>18</v>
      </c>
      <c r="E742">
        <v>181.98</v>
      </c>
      <c r="F742">
        <v>41.93</v>
      </c>
      <c r="G742">
        <v>0</v>
      </c>
      <c r="H742">
        <f t="shared" si="11"/>
        <v>61207.979999999989</v>
      </c>
      <c r="I742" t="str">
        <f>IF(Sheet1[[#This Row],[Month_Revenue]] &lt; AVERAGE(Sheet1[Month_Revenue]), "Off-Peak", "Peak")</f>
        <v>Peak</v>
      </c>
      <c r="J742">
        <f xml:space="preserve"> IF(Sheet1[[#This Row],[Ad Spend]] &gt; 0, (Sheet1[[#This Row],[Profit]] / Sheet1[[#This Row],[Ad Spend]]), 0)</f>
        <v>3.340090627235869</v>
      </c>
      <c r="K742">
        <f>Sheet1[[#This Row],[Revenue]]-Sheet1[[#This Row],[Ad Spend]]</f>
        <v>140.04999999999998</v>
      </c>
      <c r="L742" s="2" t="s">
        <v>14</v>
      </c>
      <c r="M742">
        <v>1</v>
      </c>
      <c r="N742" s="2" t="s">
        <v>15</v>
      </c>
      <c r="O742">
        <v>0</v>
      </c>
    </row>
    <row r="743" spans="1:15" x14ac:dyDescent="0.3">
      <c r="A743" s="1">
        <v>45304</v>
      </c>
      <c r="B743" s="2" t="s">
        <v>16</v>
      </c>
      <c r="C743" s="2" t="s">
        <v>12</v>
      </c>
      <c r="D743" s="2" t="s">
        <v>18</v>
      </c>
      <c r="E743">
        <v>80.08</v>
      </c>
      <c r="F743">
        <v>13.57</v>
      </c>
      <c r="G743">
        <v>3</v>
      </c>
      <c r="H743">
        <f t="shared" si="11"/>
        <v>61207.979999999989</v>
      </c>
      <c r="I743" t="str">
        <f>IF(Sheet1[[#This Row],[Month_Revenue]] &lt; AVERAGE(Sheet1[Month_Revenue]), "Off-Peak", "Peak")</f>
        <v>Peak</v>
      </c>
      <c r="J743">
        <f xml:space="preserve"> IF(Sheet1[[#This Row],[Ad Spend]] &gt; 0, (Sheet1[[#This Row],[Profit]] / Sheet1[[#This Row],[Ad Spend]]), 0)</f>
        <v>4.9012527634487837</v>
      </c>
      <c r="K743">
        <f>Sheet1[[#This Row],[Revenue]]-Sheet1[[#This Row],[Ad Spend]]</f>
        <v>66.509999999999991</v>
      </c>
      <c r="L743" s="2" t="s">
        <v>14</v>
      </c>
      <c r="M743">
        <v>1</v>
      </c>
      <c r="N743" s="2" t="s">
        <v>15</v>
      </c>
      <c r="O743">
        <v>26.693333333333332</v>
      </c>
    </row>
    <row r="744" spans="1:15" x14ac:dyDescent="0.3">
      <c r="A744" s="1">
        <v>45307</v>
      </c>
      <c r="B744" s="2" t="s">
        <v>16</v>
      </c>
      <c r="C744" s="2" t="s">
        <v>21</v>
      </c>
      <c r="D744" s="2" t="s">
        <v>18</v>
      </c>
      <c r="E744">
        <v>154.30000000000001</v>
      </c>
      <c r="F744">
        <v>45.17</v>
      </c>
      <c r="G744">
        <v>2</v>
      </c>
      <c r="H744">
        <f t="shared" si="11"/>
        <v>61207.979999999989</v>
      </c>
      <c r="I744" t="str">
        <f>IF(Sheet1[[#This Row],[Month_Revenue]] &lt; AVERAGE(Sheet1[Month_Revenue]), "Off-Peak", "Peak")</f>
        <v>Peak</v>
      </c>
      <c r="J744">
        <f xml:space="preserve"> IF(Sheet1[[#This Row],[Ad Spend]] &gt; 0, (Sheet1[[#This Row],[Profit]] / Sheet1[[#This Row],[Ad Spend]]), 0)</f>
        <v>2.4159840602169584</v>
      </c>
      <c r="K744">
        <f>Sheet1[[#This Row],[Revenue]]-Sheet1[[#This Row],[Ad Spend]]</f>
        <v>109.13000000000001</v>
      </c>
      <c r="L744" s="2" t="s">
        <v>14</v>
      </c>
      <c r="M744">
        <v>1</v>
      </c>
      <c r="N744" s="2" t="s">
        <v>15</v>
      </c>
      <c r="O744">
        <v>77.150000000000006</v>
      </c>
    </row>
    <row r="745" spans="1:15" x14ac:dyDescent="0.3">
      <c r="A745" s="1">
        <v>45321</v>
      </c>
      <c r="B745" s="2" t="s">
        <v>23</v>
      </c>
      <c r="C745" s="2" t="s">
        <v>17</v>
      </c>
      <c r="D745" s="2" t="s">
        <v>18</v>
      </c>
      <c r="E745">
        <v>139.44</v>
      </c>
      <c r="F745">
        <v>43.01</v>
      </c>
      <c r="G745">
        <v>1</v>
      </c>
      <c r="H745">
        <f t="shared" si="11"/>
        <v>61207.979999999989</v>
      </c>
      <c r="I745" t="str">
        <f>IF(Sheet1[[#This Row],[Month_Revenue]] &lt; AVERAGE(Sheet1[Month_Revenue]), "Off-Peak", "Peak")</f>
        <v>Peak</v>
      </c>
      <c r="J745">
        <f xml:space="preserve"> IF(Sheet1[[#This Row],[Ad Spend]] &gt; 0, (Sheet1[[#This Row],[Profit]] / Sheet1[[#This Row],[Ad Spend]]), 0)</f>
        <v>2.2420367356428739</v>
      </c>
      <c r="K745">
        <f>Sheet1[[#This Row],[Revenue]]-Sheet1[[#This Row],[Ad Spend]]</f>
        <v>96.43</v>
      </c>
      <c r="L745" s="2" t="s">
        <v>14</v>
      </c>
      <c r="M745">
        <v>1</v>
      </c>
      <c r="N745" s="2" t="s">
        <v>15</v>
      </c>
      <c r="O745">
        <v>139.44</v>
      </c>
    </row>
    <row r="746" spans="1:15" x14ac:dyDescent="0.3">
      <c r="A746" s="1">
        <v>45327</v>
      </c>
      <c r="B746" s="2" t="s">
        <v>24</v>
      </c>
      <c r="C746" s="2" t="s">
        <v>17</v>
      </c>
      <c r="D746" s="2" t="s">
        <v>18</v>
      </c>
      <c r="E746">
        <v>99.36</v>
      </c>
      <c r="F746">
        <v>26.76</v>
      </c>
      <c r="G746">
        <v>0</v>
      </c>
      <c r="H746">
        <f t="shared" si="11"/>
        <v>48675.899999999936</v>
      </c>
      <c r="I746" t="str">
        <f>IF(Sheet1[[#This Row],[Month_Revenue]] &lt; AVERAGE(Sheet1[Month_Revenue]), "Off-Peak", "Peak")</f>
        <v>Off-Peak</v>
      </c>
      <c r="J746">
        <f xml:space="preserve"> IF(Sheet1[[#This Row],[Ad Spend]] &gt; 0, (Sheet1[[#This Row],[Profit]] / Sheet1[[#This Row],[Ad Spend]]), 0)</f>
        <v>2.7130044843049324</v>
      </c>
      <c r="K746">
        <f>Sheet1[[#This Row],[Revenue]]-Sheet1[[#This Row],[Ad Spend]]</f>
        <v>72.599999999999994</v>
      </c>
      <c r="L746" s="2" t="s">
        <v>14</v>
      </c>
      <c r="M746">
        <v>2</v>
      </c>
      <c r="N746" s="2" t="s">
        <v>15</v>
      </c>
      <c r="O746">
        <v>0</v>
      </c>
    </row>
    <row r="747" spans="1:15" x14ac:dyDescent="0.3">
      <c r="A747" s="1">
        <v>45387</v>
      </c>
      <c r="B747" s="2" t="s">
        <v>16</v>
      </c>
      <c r="C747" s="2" t="s">
        <v>21</v>
      </c>
      <c r="D747" s="2" t="s">
        <v>13</v>
      </c>
      <c r="E747">
        <v>123.72</v>
      </c>
      <c r="F747">
        <v>12.81</v>
      </c>
      <c r="G747">
        <v>1</v>
      </c>
      <c r="H747">
        <f t="shared" si="11"/>
        <v>58562.910000000018</v>
      </c>
      <c r="I747" t="str">
        <f>IF(Sheet1[[#This Row],[Month_Revenue]] &lt; AVERAGE(Sheet1[Month_Revenue]), "Off-Peak", "Peak")</f>
        <v>Peak</v>
      </c>
      <c r="J747">
        <f xml:space="preserve"> IF(Sheet1[[#This Row],[Ad Spend]] &gt; 0, (Sheet1[[#This Row],[Profit]] / Sheet1[[#This Row],[Ad Spend]]), 0)</f>
        <v>8.6580796252927392</v>
      </c>
      <c r="K747">
        <f>Sheet1[[#This Row],[Revenue]]-Sheet1[[#This Row],[Ad Spend]]</f>
        <v>110.91</v>
      </c>
      <c r="L747" s="2" t="s">
        <v>14</v>
      </c>
      <c r="M747">
        <v>4</v>
      </c>
      <c r="N747" s="2" t="s">
        <v>19</v>
      </c>
      <c r="O747">
        <v>123.72</v>
      </c>
    </row>
    <row r="748" spans="1:15" x14ac:dyDescent="0.3">
      <c r="A748" s="1">
        <v>45391</v>
      </c>
      <c r="B748" s="2" t="s">
        <v>23</v>
      </c>
      <c r="C748" s="2" t="s">
        <v>12</v>
      </c>
      <c r="D748" s="2" t="s">
        <v>18</v>
      </c>
      <c r="E748">
        <v>176.85</v>
      </c>
      <c r="F748">
        <v>49.73</v>
      </c>
      <c r="G748">
        <v>3</v>
      </c>
      <c r="H748">
        <f t="shared" si="11"/>
        <v>58562.910000000018</v>
      </c>
      <c r="I748" t="str">
        <f>IF(Sheet1[[#This Row],[Month_Revenue]] &lt; AVERAGE(Sheet1[Month_Revenue]), "Off-Peak", "Peak")</f>
        <v>Peak</v>
      </c>
      <c r="J748">
        <f xml:space="preserve"> IF(Sheet1[[#This Row],[Ad Spend]] &gt; 0, (Sheet1[[#This Row],[Profit]] / Sheet1[[#This Row],[Ad Spend]]), 0)</f>
        <v>2.5562034988940279</v>
      </c>
      <c r="K748">
        <f>Sheet1[[#This Row],[Revenue]]-Sheet1[[#This Row],[Ad Spend]]</f>
        <v>127.12</v>
      </c>
      <c r="L748" s="2" t="s">
        <v>22</v>
      </c>
      <c r="M748">
        <v>4</v>
      </c>
      <c r="N748" s="2" t="s">
        <v>19</v>
      </c>
      <c r="O748">
        <v>58.949999999999996</v>
      </c>
    </row>
    <row r="749" spans="1:15" x14ac:dyDescent="0.3">
      <c r="A749" s="1">
        <v>45359</v>
      </c>
      <c r="B749" s="2" t="s">
        <v>11</v>
      </c>
      <c r="C749" s="2" t="s">
        <v>21</v>
      </c>
      <c r="D749" s="2" t="s">
        <v>13</v>
      </c>
      <c r="E749">
        <v>29.86</v>
      </c>
      <c r="F749">
        <v>13.82</v>
      </c>
      <c r="G749">
        <v>1</v>
      </c>
      <c r="H749">
        <f t="shared" si="11"/>
        <v>54735.250000000029</v>
      </c>
      <c r="I749" t="str">
        <f>IF(Sheet1[[#This Row],[Month_Revenue]] &lt; AVERAGE(Sheet1[Month_Revenue]), "Off-Peak", "Peak")</f>
        <v>Off-Peak</v>
      </c>
      <c r="J749">
        <f xml:space="preserve"> IF(Sheet1[[#This Row],[Ad Spend]] &gt; 0, (Sheet1[[#This Row],[Profit]] / Sheet1[[#This Row],[Ad Spend]]), 0)</f>
        <v>1.1606367583212733</v>
      </c>
      <c r="K749">
        <f>Sheet1[[#This Row],[Revenue]]-Sheet1[[#This Row],[Ad Spend]]</f>
        <v>16.04</v>
      </c>
      <c r="L749" s="2" t="s">
        <v>14</v>
      </c>
      <c r="M749">
        <v>3</v>
      </c>
      <c r="N749" s="2" t="s">
        <v>19</v>
      </c>
      <c r="O749">
        <v>29.86</v>
      </c>
    </row>
    <row r="750" spans="1:15" x14ac:dyDescent="0.3">
      <c r="A750" s="1">
        <v>45298</v>
      </c>
      <c r="B750" s="2" t="s">
        <v>20</v>
      </c>
      <c r="C750" s="2" t="s">
        <v>21</v>
      </c>
      <c r="D750" s="2" t="s">
        <v>18</v>
      </c>
      <c r="E750">
        <v>60.82</v>
      </c>
      <c r="F750">
        <v>42.5</v>
      </c>
      <c r="G750">
        <v>2</v>
      </c>
      <c r="H750">
        <f t="shared" si="11"/>
        <v>61207.979999999989</v>
      </c>
      <c r="I750" t="str">
        <f>IF(Sheet1[[#This Row],[Month_Revenue]] &lt; AVERAGE(Sheet1[Month_Revenue]), "Off-Peak", "Peak")</f>
        <v>Peak</v>
      </c>
      <c r="J750">
        <f xml:space="preserve"> IF(Sheet1[[#This Row],[Ad Spend]] &gt; 0, (Sheet1[[#This Row],[Profit]] / Sheet1[[#This Row],[Ad Spend]]), 0)</f>
        <v>0.43105882352941177</v>
      </c>
      <c r="K750">
        <f>Sheet1[[#This Row],[Revenue]]-Sheet1[[#This Row],[Ad Spend]]</f>
        <v>18.32</v>
      </c>
      <c r="L750" s="2" t="s">
        <v>14</v>
      </c>
      <c r="M750">
        <v>1</v>
      </c>
      <c r="N750" s="2" t="s">
        <v>15</v>
      </c>
      <c r="O750">
        <v>30.41</v>
      </c>
    </row>
    <row r="751" spans="1:15" x14ac:dyDescent="0.3">
      <c r="A751" s="1">
        <v>45397</v>
      </c>
      <c r="B751" s="2" t="s">
        <v>11</v>
      </c>
      <c r="C751" s="2" t="s">
        <v>17</v>
      </c>
      <c r="D751" s="2" t="s">
        <v>13</v>
      </c>
      <c r="E751">
        <v>178.12</v>
      </c>
      <c r="F751">
        <v>24.35</v>
      </c>
      <c r="G751">
        <v>1</v>
      </c>
      <c r="H751">
        <f t="shared" si="11"/>
        <v>58562.910000000018</v>
      </c>
      <c r="I751" t="str">
        <f>IF(Sheet1[[#This Row],[Month_Revenue]] &lt; AVERAGE(Sheet1[Month_Revenue]), "Off-Peak", "Peak")</f>
        <v>Peak</v>
      </c>
      <c r="J751">
        <f xml:space="preserve"> IF(Sheet1[[#This Row],[Ad Spend]] &gt; 0, (Sheet1[[#This Row],[Profit]] / Sheet1[[#This Row],[Ad Spend]]), 0)</f>
        <v>6.3149897330595479</v>
      </c>
      <c r="K751">
        <f>Sheet1[[#This Row],[Revenue]]-Sheet1[[#This Row],[Ad Spend]]</f>
        <v>153.77000000000001</v>
      </c>
      <c r="L751" s="2" t="s">
        <v>22</v>
      </c>
      <c r="M751">
        <v>4</v>
      </c>
      <c r="N751" s="2" t="s">
        <v>19</v>
      </c>
      <c r="O751">
        <v>178.12</v>
      </c>
    </row>
    <row r="752" spans="1:15" x14ac:dyDescent="0.3">
      <c r="A752" s="1">
        <v>45362</v>
      </c>
      <c r="B752" s="2" t="s">
        <v>24</v>
      </c>
      <c r="C752" s="2" t="s">
        <v>17</v>
      </c>
      <c r="D752" s="2" t="s">
        <v>18</v>
      </c>
      <c r="E752">
        <v>182.08</v>
      </c>
      <c r="F752">
        <v>40.590000000000003</v>
      </c>
      <c r="G752">
        <v>1</v>
      </c>
      <c r="H752">
        <f t="shared" si="11"/>
        <v>54735.250000000029</v>
      </c>
      <c r="I752" t="str">
        <f>IF(Sheet1[[#This Row],[Month_Revenue]] &lt; AVERAGE(Sheet1[Month_Revenue]), "Off-Peak", "Peak")</f>
        <v>Off-Peak</v>
      </c>
      <c r="J752">
        <f xml:space="preserve"> IF(Sheet1[[#This Row],[Ad Spend]] &gt; 0, (Sheet1[[#This Row],[Profit]] / Sheet1[[#This Row],[Ad Spend]]), 0)</f>
        <v>3.4858339492485833</v>
      </c>
      <c r="K752">
        <f>Sheet1[[#This Row],[Revenue]]-Sheet1[[#This Row],[Ad Spend]]</f>
        <v>141.49</v>
      </c>
      <c r="L752" s="2" t="s">
        <v>22</v>
      </c>
      <c r="M752">
        <v>3</v>
      </c>
      <c r="N752" s="2" t="s">
        <v>19</v>
      </c>
      <c r="O752">
        <v>182.08</v>
      </c>
    </row>
    <row r="753" spans="1:15" x14ac:dyDescent="0.3">
      <c r="A753" s="1">
        <v>45363</v>
      </c>
      <c r="B753" s="2" t="s">
        <v>16</v>
      </c>
      <c r="C753" s="2" t="s">
        <v>17</v>
      </c>
      <c r="D753" s="2" t="s">
        <v>18</v>
      </c>
      <c r="E753">
        <v>154.1</v>
      </c>
      <c r="F753">
        <v>12.27</v>
      </c>
      <c r="G753">
        <v>3</v>
      </c>
      <c r="H753">
        <f t="shared" si="11"/>
        <v>54735.250000000029</v>
      </c>
      <c r="I753" t="str">
        <f>IF(Sheet1[[#This Row],[Month_Revenue]] &lt; AVERAGE(Sheet1[Month_Revenue]), "Off-Peak", "Peak")</f>
        <v>Off-Peak</v>
      </c>
      <c r="J753">
        <f xml:space="preserve"> IF(Sheet1[[#This Row],[Ad Spend]] &gt; 0, (Sheet1[[#This Row],[Profit]] / Sheet1[[#This Row],[Ad Spend]]), 0)</f>
        <v>11.559087204563976</v>
      </c>
      <c r="K753">
        <f>Sheet1[[#This Row],[Revenue]]-Sheet1[[#This Row],[Ad Spend]]</f>
        <v>141.82999999999998</v>
      </c>
      <c r="L753" s="2" t="s">
        <v>22</v>
      </c>
      <c r="M753">
        <v>3</v>
      </c>
      <c r="N753" s="2" t="s">
        <v>19</v>
      </c>
      <c r="O753">
        <v>51.366666666666667</v>
      </c>
    </row>
    <row r="754" spans="1:15" x14ac:dyDescent="0.3">
      <c r="A754" s="1">
        <v>45321</v>
      </c>
      <c r="B754" s="2" t="s">
        <v>23</v>
      </c>
      <c r="C754" s="2" t="s">
        <v>17</v>
      </c>
      <c r="D754" s="2" t="s">
        <v>18</v>
      </c>
      <c r="E754">
        <v>57.09</v>
      </c>
      <c r="F754">
        <v>25.99</v>
      </c>
      <c r="G754">
        <v>1</v>
      </c>
      <c r="H754">
        <f t="shared" si="11"/>
        <v>61207.979999999989</v>
      </c>
      <c r="I754" t="str">
        <f>IF(Sheet1[[#This Row],[Month_Revenue]] &lt; AVERAGE(Sheet1[Month_Revenue]), "Off-Peak", "Peak")</f>
        <v>Peak</v>
      </c>
      <c r="J754">
        <f xml:space="preserve"> IF(Sheet1[[#This Row],[Ad Spend]] &gt; 0, (Sheet1[[#This Row],[Profit]] / Sheet1[[#This Row],[Ad Spend]]), 0)</f>
        <v>1.1966140823393616</v>
      </c>
      <c r="K754">
        <f>Sheet1[[#This Row],[Revenue]]-Sheet1[[#This Row],[Ad Spend]]</f>
        <v>31.100000000000005</v>
      </c>
      <c r="L754" s="2" t="s">
        <v>14</v>
      </c>
      <c r="M754">
        <v>1</v>
      </c>
      <c r="N754" s="2" t="s">
        <v>15</v>
      </c>
      <c r="O754">
        <v>57.09</v>
      </c>
    </row>
    <row r="755" spans="1:15" x14ac:dyDescent="0.3">
      <c r="A755" s="1">
        <v>45362</v>
      </c>
      <c r="B755" s="2" t="s">
        <v>24</v>
      </c>
      <c r="C755" s="2" t="s">
        <v>17</v>
      </c>
      <c r="D755" s="2" t="s">
        <v>18</v>
      </c>
      <c r="E755">
        <v>156.12</v>
      </c>
      <c r="F755">
        <v>29.7</v>
      </c>
      <c r="G755">
        <v>0</v>
      </c>
      <c r="H755">
        <f t="shared" si="11"/>
        <v>54735.250000000029</v>
      </c>
      <c r="I755" t="str">
        <f>IF(Sheet1[[#This Row],[Month_Revenue]] &lt; AVERAGE(Sheet1[Month_Revenue]), "Off-Peak", "Peak")</f>
        <v>Off-Peak</v>
      </c>
      <c r="J755">
        <f xml:space="preserve"> IF(Sheet1[[#This Row],[Ad Spend]] &gt; 0, (Sheet1[[#This Row],[Profit]] / Sheet1[[#This Row],[Ad Spend]]), 0)</f>
        <v>4.2565656565656571</v>
      </c>
      <c r="K755">
        <f>Sheet1[[#This Row],[Revenue]]-Sheet1[[#This Row],[Ad Spend]]</f>
        <v>126.42</v>
      </c>
      <c r="L755" s="2" t="s">
        <v>14</v>
      </c>
      <c r="M755">
        <v>3</v>
      </c>
      <c r="N755" s="2" t="s">
        <v>19</v>
      </c>
      <c r="O755">
        <v>0</v>
      </c>
    </row>
    <row r="756" spans="1:15" x14ac:dyDescent="0.3">
      <c r="A756" s="1">
        <v>45338</v>
      </c>
      <c r="B756" s="2" t="s">
        <v>11</v>
      </c>
      <c r="C756" s="2" t="s">
        <v>17</v>
      </c>
      <c r="D756" s="2" t="s">
        <v>13</v>
      </c>
      <c r="E756">
        <v>117.44</v>
      </c>
      <c r="F756">
        <v>27</v>
      </c>
      <c r="G756">
        <v>2</v>
      </c>
      <c r="H756">
        <f t="shared" si="11"/>
        <v>48675.899999999936</v>
      </c>
      <c r="I756" t="str">
        <f>IF(Sheet1[[#This Row],[Month_Revenue]] &lt; AVERAGE(Sheet1[Month_Revenue]), "Off-Peak", "Peak")</f>
        <v>Off-Peak</v>
      </c>
      <c r="J756">
        <f xml:space="preserve"> IF(Sheet1[[#This Row],[Ad Spend]] &gt; 0, (Sheet1[[#This Row],[Profit]] / Sheet1[[#This Row],[Ad Spend]]), 0)</f>
        <v>3.3496296296296295</v>
      </c>
      <c r="K756">
        <f>Sheet1[[#This Row],[Revenue]]-Sheet1[[#This Row],[Ad Spend]]</f>
        <v>90.44</v>
      </c>
      <c r="L756" s="2" t="s">
        <v>22</v>
      </c>
      <c r="M756">
        <v>2</v>
      </c>
      <c r="N756" s="2" t="s">
        <v>15</v>
      </c>
      <c r="O756">
        <v>58.72</v>
      </c>
    </row>
    <row r="757" spans="1:15" x14ac:dyDescent="0.3">
      <c r="A757" s="1">
        <v>45298</v>
      </c>
      <c r="B757" s="2" t="s">
        <v>24</v>
      </c>
      <c r="C757" s="2" t="s">
        <v>12</v>
      </c>
      <c r="D757" s="2" t="s">
        <v>18</v>
      </c>
      <c r="E757">
        <v>117.82</v>
      </c>
      <c r="F757">
        <v>8.7100000000000009</v>
      </c>
      <c r="G757">
        <v>0</v>
      </c>
      <c r="H757">
        <f t="shared" si="11"/>
        <v>61207.979999999989</v>
      </c>
      <c r="I757" t="str">
        <f>IF(Sheet1[[#This Row],[Month_Revenue]] &lt; AVERAGE(Sheet1[Month_Revenue]), "Off-Peak", "Peak")</f>
        <v>Peak</v>
      </c>
      <c r="J757">
        <f xml:space="preserve"> IF(Sheet1[[#This Row],[Ad Spend]] &gt; 0, (Sheet1[[#This Row],[Profit]] / Sheet1[[#This Row],[Ad Spend]]), 0)</f>
        <v>12.52698048220436</v>
      </c>
      <c r="K757">
        <f>Sheet1[[#This Row],[Revenue]]-Sheet1[[#This Row],[Ad Spend]]</f>
        <v>109.10999999999999</v>
      </c>
      <c r="L757" s="2" t="s">
        <v>14</v>
      </c>
      <c r="M757">
        <v>1</v>
      </c>
      <c r="N757" s="2" t="s">
        <v>15</v>
      </c>
      <c r="O757">
        <v>0</v>
      </c>
    </row>
    <row r="758" spans="1:15" x14ac:dyDescent="0.3">
      <c r="A758" s="1">
        <v>45303</v>
      </c>
      <c r="B758" s="2" t="s">
        <v>11</v>
      </c>
      <c r="C758" s="2" t="s">
        <v>21</v>
      </c>
      <c r="D758" s="2" t="s">
        <v>13</v>
      </c>
      <c r="E758">
        <v>77.66</v>
      </c>
      <c r="F758">
        <v>9.7200000000000006</v>
      </c>
      <c r="G758">
        <v>0</v>
      </c>
      <c r="H758">
        <f t="shared" si="11"/>
        <v>61207.979999999989</v>
      </c>
      <c r="I758" t="str">
        <f>IF(Sheet1[[#This Row],[Month_Revenue]] &lt; AVERAGE(Sheet1[Month_Revenue]), "Off-Peak", "Peak")</f>
        <v>Peak</v>
      </c>
      <c r="J758">
        <f xml:space="preserve"> IF(Sheet1[[#This Row],[Ad Spend]] &gt; 0, (Sheet1[[#This Row],[Profit]] / Sheet1[[#This Row],[Ad Spend]]), 0)</f>
        <v>6.9897119341563778</v>
      </c>
      <c r="K758">
        <f>Sheet1[[#This Row],[Revenue]]-Sheet1[[#This Row],[Ad Spend]]</f>
        <v>67.94</v>
      </c>
      <c r="L758" s="2" t="s">
        <v>22</v>
      </c>
      <c r="M758">
        <v>1</v>
      </c>
      <c r="N758" s="2" t="s">
        <v>15</v>
      </c>
      <c r="O758">
        <v>0</v>
      </c>
    </row>
    <row r="759" spans="1:15" x14ac:dyDescent="0.3">
      <c r="A759" s="1">
        <v>45376</v>
      </c>
      <c r="B759" s="2" t="s">
        <v>11</v>
      </c>
      <c r="C759" s="2" t="s">
        <v>12</v>
      </c>
      <c r="D759" s="2" t="s">
        <v>18</v>
      </c>
      <c r="E759">
        <v>104.25</v>
      </c>
      <c r="F759">
        <v>35.67</v>
      </c>
      <c r="G759">
        <v>2</v>
      </c>
      <c r="H759">
        <f t="shared" si="11"/>
        <v>54735.250000000029</v>
      </c>
      <c r="I759" t="str">
        <f>IF(Sheet1[[#This Row],[Month_Revenue]] &lt; AVERAGE(Sheet1[Month_Revenue]), "Off-Peak", "Peak")</f>
        <v>Off-Peak</v>
      </c>
      <c r="J759">
        <f xml:space="preserve"> IF(Sheet1[[#This Row],[Ad Spend]] &gt; 0, (Sheet1[[#This Row],[Profit]] / Sheet1[[#This Row],[Ad Spend]]), 0)</f>
        <v>1.9226240538267449</v>
      </c>
      <c r="K759">
        <f>Sheet1[[#This Row],[Revenue]]-Sheet1[[#This Row],[Ad Spend]]</f>
        <v>68.58</v>
      </c>
      <c r="L759" s="2" t="s">
        <v>22</v>
      </c>
      <c r="M759">
        <v>3</v>
      </c>
      <c r="N759" s="2" t="s">
        <v>19</v>
      </c>
      <c r="O759">
        <v>52.125</v>
      </c>
    </row>
    <row r="760" spans="1:15" x14ac:dyDescent="0.3">
      <c r="A760" s="1">
        <v>45339</v>
      </c>
      <c r="B760" s="2" t="s">
        <v>20</v>
      </c>
      <c r="C760" s="2" t="s">
        <v>21</v>
      </c>
      <c r="D760" s="2" t="s">
        <v>13</v>
      </c>
      <c r="E760">
        <v>51.88</v>
      </c>
      <c r="F760">
        <v>20.6</v>
      </c>
      <c r="G760">
        <v>3</v>
      </c>
      <c r="H760">
        <f t="shared" si="11"/>
        <v>48675.899999999936</v>
      </c>
      <c r="I760" t="str">
        <f>IF(Sheet1[[#This Row],[Month_Revenue]] &lt; AVERAGE(Sheet1[Month_Revenue]), "Off-Peak", "Peak")</f>
        <v>Off-Peak</v>
      </c>
      <c r="J760">
        <f xml:space="preserve"> IF(Sheet1[[#This Row],[Ad Spend]] &gt; 0, (Sheet1[[#This Row],[Profit]] / Sheet1[[#This Row],[Ad Spend]]), 0)</f>
        <v>1.5184466019417475</v>
      </c>
      <c r="K760">
        <f>Sheet1[[#This Row],[Revenue]]-Sheet1[[#This Row],[Ad Spend]]</f>
        <v>31.28</v>
      </c>
      <c r="L760" s="2" t="s">
        <v>14</v>
      </c>
      <c r="M760">
        <v>2</v>
      </c>
      <c r="N760" s="2" t="s">
        <v>15</v>
      </c>
      <c r="O760">
        <v>17.293333333333333</v>
      </c>
    </row>
    <row r="761" spans="1:15" x14ac:dyDescent="0.3">
      <c r="A761" s="1">
        <v>45308</v>
      </c>
      <c r="B761" s="2" t="s">
        <v>16</v>
      </c>
      <c r="C761" s="2" t="s">
        <v>21</v>
      </c>
      <c r="D761" s="2" t="s">
        <v>18</v>
      </c>
      <c r="E761">
        <v>31.24</v>
      </c>
      <c r="F761">
        <v>49.73</v>
      </c>
      <c r="G761">
        <v>2</v>
      </c>
      <c r="H761">
        <f t="shared" si="11"/>
        <v>61207.979999999989</v>
      </c>
      <c r="I761" t="str">
        <f>IF(Sheet1[[#This Row],[Month_Revenue]] &lt; AVERAGE(Sheet1[Month_Revenue]), "Off-Peak", "Peak")</f>
        <v>Peak</v>
      </c>
      <c r="J761">
        <f xml:space="preserve"> IF(Sheet1[[#This Row],[Ad Spend]] &gt; 0, (Sheet1[[#This Row],[Profit]] / Sheet1[[#This Row],[Ad Spend]]), 0)</f>
        <v>-0.3718077619143374</v>
      </c>
      <c r="K761">
        <f>Sheet1[[#This Row],[Revenue]]-Sheet1[[#This Row],[Ad Spend]]</f>
        <v>-18.489999999999998</v>
      </c>
      <c r="L761" s="2" t="s">
        <v>14</v>
      </c>
      <c r="M761">
        <v>1</v>
      </c>
      <c r="N761" s="2" t="s">
        <v>15</v>
      </c>
      <c r="O761">
        <v>15.62</v>
      </c>
    </row>
    <row r="762" spans="1:15" x14ac:dyDescent="0.3">
      <c r="A762" s="1">
        <v>45301</v>
      </c>
      <c r="B762" s="2" t="s">
        <v>11</v>
      </c>
      <c r="C762" s="2" t="s">
        <v>21</v>
      </c>
      <c r="D762" s="2" t="s">
        <v>13</v>
      </c>
      <c r="E762">
        <v>163.87</v>
      </c>
      <c r="F762">
        <v>37.19</v>
      </c>
      <c r="G762">
        <v>2</v>
      </c>
      <c r="H762">
        <f t="shared" si="11"/>
        <v>61207.979999999989</v>
      </c>
      <c r="I762" t="str">
        <f>IF(Sheet1[[#This Row],[Month_Revenue]] &lt; AVERAGE(Sheet1[Month_Revenue]), "Off-Peak", "Peak")</f>
        <v>Peak</v>
      </c>
      <c r="J762">
        <f xml:space="preserve"> IF(Sheet1[[#This Row],[Ad Spend]] &gt; 0, (Sheet1[[#This Row],[Profit]] / Sheet1[[#This Row],[Ad Spend]]), 0)</f>
        <v>3.4062920139822537</v>
      </c>
      <c r="K762">
        <f>Sheet1[[#This Row],[Revenue]]-Sheet1[[#This Row],[Ad Spend]]</f>
        <v>126.68</v>
      </c>
      <c r="L762" s="2" t="s">
        <v>22</v>
      </c>
      <c r="M762">
        <v>1</v>
      </c>
      <c r="N762" s="2" t="s">
        <v>15</v>
      </c>
      <c r="O762">
        <v>81.935000000000002</v>
      </c>
    </row>
    <row r="763" spans="1:15" x14ac:dyDescent="0.3">
      <c r="A763" s="1">
        <v>45331</v>
      </c>
      <c r="B763" s="2" t="s">
        <v>20</v>
      </c>
      <c r="C763" s="2" t="s">
        <v>12</v>
      </c>
      <c r="D763" s="2" t="s">
        <v>18</v>
      </c>
      <c r="E763">
        <v>80.02</v>
      </c>
      <c r="F763">
        <v>4.41</v>
      </c>
      <c r="G763">
        <v>0</v>
      </c>
      <c r="H763">
        <f t="shared" si="11"/>
        <v>48675.899999999936</v>
      </c>
      <c r="I763" t="str">
        <f>IF(Sheet1[[#This Row],[Month_Revenue]] &lt; AVERAGE(Sheet1[Month_Revenue]), "Off-Peak", "Peak")</f>
        <v>Off-Peak</v>
      </c>
      <c r="J763">
        <f xml:space="preserve"> IF(Sheet1[[#This Row],[Ad Spend]] &gt; 0, (Sheet1[[#This Row],[Profit]] / Sheet1[[#This Row],[Ad Spend]]), 0)</f>
        <v>17.145124716553287</v>
      </c>
      <c r="K763">
        <f>Sheet1[[#This Row],[Revenue]]-Sheet1[[#This Row],[Ad Spend]]</f>
        <v>75.61</v>
      </c>
      <c r="L763" s="2" t="s">
        <v>14</v>
      </c>
      <c r="M763">
        <v>2</v>
      </c>
      <c r="N763" s="2" t="s">
        <v>15</v>
      </c>
      <c r="O763">
        <v>0</v>
      </c>
    </row>
    <row r="764" spans="1:15" x14ac:dyDescent="0.3">
      <c r="A764" s="1">
        <v>45380</v>
      </c>
      <c r="B764" s="2" t="s">
        <v>23</v>
      </c>
      <c r="C764" s="2" t="s">
        <v>17</v>
      </c>
      <c r="D764" s="2" t="s">
        <v>13</v>
      </c>
      <c r="E764">
        <v>95.05</v>
      </c>
      <c r="F764">
        <v>18.73</v>
      </c>
      <c r="G764">
        <v>3</v>
      </c>
      <c r="H764">
        <f t="shared" si="11"/>
        <v>54735.250000000029</v>
      </c>
      <c r="I764" t="str">
        <f>IF(Sheet1[[#This Row],[Month_Revenue]] &lt; AVERAGE(Sheet1[Month_Revenue]), "Off-Peak", "Peak")</f>
        <v>Off-Peak</v>
      </c>
      <c r="J764">
        <f xml:space="preserve"> IF(Sheet1[[#This Row],[Ad Spend]] &gt; 0, (Sheet1[[#This Row],[Profit]] / Sheet1[[#This Row],[Ad Spend]]), 0)</f>
        <v>4.0747463961558994</v>
      </c>
      <c r="K764">
        <f>Sheet1[[#This Row],[Revenue]]-Sheet1[[#This Row],[Ad Spend]]</f>
        <v>76.319999999999993</v>
      </c>
      <c r="L764" s="2" t="s">
        <v>14</v>
      </c>
      <c r="M764">
        <v>3</v>
      </c>
      <c r="N764" s="2" t="s">
        <v>19</v>
      </c>
      <c r="O764">
        <v>31.683333333333334</v>
      </c>
    </row>
    <row r="765" spans="1:15" x14ac:dyDescent="0.3">
      <c r="A765" s="1">
        <v>45347</v>
      </c>
      <c r="B765" s="2" t="s">
        <v>20</v>
      </c>
      <c r="C765" s="2" t="s">
        <v>21</v>
      </c>
      <c r="D765" s="2" t="s">
        <v>13</v>
      </c>
      <c r="E765">
        <v>49.95</v>
      </c>
      <c r="F765">
        <v>25.45</v>
      </c>
      <c r="G765">
        <v>2</v>
      </c>
      <c r="H765">
        <f t="shared" si="11"/>
        <v>48675.899999999936</v>
      </c>
      <c r="I765" t="str">
        <f>IF(Sheet1[[#This Row],[Month_Revenue]] &lt; AVERAGE(Sheet1[Month_Revenue]), "Off-Peak", "Peak")</f>
        <v>Off-Peak</v>
      </c>
      <c r="J765">
        <f xml:space="preserve"> IF(Sheet1[[#This Row],[Ad Spend]] &gt; 0, (Sheet1[[#This Row],[Profit]] / Sheet1[[#This Row],[Ad Spend]]), 0)</f>
        <v>0.9626719056974461</v>
      </c>
      <c r="K765">
        <f>Sheet1[[#This Row],[Revenue]]-Sheet1[[#This Row],[Ad Spend]]</f>
        <v>24.500000000000004</v>
      </c>
      <c r="L765" s="2" t="s">
        <v>14</v>
      </c>
      <c r="M765">
        <v>2</v>
      </c>
      <c r="N765" s="2" t="s">
        <v>15</v>
      </c>
      <c r="O765">
        <v>24.975000000000001</v>
      </c>
    </row>
    <row r="766" spans="1:15" x14ac:dyDescent="0.3">
      <c r="A766" s="1">
        <v>45373</v>
      </c>
      <c r="B766" s="2" t="s">
        <v>11</v>
      </c>
      <c r="C766" s="2" t="s">
        <v>21</v>
      </c>
      <c r="D766" s="2" t="s">
        <v>13</v>
      </c>
      <c r="E766">
        <v>99.86</v>
      </c>
      <c r="F766">
        <v>3.38</v>
      </c>
      <c r="G766">
        <v>0</v>
      </c>
      <c r="H766">
        <f t="shared" si="11"/>
        <v>54735.250000000029</v>
      </c>
      <c r="I766" t="str">
        <f>IF(Sheet1[[#This Row],[Month_Revenue]] &lt; AVERAGE(Sheet1[Month_Revenue]), "Off-Peak", "Peak")</f>
        <v>Off-Peak</v>
      </c>
      <c r="J766">
        <f xml:space="preserve"> IF(Sheet1[[#This Row],[Ad Spend]] &gt; 0, (Sheet1[[#This Row],[Profit]] / Sheet1[[#This Row],[Ad Spend]]), 0)</f>
        <v>28.544378698224854</v>
      </c>
      <c r="K766">
        <f>Sheet1[[#This Row],[Revenue]]-Sheet1[[#This Row],[Ad Spend]]</f>
        <v>96.48</v>
      </c>
      <c r="L766" s="2" t="s">
        <v>14</v>
      </c>
      <c r="M766">
        <v>3</v>
      </c>
      <c r="N766" s="2" t="s">
        <v>19</v>
      </c>
      <c r="O766">
        <v>0</v>
      </c>
    </row>
    <row r="767" spans="1:15" x14ac:dyDescent="0.3">
      <c r="A767" s="1">
        <v>45387</v>
      </c>
      <c r="B767" s="2" t="s">
        <v>16</v>
      </c>
      <c r="C767" s="2" t="s">
        <v>12</v>
      </c>
      <c r="D767" s="2" t="s">
        <v>13</v>
      </c>
      <c r="E767">
        <v>196.9</v>
      </c>
      <c r="F767">
        <v>13.96</v>
      </c>
      <c r="G767">
        <v>0</v>
      </c>
      <c r="H767">
        <f t="shared" si="11"/>
        <v>58562.910000000018</v>
      </c>
      <c r="I767" t="str">
        <f>IF(Sheet1[[#This Row],[Month_Revenue]] &lt; AVERAGE(Sheet1[Month_Revenue]), "Off-Peak", "Peak")</f>
        <v>Peak</v>
      </c>
      <c r="J767">
        <f xml:space="preserve"> IF(Sheet1[[#This Row],[Ad Spend]] &gt; 0, (Sheet1[[#This Row],[Profit]] / Sheet1[[#This Row],[Ad Spend]]), 0)</f>
        <v>13.104584527220629</v>
      </c>
      <c r="K767">
        <f>Sheet1[[#This Row],[Revenue]]-Sheet1[[#This Row],[Ad Spend]]</f>
        <v>182.94</v>
      </c>
      <c r="L767" s="2" t="s">
        <v>22</v>
      </c>
      <c r="M767">
        <v>4</v>
      </c>
      <c r="N767" s="2" t="s">
        <v>19</v>
      </c>
      <c r="O767">
        <v>0</v>
      </c>
    </row>
    <row r="768" spans="1:15" x14ac:dyDescent="0.3">
      <c r="A768" s="1">
        <v>45322</v>
      </c>
      <c r="B768" s="2" t="s">
        <v>24</v>
      </c>
      <c r="C768" s="2" t="s">
        <v>21</v>
      </c>
      <c r="D768" s="2" t="s">
        <v>13</v>
      </c>
      <c r="E768">
        <v>141.41</v>
      </c>
      <c r="F768">
        <v>31.51</v>
      </c>
      <c r="G768">
        <v>0</v>
      </c>
      <c r="H768">
        <f t="shared" si="11"/>
        <v>61207.979999999989</v>
      </c>
      <c r="I768" t="str">
        <f>IF(Sheet1[[#This Row],[Month_Revenue]] &lt; AVERAGE(Sheet1[Month_Revenue]), "Off-Peak", "Peak")</f>
        <v>Peak</v>
      </c>
      <c r="J768">
        <f xml:space="preserve"> IF(Sheet1[[#This Row],[Ad Spend]] &gt; 0, (Sheet1[[#This Row],[Profit]] / Sheet1[[#This Row],[Ad Spend]]), 0)</f>
        <v>3.4877816566169466</v>
      </c>
      <c r="K768">
        <f>Sheet1[[#This Row],[Revenue]]-Sheet1[[#This Row],[Ad Spend]]</f>
        <v>109.89999999999999</v>
      </c>
      <c r="L768" s="2" t="s">
        <v>14</v>
      </c>
      <c r="M768">
        <v>1</v>
      </c>
      <c r="N768" s="2" t="s">
        <v>15</v>
      </c>
      <c r="O768">
        <v>0</v>
      </c>
    </row>
    <row r="769" spans="1:15" x14ac:dyDescent="0.3">
      <c r="A769" s="1">
        <v>45365</v>
      </c>
      <c r="B769" s="2" t="s">
        <v>11</v>
      </c>
      <c r="C769" s="2" t="s">
        <v>17</v>
      </c>
      <c r="D769" s="2" t="s">
        <v>18</v>
      </c>
      <c r="E769">
        <v>199.86</v>
      </c>
      <c r="F769">
        <v>38.200000000000003</v>
      </c>
      <c r="G769">
        <v>2</v>
      </c>
      <c r="H769">
        <f t="shared" si="11"/>
        <v>54735.250000000029</v>
      </c>
      <c r="I769" t="str">
        <f>IF(Sheet1[[#This Row],[Month_Revenue]] &lt; AVERAGE(Sheet1[Month_Revenue]), "Off-Peak", "Peak")</f>
        <v>Off-Peak</v>
      </c>
      <c r="J769">
        <f xml:space="preserve"> IF(Sheet1[[#This Row],[Ad Spend]] &gt; 0, (Sheet1[[#This Row],[Profit]] / Sheet1[[#This Row],[Ad Spend]]), 0)</f>
        <v>4.2319371727748694</v>
      </c>
      <c r="K769">
        <f>Sheet1[[#This Row],[Revenue]]-Sheet1[[#This Row],[Ad Spend]]</f>
        <v>161.66000000000003</v>
      </c>
      <c r="L769" s="2" t="s">
        <v>14</v>
      </c>
      <c r="M769">
        <v>3</v>
      </c>
      <c r="N769" s="2" t="s">
        <v>19</v>
      </c>
      <c r="O769">
        <v>99.93</v>
      </c>
    </row>
    <row r="770" spans="1:15" x14ac:dyDescent="0.3">
      <c r="A770" s="1">
        <v>45309</v>
      </c>
      <c r="B770" s="2" t="s">
        <v>16</v>
      </c>
      <c r="C770" s="2" t="s">
        <v>12</v>
      </c>
      <c r="D770" s="2" t="s">
        <v>13</v>
      </c>
      <c r="E770">
        <v>111.63</v>
      </c>
      <c r="F770">
        <v>28.09</v>
      </c>
      <c r="G770">
        <v>2</v>
      </c>
      <c r="H770">
        <f t="shared" ref="H770:H833" si="12">SUMIFS($E$2:$E$2001, $M$2:$M$2001, M770)</f>
        <v>61207.979999999989</v>
      </c>
      <c r="I770" t="str">
        <f>IF(Sheet1[[#This Row],[Month_Revenue]] &lt; AVERAGE(Sheet1[Month_Revenue]), "Off-Peak", "Peak")</f>
        <v>Peak</v>
      </c>
      <c r="J770">
        <f xml:space="preserve"> IF(Sheet1[[#This Row],[Ad Spend]] &gt; 0, (Sheet1[[#This Row],[Profit]] / Sheet1[[#This Row],[Ad Spend]]), 0)</f>
        <v>2.9740121039515839</v>
      </c>
      <c r="K770">
        <f>Sheet1[[#This Row],[Revenue]]-Sheet1[[#This Row],[Ad Spend]]</f>
        <v>83.539999999999992</v>
      </c>
      <c r="L770" s="2" t="s">
        <v>14</v>
      </c>
      <c r="M770">
        <v>1</v>
      </c>
      <c r="N770" s="2" t="s">
        <v>15</v>
      </c>
      <c r="O770">
        <v>55.814999999999998</v>
      </c>
    </row>
    <row r="771" spans="1:15" x14ac:dyDescent="0.3">
      <c r="A771" s="1">
        <v>45378</v>
      </c>
      <c r="B771" s="2" t="s">
        <v>23</v>
      </c>
      <c r="C771" s="2" t="s">
        <v>17</v>
      </c>
      <c r="D771" s="2" t="s">
        <v>13</v>
      </c>
      <c r="E771">
        <v>188.47</v>
      </c>
      <c r="F771">
        <v>46.16</v>
      </c>
      <c r="G771">
        <v>2</v>
      </c>
      <c r="H771">
        <f t="shared" si="12"/>
        <v>54735.250000000029</v>
      </c>
      <c r="I771" t="str">
        <f>IF(Sheet1[[#This Row],[Month_Revenue]] &lt; AVERAGE(Sheet1[Month_Revenue]), "Off-Peak", "Peak")</f>
        <v>Off-Peak</v>
      </c>
      <c r="J771">
        <f xml:space="preserve"> IF(Sheet1[[#This Row],[Ad Spend]] &gt; 0, (Sheet1[[#This Row],[Profit]] / Sheet1[[#This Row],[Ad Spend]]), 0)</f>
        <v>3.0829722703639519</v>
      </c>
      <c r="K771">
        <f>Sheet1[[#This Row],[Revenue]]-Sheet1[[#This Row],[Ad Spend]]</f>
        <v>142.31</v>
      </c>
      <c r="L771" s="2" t="s">
        <v>22</v>
      </c>
      <c r="M771">
        <v>3</v>
      </c>
      <c r="N771" s="2" t="s">
        <v>19</v>
      </c>
      <c r="O771">
        <v>94.234999999999999</v>
      </c>
    </row>
    <row r="772" spans="1:15" x14ac:dyDescent="0.3">
      <c r="A772" s="1">
        <v>45309</v>
      </c>
      <c r="B772" s="2" t="s">
        <v>20</v>
      </c>
      <c r="C772" s="2" t="s">
        <v>17</v>
      </c>
      <c r="D772" s="2" t="s">
        <v>18</v>
      </c>
      <c r="E772">
        <v>128.03</v>
      </c>
      <c r="F772">
        <v>30.02</v>
      </c>
      <c r="G772">
        <v>0</v>
      </c>
      <c r="H772">
        <f t="shared" si="12"/>
        <v>61207.979999999989</v>
      </c>
      <c r="I772" t="str">
        <f>IF(Sheet1[[#This Row],[Month_Revenue]] &lt; AVERAGE(Sheet1[Month_Revenue]), "Off-Peak", "Peak")</f>
        <v>Peak</v>
      </c>
      <c r="J772">
        <f xml:space="preserve"> IF(Sheet1[[#This Row],[Ad Spend]] &gt; 0, (Sheet1[[#This Row],[Profit]] / Sheet1[[#This Row],[Ad Spend]]), 0)</f>
        <v>3.2648234510326453</v>
      </c>
      <c r="K772">
        <f>Sheet1[[#This Row],[Revenue]]-Sheet1[[#This Row],[Ad Spend]]</f>
        <v>98.01</v>
      </c>
      <c r="L772" s="2" t="s">
        <v>14</v>
      </c>
      <c r="M772">
        <v>1</v>
      </c>
      <c r="N772" s="2" t="s">
        <v>15</v>
      </c>
      <c r="O772">
        <v>0</v>
      </c>
    </row>
    <row r="773" spans="1:15" x14ac:dyDescent="0.3">
      <c r="A773" s="1">
        <v>45357</v>
      </c>
      <c r="B773" s="2" t="s">
        <v>20</v>
      </c>
      <c r="C773" s="2" t="s">
        <v>21</v>
      </c>
      <c r="D773" s="2" t="s">
        <v>18</v>
      </c>
      <c r="E773">
        <v>25.02</v>
      </c>
      <c r="F773">
        <v>39.92</v>
      </c>
      <c r="G773">
        <v>2</v>
      </c>
      <c r="H773">
        <f t="shared" si="12"/>
        <v>54735.250000000029</v>
      </c>
      <c r="I773" t="str">
        <f>IF(Sheet1[[#This Row],[Month_Revenue]] &lt; AVERAGE(Sheet1[Month_Revenue]), "Off-Peak", "Peak")</f>
        <v>Off-Peak</v>
      </c>
      <c r="J773">
        <f xml:space="preserve"> IF(Sheet1[[#This Row],[Ad Spend]] &gt; 0, (Sheet1[[#This Row],[Profit]] / Sheet1[[#This Row],[Ad Spend]]), 0)</f>
        <v>-0.37324649298597196</v>
      </c>
      <c r="K773">
        <f>Sheet1[[#This Row],[Revenue]]-Sheet1[[#This Row],[Ad Spend]]</f>
        <v>-14.900000000000002</v>
      </c>
      <c r="L773" s="2" t="s">
        <v>22</v>
      </c>
      <c r="M773">
        <v>3</v>
      </c>
      <c r="N773" s="2" t="s">
        <v>19</v>
      </c>
      <c r="O773">
        <v>12.51</v>
      </c>
    </row>
    <row r="774" spans="1:15" x14ac:dyDescent="0.3">
      <c r="A774" s="1">
        <v>45305</v>
      </c>
      <c r="B774" s="2" t="s">
        <v>20</v>
      </c>
      <c r="C774" s="2" t="s">
        <v>17</v>
      </c>
      <c r="D774" s="2" t="s">
        <v>13</v>
      </c>
      <c r="E774">
        <v>138.9</v>
      </c>
      <c r="F774">
        <v>36.96</v>
      </c>
      <c r="G774">
        <v>1</v>
      </c>
      <c r="H774">
        <f t="shared" si="12"/>
        <v>61207.979999999989</v>
      </c>
      <c r="I774" t="str">
        <f>IF(Sheet1[[#This Row],[Month_Revenue]] &lt; AVERAGE(Sheet1[Month_Revenue]), "Off-Peak", "Peak")</f>
        <v>Peak</v>
      </c>
      <c r="J774">
        <f xml:space="preserve"> IF(Sheet1[[#This Row],[Ad Spend]] &gt; 0, (Sheet1[[#This Row],[Profit]] / Sheet1[[#This Row],[Ad Spend]]), 0)</f>
        <v>2.758116883116883</v>
      </c>
      <c r="K774">
        <f>Sheet1[[#This Row],[Revenue]]-Sheet1[[#This Row],[Ad Spend]]</f>
        <v>101.94</v>
      </c>
      <c r="L774" s="2" t="s">
        <v>22</v>
      </c>
      <c r="M774">
        <v>1</v>
      </c>
      <c r="N774" s="2" t="s">
        <v>15</v>
      </c>
      <c r="O774">
        <v>138.9</v>
      </c>
    </row>
    <row r="775" spans="1:15" x14ac:dyDescent="0.3">
      <c r="A775" s="1">
        <v>45300</v>
      </c>
      <c r="B775" s="2" t="s">
        <v>20</v>
      </c>
      <c r="C775" s="2" t="s">
        <v>17</v>
      </c>
      <c r="D775" s="2" t="s">
        <v>18</v>
      </c>
      <c r="E775">
        <v>174.67</v>
      </c>
      <c r="F775">
        <v>34.36</v>
      </c>
      <c r="G775">
        <v>0</v>
      </c>
      <c r="H775">
        <f t="shared" si="12"/>
        <v>61207.979999999989</v>
      </c>
      <c r="I775" t="str">
        <f>IF(Sheet1[[#This Row],[Month_Revenue]] &lt; AVERAGE(Sheet1[Month_Revenue]), "Off-Peak", "Peak")</f>
        <v>Peak</v>
      </c>
      <c r="J775">
        <f xml:space="preserve"> IF(Sheet1[[#This Row],[Ad Spend]] &gt; 0, (Sheet1[[#This Row],[Profit]] / Sheet1[[#This Row],[Ad Spend]]), 0)</f>
        <v>4.0835273573923168</v>
      </c>
      <c r="K775">
        <f>Sheet1[[#This Row],[Revenue]]-Sheet1[[#This Row],[Ad Spend]]</f>
        <v>140.31</v>
      </c>
      <c r="L775" s="2" t="s">
        <v>22</v>
      </c>
      <c r="M775">
        <v>1</v>
      </c>
      <c r="N775" s="2" t="s">
        <v>15</v>
      </c>
      <c r="O775">
        <v>0</v>
      </c>
    </row>
    <row r="776" spans="1:15" x14ac:dyDescent="0.3">
      <c r="A776" s="1">
        <v>45329</v>
      </c>
      <c r="B776" s="2" t="s">
        <v>20</v>
      </c>
      <c r="C776" s="2" t="s">
        <v>17</v>
      </c>
      <c r="D776" s="2" t="s">
        <v>13</v>
      </c>
      <c r="E776">
        <v>190.53</v>
      </c>
      <c r="F776">
        <v>25.02</v>
      </c>
      <c r="G776">
        <v>1</v>
      </c>
      <c r="H776">
        <f t="shared" si="12"/>
        <v>48675.899999999936</v>
      </c>
      <c r="I776" t="str">
        <f>IF(Sheet1[[#This Row],[Month_Revenue]] &lt; AVERAGE(Sheet1[Month_Revenue]), "Off-Peak", "Peak")</f>
        <v>Off-Peak</v>
      </c>
      <c r="J776">
        <f xml:space="preserve"> IF(Sheet1[[#This Row],[Ad Spend]] &gt; 0, (Sheet1[[#This Row],[Profit]] / Sheet1[[#This Row],[Ad Spend]]), 0)</f>
        <v>6.6151079136690649</v>
      </c>
      <c r="K776">
        <f>Sheet1[[#This Row],[Revenue]]-Sheet1[[#This Row],[Ad Spend]]</f>
        <v>165.51</v>
      </c>
      <c r="L776" s="2" t="s">
        <v>22</v>
      </c>
      <c r="M776">
        <v>2</v>
      </c>
      <c r="N776" s="2" t="s">
        <v>15</v>
      </c>
      <c r="O776">
        <v>190.53</v>
      </c>
    </row>
    <row r="777" spans="1:15" x14ac:dyDescent="0.3">
      <c r="A777" s="1">
        <v>45359</v>
      </c>
      <c r="B777" s="2" t="s">
        <v>20</v>
      </c>
      <c r="C777" s="2" t="s">
        <v>17</v>
      </c>
      <c r="D777" s="2" t="s">
        <v>18</v>
      </c>
      <c r="E777">
        <v>25.94</v>
      </c>
      <c r="F777">
        <v>46.04</v>
      </c>
      <c r="G777">
        <v>2</v>
      </c>
      <c r="H777">
        <f t="shared" si="12"/>
        <v>54735.250000000029</v>
      </c>
      <c r="I777" t="str">
        <f>IF(Sheet1[[#This Row],[Month_Revenue]] &lt; AVERAGE(Sheet1[Month_Revenue]), "Off-Peak", "Peak")</f>
        <v>Off-Peak</v>
      </c>
      <c r="J777">
        <f xml:space="preserve"> IF(Sheet1[[#This Row],[Ad Spend]] &gt; 0, (Sheet1[[#This Row],[Profit]] / Sheet1[[#This Row],[Ad Spend]]), 0)</f>
        <v>-0.43657688966116415</v>
      </c>
      <c r="K777">
        <f>Sheet1[[#This Row],[Revenue]]-Sheet1[[#This Row],[Ad Spend]]</f>
        <v>-20.099999999999998</v>
      </c>
      <c r="L777" s="2" t="s">
        <v>22</v>
      </c>
      <c r="M777">
        <v>3</v>
      </c>
      <c r="N777" s="2" t="s">
        <v>19</v>
      </c>
      <c r="O777">
        <v>12.97</v>
      </c>
    </row>
    <row r="778" spans="1:15" x14ac:dyDescent="0.3">
      <c r="A778" s="1">
        <v>45343</v>
      </c>
      <c r="B778" s="2" t="s">
        <v>20</v>
      </c>
      <c r="C778" s="2" t="s">
        <v>21</v>
      </c>
      <c r="D778" s="2" t="s">
        <v>18</v>
      </c>
      <c r="E778">
        <v>124.81</v>
      </c>
      <c r="F778">
        <v>5.09</v>
      </c>
      <c r="G778">
        <v>3</v>
      </c>
      <c r="H778">
        <f t="shared" si="12"/>
        <v>48675.899999999936</v>
      </c>
      <c r="I778" t="str">
        <f>IF(Sheet1[[#This Row],[Month_Revenue]] &lt; AVERAGE(Sheet1[Month_Revenue]), "Off-Peak", "Peak")</f>
        <v>Off-Peak</v>
      </c>
      <c r="J778">
        <f xml:space="preserve"> IF(Sheet1[[#This Row],[Ad Spend]] &gt; 0, (Sheet1[[#This Row],[Profit]] / Sheet1[[#This Row],[Ad Spend]]), 0)</f>
        <v>23.520628683693516</v>
      </c>
      <c r="K778">
        <f>Sheet1[[#This Row],[Revenue]]-Sheet1[[#This Row],[Ad Spend]]</f>
        <v>119.72</v>
      </c>
      <c r="L778" s="2" t="s">
        <v>14</v>
      </c>
      <c r="M778">
        <v>2</v>
      </c>
      <c r="N778" s="2" t="s">
        <v>15</v>
      </c>
      <c r="O778">
        <v>41.603333333333332</v>
      </c>
    </row>
    <row r="779" spans="1:15" x14ac:dyDescent="0.3">
      <c r="A779" s="1">
        <v>45295</v>
      </c>
      <c r="B779" s="2" t="s">
        <v>23</v>
      </c>
      <c r="C779" s="2" t="s">
        <v>12</v>
      </c>
      <c r="D779" s="2" t="s">
        <v>13</v>
      </c>
      <c r="E779">
        <v>162.57</v>
      </c>
      <c r="F779">
        <v>46.99</v>
      </c>
      <c r="G779">
        <v>3</v>
      </c>
      <c r="H779">
        <f t="shared" si="12"/>
        <v>61207.979999999989</v>
      </c>
      <c r="I779" t="str">
        <f>IF(Sheet1[[#This Row],[Month_Revenue]] &lt; AVERAGE(Sheet1[Month_Revenue]), "Off-Peak", "Peak")</f>
        <v>Peak</v>
      </c>
      <c r="J779">
        <f xml:space="preserve"> IF(Sheet1[[#This Row],[Ad Spend]] &gt; 0, (Sheet1[[#This Row],[Profit]] / Sheet1[[#This Row],[Ad Spend]]), 0)</f>
        <v>2.4596722706958922</v>
      </c>
      <c r="K779">
        <f>Sheet1[[#This Row],[Revenue]]-Sheet1[[#This Row],[Ad Spend]]</f>
        <v>115.57999999999998</v>
      </c>
      <c r="L779" s="2" t="s">
        <v>22</v>
      </c>
      <c r="M779">
        <v>1</v>
      </c>
      <c r="N779" s="2" t="s">
        <v>15</v>
      </c>
      <c r="O779">
        <v>54.19</v>
      </c>
    </row>
    <row r="780" spans="1:15" x14ac:dyDescent="0.3">
      <c r="A780" s="1">
        <v>45395</v>
      </c>
      <c r="B780" s="2" t="s">
        <v>20</v>
      </c>
      <c r="C780" s="2" t="s">
        <v>21</v>
      </c>
      <c r="D780" s="2" t="s">
        <v>18</v>
      </c>
      <c r="E780">
        <v>134.09</v>
      </c>
      <c r="F780">
        <v>1.62</v>
      </c>
      <c r="G780">
        <v>3</v>
      </c>
      <c r="H780">
        <f t="shared" si="12"/>
        <v>58562.910000000018</v>
      </c>
      <c r="I780" t="str">
        <f>IF(Sheet1[[#This Row],[Month_Revenue]] &lt; AVERAGE(Sheet1[Month_Revenue]), "Off-Peak", "Peak")</f>
        <v>Peak</v>
      </c>
      <c r="J780">
        <f xml:space="preserve"> IF(Sheet1[[#This Row],[Ad Spend]] &gt; 0, (Sheet1[[#This Row],[Profit]] / Sheet1[[#This Row],[Ad Spend]]), 0)</f>
        <v>81.771604938271594</v>
      </c>
      <c r="K780">
        <f>Sheet1[[#This Row],[Revenue]]-Sheet1[[#This Row],[Ad Spend]]</f>
        <v>132.47</v>
      </c>
      <c r="L780" s="2" t="s">
        <v>14</v>
      </c>
      <c r="M780">
        <v>4</v>
      </c>
      <c r="N780" s="2" t="s">
        <v>19</v>
      </c>
      <c r="O780">
        <v>44.696666666666665</v>
      </c>
    </row>
    <row r="781" spans="1:15" x14ac:dyDescent="0.3">
      <c r="A781" s="1">
        <v>45372</v>
      </c>
      <c r="B781" s="2" t="s">
        <v>24</v>
      </c>
      <c r="C781" s="2" t="s">
        <v>12</v>
      </c>
      <c r="D781" s="2" t="s">
        <v>13</v>
      </c>
      <c r="E781">
        <v>117.04</v>
      </c>
      <c r="F781">
        <v>21.2</v>
      </c>
      <c r="G781">
        <v>1</v>
      </c>
      <c r="H781">
        <f t="shared" si="12"/>
        <v>54735.250000000029</v>
      </c>
      <c r="I781" t="str">
        <f>IF(Sheet1[[#This Row],[Month_Revenue]] &lt; AVERAGE(Sheet1[Month_Revenue]), "Off-Peak", "Peak")</f>
        <v>Off-Peak</v>
      </c>
      <c r="J781">
        <f xml:space="preserve"> IF(Sheet1[[#This Row],[Ad Spend]] &gt; 0, (Sheet1[[#This Row],[Profit]] / Sheet1[[#This Row],[Ad Spend]]), 0)</f>
        <v>4.5207547169811324</v>
      </c>
      <c r="K781">
        <f>Sheet1[[#This Row],[Revenue]]-Sheet1[[#This Row],[Ad Spend]]</f>
        <v>95.84</v>
      </c>
      <c r="L781" s="2" t="s">
        <v>22</v>
      </c>
      <c r="M781">
        <v>3</v>
      </c>
      <c r="N781" s="2" t="s">
        <v>19</v>
      </c>
      <c r="O781">
        <v>117.04</v>
      </c>
    </row>
    <row r="782" spans="1:15" x14ac:dyDescent="0.3">
      <c r="A782" s="1">
        <v>45343</v>
      </c>
      <c r="B782" s="2" t="s">
        <v>16</v>
      </c>
      <c r="C782" s="2" t="s">
        <v>12</v>
      </c>
      <c r="D782" s="2" t="s">
        <v>18</v>
      </c>
      <c r="E782">
        <v>141.05000000000001</v>
      </c>
      <c r="F782">
        <v>41.97</v>
      </c>
      <c r="G782">
        <v>1</v>
      </c>
      <c r="H782">
        <f t="shared" si="12"/>
        <v>48675.899999999936</v>
      </c>
      <c r="I782" t="str">
        <f>IF(Sheet1[[#This Row],[Month_Revenue]] &lt; AVERAGE(Sheet1[Month_Revenue]), "Off-Peak", "Peak")</f>
        <v>Off-Peak</v>
      </c>
      <c r="J782">
        <f xml:space="preserve"> IF(Sheet1[[#This Row],[Ad Spend]] &gt; 0, (Sheet1[[#This Row],[Profit]] / Sheet1[[#This Row],[Ad Spend]]), 0)</f>
        <v>2.3607338575172747</v>
      </c>
      <c r="K782">
        <f>Sheet1[[#This Row],[Revenue]]-Sheet1[[#This Row],[Ad Spend]]</f>
        <v>99.080000000000013</v>
      </c>
      <c r="L782" s="2" t="s">
        <v>14</v>
      </c>
      <c r="M782">
        <v>2</v>
      </c>
      <c r="N782" s="2" t="s">
        <v>15</v>
      </c>
      <c r="O782">
        <v>141.05000000000001</v>
      </c>
    </row>
    <row r="783" spans="1:15" x14ac:dyDescent="0.3">
      <c r="A783" s="1">
        <v>45366</v>
      </c>
      <c r="B783" s="2" t="s">
        <v>24</v>
      </c>
      <c r="C783" s="2" t="s">
        <v>12</v>
      </c>
      <c r="D783" s="2" t="s">
        <v>18</v>
      </c>
      <c r="E783">
        <v>104.07</v>
      </c>
      <c r="F783">
        <v>37.369999999999997</v>
      </c>
      <c r="G783">
        <v>1</v>
      </c>
      <c r="H783">
        <f t="shared" si="12"/>
        <v>54735.250000000029</v>
      </c>
      <c r="I783" t="str">
        <f>IF(Sheet1[[#This Row],[Month_Revenue]] &lt; AVERAGE(Sheet1[Month_Revenue]), "Off-Peak", "Peak")</f>
        <v>Off-Peak</v>
      </c>
      <c r="J783">
        <f xml:space="preserve"> IF(Sheet1[[#This Row],[Ad Spend]] &gt; 0, (Sheet1[[#This Row],[Profit]] / Sheet1[[#This Row],[Ad Spend]]), 0)</f>
        <v>1.7848541610917847</v>
      </c>
      <c r="K783">
        <f>Sheet1[[#This Row],[Revenue]]-Sheet1[[#This Row],[Ad Spend]]</f>
        <v>66.699999999999989</v>
      </c>
      <c r="L783" s="2" t="s">
        <v>22</v>
      </c>
      <c r="M783">
        <v>3</v>
      </c>
      <c r="N783" s="2" t="s">
        <v>19</v>
      </c>
      <c r="O783">
        <v>104.07</v>
      </c>
    </row>
    <row r="784" spans="1:15" x14ac:dyDescent="0.3">
      <c r="A784" s="1">
        <v>45370</v>
      </c>
      <c r="B784" s="2" t="s">
        <v>23</v>
      </c>
      <c r="C784" s="2" t="s">
        <v>12</v>
      </c>
      <c r="D784" s="2" t="s">
        <v>18</v>
      </c>
      <c r="E784">
        <v>78.31</v>
      </c>
      <c r="F784">
        <v>3.07</v>
      </c>
      <c r="G784">
        <v>3</v>
      </c>
      <c r="H784">
        <f t="shared" si="12"/>
        <v>54735.250000000029</v>
      </c>
      <c r="I784" t="str">
        <f>IF(Sheet1[[#This Row],[Month_Revenue]] &lt; AVERAGE(Sheet1[Month_Revenue]), "Off-Peak", "Peak")</f>
        <v>Off-Peak</v>
      </c>
      <c r="J784">
        <f xml:space="preserve"> IF(Sheet1[[#This Row],[Ad Spend]] &gt; 0, (Sheet1[[#This Row],[Profit]] / Sheet1[[#This Row],[Ad Spend]]), 0)</f>
        <v>24.508143322475576</v>
      </c>
      <c r="K784">
        <f>Sheet1[[#This Row],[Revenue]]-Sheet1[[#This Row],[Ad Spend]]</f>
        <v>75.240000000000009</v>
      </c>
      <c r="L784" s="2" t="s">
        <v>22</v>
      </c>
      <c r="M784">
        <v>3</v>
      </c>
      <c r="N784" s="2" t="s">
        <v>19</v>
      </c>
      <c r="O784">
        <v>26.103333333333335</v>
      </c>
    </row>
    <row r="785" spans="1:15" x14ac:dyDescent="0.3">
      <c r="A785" s="1">
        <v>45357</v>
      </c>
      <c r="B785" s="2" t="s">
        <v>23</v>
      </c>
      <c r="C785" s="2" t="s">
        <v>12</v>
      </c>
      <c r="D785" s="2" t="s">
        <v>13</v>
      </c>
      <c r="E785">
        <v>165.9</v>
      </c>
      <c r="F785">
        <v>9.89</v>
      </c>
      <c r="G785">
        <v>3</v>
      </c>
      <c r="H785">
        <f t="shared" si="12"/>
        <v>54735.250000000029</v>
      </c>
      <c r="I785" t="str">
        <f>IF(Sheet1[[#This Row],[Month_Revenue]] &lt; AVERAGE(Sheet1[Month_Revenue]), "Off-Peak", "Peak")</f>
        <v>Off-Peak</v>
      </c>
      <c r="J785">
        <f xml:space="preserve"> IF(Sheet1[[#This Row],[Ad Spend]] &gt; 0, (Sheet1[[#This Row],[Profit]] / Sheet1[[#This Row],[Ad Spend]]), 0)</f>
        <v>15.774519716885742</v>
      </c>
      <c r="K785">
        <f>Sheet1[[#This Row],[Revenue]]-Sheet1[[#This Row],[Ad Spend]]</f>
        <v>156.01</v>
      </c>
      <c r="L785" s="2" t="s">
        <v>22</v>
      </c>
      <c r="M785">
        <v>3</v>
      </c>
      <c r="N785" s="2" t="s">
        <v>19</v>
      </c>
      <c r="O785">
        <v>55.300000000000004</v>
      </c>
    </row>
    <row r="786" spans="1:15" x14ac:dyDescent="0.3">
      <c r="A786" s="1">
        <v>45331</v>
      </c>
      <c r="B786" s="2" t="s">
        <v>23</v>
      </c>
      <c r="C786" s="2" t="s">
        <v>17</v>
      </c>
      <c r="D786" s="2" t="s">
        <v>13</v>
      </c>
      <c r="E786">
        <v>118.33</v>
      </c>
      <c r="F786">
        <v>24.08</v>
      </c>
      <c r="G786">
        <v>3</v>
      </c>
      <c r="H786">
        <f t="shared" si="12"/>
        <v>48675.899999999936</v>
      </c>
      <c r="I786" t="str">
        <f>IF(Sheet1[[#This Row],[Month_Revenue]] &lt; AVERAGE(Sheet1[Month_Revenue]), "Off-Peak", "Peak")</f>
        <v>Off-Peak</v>
      </c>
      <c r="J786">
        <f xml:space="preserve"> IF(Sheet1[[#This Row],[Ad Spend]] &gt; 0, (Sheet1[[#This Row],[Profit]] / Sheet1[[#This Row],[Ad Spend]]), 0)</f>
        <v>3.9140365448504988</v>
      </c>
      <c r="K786">
        <f>Sheet1[[#This Row],[Revenue]]-Sheet1[[#This Row],[Ad Spend]]</f>
        <v>94.25</v>
      </c>
      <c r="L786" s="2" t="s">
        <v>14</v>
      </c>
      <c r="M786">
        <v>2</v>
      </c>
      <c r="N786" s="2" t="s">
        <v>15</v>
      </c>
      <c r="O786">
        <v>39.443333333333335</v>
      </c>
    </row>
    <row r="787" spans="1:15" x14ac:dyDescent="0.3">
      <c r="A787" s="1">
        <v>45379</v>
      </c>
      <c r="B787" s="2" t="s">
        <v>24</v>
      </c>
      <c r="C787" s="2" t="s">
        <v>12</v>
      </c>
      <c r="D787" s="2" t="s">
        <v>18</v>
      </c>
      <c r="E787">
        <v>161.58000000000001</v>
      </c>
      <c r="F787">
        <v>4.9400000000000004</v>
      </c>
      <c r="G787">
        <v>0</v>
      </c>
      <c r="H787">
        <f t="shared" si="12"/>
        <v>54735.250000000029</v>
      </c>
      <c r="I787" t="str">
        <f>IF(Sheet1[[#This Row],[Month_Revenue]] &lt; AVERAGE(Sheet1[Month_Revenue]), "Off-Peak", "Peak")</f>
        <v>Off-Peak</v>
      </c>
      <c r="J787">
        <f xml:space="preserve"> IF(Sheet1[[#This Row],[Ad Spend]] &gt; 0, (Sheet1[[#This Row],[Profit]] / Sheet1[[#This Row],[Ad Spend]]), 0)</f>
        <v>31.708502024291498</v>
      </c>
      <c r="K787">
        <f>Sheet1[[#This Row],[Revenue]]-Sheet1[[#This Row],[Ad Spend]]</f>
        <v>156.64000000000001</v>
      </c>
      <c r="L787" s="2" t="s">
        <v>14</v>
      </c>
      <c r="M787">
        <v>3</v>
      </c>
      <c r="N787" s="2" t="s">
        <v>19</v>
      </c>
      <c r="O787">
        <v>0</v>
      </c>
    </row>
    <row r="788" spans="1:15" x14ac:dyDescent="0.3">
      <c r="A788" s="1">
        <v>45350</v>
      </c>
      <c r="B788" s="2" t="s">
        <v>11</v>
      </c>
      <c r="C788" s="2" t="s">
        <v>21</v>
      </c>
      <c r="D788" s="2" t="s">
        <v>18</v>
      </c>
      <c r="E788">
        <v>46.8</v>
      </c>
      <c r="F788">
        <v>36.11</v>
      </c>
      <c r="G788">
        <v>3</v>
      </c>
      <c r="H788">
        <f t="shared" si="12"/>
        <v>48675.899999999936</v>
      </c>
      <c r="I788" t="str">
        <f>IF(Sheet1[[#This Row],[Month_Revenue]] &lt; AVERAGE(Sheet1[Month_Revenue]), "Off-Peak", "Peak")</f>
        <v>Off-Peak</v>
      </c>
      <c r="J788">
        <f xml:space="preserve"> IF(Sheet1[[#This Row],[Ad Spend]] &gt; 0, (Sheet1[[#This Row],[Profit]] / Sheet1[[#This Row],[Ad Spend]]), 0)</f>
        <v>0.29603987815009686</v>
      </c>
      <c r="K788">
        <f>Sheet1[[#This Row],[Revenue]]-Sheet1[[#This Row],[Ad Spend]]</f>
        <v>10.689999999999998</v>
      </c>
      <c r="L788" s="2" t="s">
        <v>14</v>
      </c>
      <c r="M788">
        <v>2</v>
      </c>
      <c r="N788" s="2" t="s">
        <v>15</v>
      </c>
      <c r="O788">
        <v>15.6</v>
      </c>
    </row>
    <row r="789" spans="1:15" x14ac:dyDescent="0.3">
      <c r="A789" s="1">
        <v>45350</v>
      </c>
      <c r="B789" s="2" t="s">
        <v>11</v>
      </c>
      <c r="C789" s="2" t="s">
        <v>12</v>
      </c>
      <c r="D789" s="2" t="s">
        <v>13</v>
      </c>
      <c r="E789">
        <v>145.9</v>
      </c>
      <c r="F789">
        <v>35.61</v>
      </c>
      <c r="G789">
        <v>1</v>
      </c>
      <c r="H789">
        <f t="shared" si="12"/>
        <v>48675.899999999936</v>
      </c>
      <c r="I789" t="str">
        <f>IF(Sheet1[[#This Row],[Month_Revenue]] &lt; AVERAGE(Sheet1[Month_Revenue]), "Off-Peak", "Peak")</f>
        <v>Off-Peak</v>
      </c>
      <c r="J789">
        <f xml:space="preserve"> IF(Sheet1[[#This Row],[Ad Spend]] &gt; 0, (Sheet1[[#This Row],[Profit]] / Sheet1[[#This Row],[Ad Spend]]), 0)</f>
        <v>3.0971637180567257</v>
      </c>
      <c r="K789">
        <f>Sheet1[[#This Row],[Revenue]]-Sheet1[[#This Row],[Ad Spend]]</f>
        <v>110.29</v>
      </c>
      <c r="L789" s="2" t="s">
        <v>22</v>
      </c>
      <c r="M789">
        <v>2</v>
      </c>
      <c r="N789" s="2" t="s">
        <v>15</v>
      </c>
      <c r="O789">
        <v>145.9</v>
      </c>
    </row>
    <row r="790" spans="1:15" x14ac:dyDescent="0.3">
      <c r="A790" s="1">
        <v>45311</v>
      </c>
      <c r="B790" s="2" t="s">
        <v>20</v>
      </c>
      <c r="C790" s="2" t="s">
        <v>17</v>
      </c>
      <c r="D790" s="2" t="s">
        <v>18</v>
      </c>
      <c r="E790">
        <v>23.35</v>
      </c>
      <c r="F790">
        <v>3.6</v>
      </c>
      <c r="G790">
        <v>3</v>
      </c>
      <c r="H790">
        <f t="shared" si="12"/>
        <v>61207.979999999989</v>
      </c>
      <c r="I790" t="str">
        <f>IF(Sheet1[[#This Row],[Month_Revenue]] &lt; AVERAGE(Sheet1[Month_Revenue]), "Off-Peak", "Peak")</f>
        <v>Peak</v>
      </c>
      <c r="J790">
        <f xml:space="preserve"> IF(Sheet1[[#This Row],[Ad Spend]] &gt; 0, (Sheet1[[#This Row],[Profit]] / Sheet1[[#This Row],[Ad Spend]]), 0)</f>
        <v>5.4861111111111107</v>
      </c>
      <c r="K790">
        <f>Sheet1[[#This Row],[Revenue]]-Sheet1[[#This Row],[Ad Spend]]</f>
        <v>19.75</v>
      </c>
      <c r="L790" s="2" t="s">
        <v>22</v>
      </c>
      <c r="M790">
        <v>1</v>
      </c>
      <c r="N790" s="2" t="s">
        <v>15</v>
      </c>
      <c r="O790">
        <v>7.7833333333333341</v>
      </c>
    </row>
    <row r="791" spans="1:15" x14ac:dyDescent="0.3">
      <c r="A791" s="1">
        <v>45403</v>
      </c>
      <c r="B791" s="2" t="s">
        <v>20</v>
      </c>
      <c r="C791" s="2" t="s">
        <v>12</v>
      </c>
      <c r="D791" s="2" t="s">
        <v>18</v>
      </c>
      <c r="E791">
        <v>131.91</v>
      </c>
      <c r="F791">
        <v>13.64</v>
      </c>
      <c r="G791">
        <v>2</v>
      </c>
      <c r="H791">
        <f t="shared" si="12"/>
        <v>58562.910000000018</v>
      </c>
      <c r="I791" t="str">
        <f>IF(Sheet1[[#This Row],[Month_Revenue]] &lt; AVERAGE(Sheet1[Month_Revenue]), "Off-Peak", "Peak")</f>
        <v>Peak</v>
      </c>
      <c r="J791">
        <f xml:space="preserve"> IF(Sheet1[[#This Row],[Ad Spend]] &gt; 0, (Sheet1[[#This Row],[Profit]] / Sheet1[[#This Row],[Ad Spend]]), 0)</f>
        <v>8.6708211143695006</v>
      </c>
      <c r="K791">
        <f>Sheet1[[#This Row],[Revenue]]-Sheet1[[#This Row],[Ad Spend]]</f>
        <v>118.27</v>
      </c>
      <c r="L791" s="2" t="s">
        <v>14</v>
      </c>
      <c r="M791">
        <v>4</v>
      </c>
      <c r="N791" s="2" t="s">
        <v>19</v>
      </c>
      <c r="O791">
        <v>65.954999999999998</v>
      </c>
    </row>
    <row r="792" spans="1:15" x14ac:dyDescent="0.3">
      <c r="A792" s="1">
        <v>45322</v>
      </c>
      <c r="B792" s="2" t="s">
        <v>11</v>
      </c>
      <c r="C792" s="2" t="s">
        <v>21</v>
      </c>
      <c r="D792" s="2" t="s">
        <v>18</v>
      </c>
      <c r="E792">
        <v>133.93</v>
      </c>
      <c r="F792">
        <v>49.54</v>
      </c>
      <c r="G792">
        <v>1</v>
      </c>
      <c r="H792">
        <f t="shared" si="12"/>
        <v>61207.979999999989</v>
      </c>
      <c r="I792" t="str">
        <f>IF(Sheet1[[#This Row],[Month_Revenue]] &lt; AVERAGE(Sheet1[Month_Revenue]), "Off-Peak", "Peak")</f>
        <v>Peak</v>
      </c>
      <c r="J792">
        <f xml:space="preserve"> IF(Sheet1[[#This Row],[Ad Spend]] &gt; 0, (Sheet1[[#This Row],[Profit]] / Sheet1[[#This Row],[Ad Spend]]), 0)</f>
        <v>1.7034719418651598</v>
      </c>
      <c r="K792">
        <f>Sheet1[[#This Row],[Revenue]]-Sheet1[[#This Row],[Ad Spend]]</f>
        <v>84.390000000000015</v>
      </c>
      <c r="L792" s="2" t="s">
        <v>14</v>
      </c>
      <c r="M792">
        <v>1</v>
      </c>
      <c r="N792" s="2" t="s">
        <v>15</v>
      </c>
      <c r="O792">
        <v>133.93</v>
      </c>
    </row>
    <row r="793" spans="1:15" x14ac:dyDescent="0.3">
      <c r="A793" s="1">
        <v>45343</v>
      </c>
      <c r="B793" s="2" t="s">
        <v>11</v>
      </c>
      <c r="C793" s="2" t="s">
        <v>21</v>
      </c>
      <c r="D793" s="2" t="s">
        <v>18</v>
      </c>
      <c r="E793">
        <v>71.53</v>
      </c>
      <c r="F793">
        <v>27.45</v>
      </c>
      <c r="G793">
        <v>0</v>
      </c>
      <c r="H793">
        <f t="shared" si="12"/>
        <v>48675.899999999936</v>
      </c>
      <c r="I793" t="str">
        <f>IF(Sheet1[[#This Row],[Month_Revenue]] &lt; AVERAGE(Sheet1[Month_Revenue]), "Off-Peak", "Peak")</f>
        <v>Off-Peak</v>
      </c>
      <c r="J793">
        <f xml:space="preserve"> IF(Sheet1[[#This Row],[Ad Spend]] &gt; 0, (Sheet1[[#This Row],[Profit]] / Sheet1[[#This Row],[Ad Spend]]), 0)</f>
        <v>1.6058287795992714</v>
      </c>
      <c r="K793">
        <f>Sheet1[[#This Row],[Revenue]]-Sheet1[[#This Row],[Ad Spend]]</f>
        <v>44.08</v>
      </c>
      <c r="L793" s="2" t="s">
        <v>14</v>
      </c>
      <c r="M793">
        <v>2</v>
      </c>
      <c r="N793" s="2" t="s">
        <v>15</v>
      </c>
      <c r="O793">
        <v>0</v>
      </c>
    </row>
    <row r="794" spans="1:15" x14ac:dyDescent="0.3">
      <c r="A794" s="1">
        <v>45360</v>
      </c>
      <c r="B794" s="2" t="s">
        <v>20</v>
      </c>
      <c r="C794" s="2" t="s">
        <v>12</v>
      </c>
      <c r="D794" s="2" t="s">
        <v>18</v>
      </c>
      <c r="E794">
        <v>191.1</v>
      </c>
      <c r="F794">
        <v>8.89</v>
      </c>
      <c r="G794">
        <v>2</v>
      </c>
      <c r="H794">
        <f t="shared" si="12"/>
        <v>54735.250000000029</v>
      </c>
      <c r="I794" t="str">
        <f>IF(Sheet1[[#This Row],[Month_Revenue]] &lt; AVERAGE(Sheet1[Month_Revenue]), "Off-Peak", "Peak")</f>
        <v>Off-Peak</v>
      </c>
      <c r="J794">
        <f xml:space="preserve"> IF(Sheet1[[#This Row],[Ad Spend]] &gt; 0, (Sheet1[[#This Row],[Profit]] / Sheet1[[#This Row],[Ad Spend]]), 0)</f>
        <v>20.496062992125982</v>
      </c>
      <c r="K794">
        <f>Sheet1[[#This Row],[Revenue]]-Sheet1[[#This Row],[Ad Spend]]</f>
        <v>182.20999999999998</v>
      </c>
      <c r="L794" s="2" t="s">
        <v>14</v>
      </c>
      <c r="M794">
        <v>3</v>
      </c>
      <c r="N794" s="2" t="s">
        <v>19</v>
      </c>
      <c r="O794">
        <v>95.55</v>
      </c>
    </row>
    <row r="795" spans="1:15" x14ac:dyDescent="0.3">
      <c r="A795" s="1">
        <v>45302</v>
      </c>
      <c r="B795" s="2" t="s">
        <v>11</v>
      </c>
      <c r="C795" s="2" t="s">
        <v>17</v>
      </c>
      <c r="D795" s="2" t="s">
        <v>13</v>
      </c>
      <c r="E795">
        <v>124.26</v>
      </c>
      <c r="F795">
        <v>36.520000000000003</v>
      </c>
      <c r="G795">
        <v>1</v>
      </c>
      <c r="H795">
        <f t="shared" si="12"/>
        <v>61207.979999999989</v>
      </c>
      <c r="I795" t="str">
        <f>IF(Sheet1[[#This Row],[Month_Revenue]] &lt; AVERAGE(Sheet1[Month_Revenue]), "Off-Peak", "Peak")</f>
        <v>Peak</v>
      </c>
      <c r="J795">
        <f xml:space="preserve"> IF(Sheet1[[#This Row],[Ad Spend]] &gt; 0, (Sheet1[[#This Row],[Profit]] / Sheet1[[#This Row],[Ad Spend]]), 0)</f>
        <v>2.4025191675794084</v>
      </c>
      <c r="K795">
        <f>Sheet1[[#This Row],[Revenue]]-Sheet1[[#This Row],[Ad Spend]]</f>
        <v>87.740000000000009</v>
      </c>
      <c r="L795" s="2" t="s">
        <v>22</v>
      </c>
      <c r="M795">
        <v>1</v>
      </c>
      <c r="N795" s="2" t="s">
        <v>15</v>
      </c>
      <c r="O795">
        <v>124.26</v>
      </c>
    </row>
    <row r="796" spans="1:15" x14ac:dyDescent="0.3">
      <c r="A796" s="1">
        <v>45393</v>
      </c>
      <c r="B796" s="2" t="s">
        <v>11</v>
      </c>
      <c r="C796" s="2" t="s">
        <v>21</v>
      </c>
      <c r="D796" s="2" t="s">
        <v>13</v>
      </c>
      <c r="E796">
        <v>38.869999999999997</v>
      </c>
      <c r="F796">
        <v>4.82</v>
      </c>
      <c r="G796">
        <v>1</v>
      </c>
      <c r="H796">
        <f t="shared" si="12"/>
        <v>58562.910000000018</v>
      </c>
      <c r="I796" t="str">
        <f>IF(Sheet1[[#This Row],[Month_Revenue]] &lt; AVERAGE(Sheet1[Month_Revenue]), "Off-Peak", "Peak")</f>
        <v>Peak</v>
      </c>
      <c r="J796">
        <f xml:space="preserve"> IF(Sheet1[[#This Row],[Ad Spend]] &gt; 0, (Sheet1[[#This Row],[Profit]] / Sheet1[[#This Row],[Ad Spend]]), 0)</f>
        <v>7.0643153526970943</v>
      </c>
      <c r="K796">
        <f>Sheet1[[#This Row],[Revenue]]-Sheet1[[#This Row],[Ad Spend]]</f>
        <v>34.049999999999997</v>
      </c>
      <c r="L796" s="2" t="s">
        <v>14</v>
      </c>
      <c r="M796">
        <v>4</v>
      </c>
      <c r="N796" s="2" t="s">
        <v>19</v>
      </c>
      <c r="O796">
        <v>38.869999999999997</v>
      </c>
    </row>
    <row r="797" spans="1:15" x14ac:dyDescent="0.3">
      <c r="A797" s="1">
        <v>45377</v>
      </c>
      <c r="B797" s="2" t="s">
        <v>20</v>
      </c>
      <c r="C797" s="2" t="s">
        <v>17</v>
      </c>
      <c r="D797" s="2" t="s">
        <v>18</v>
      </c>
      <c r="E797">
        <v>125.22</v>
      </c>
      <c r="F797">
        <v>16.260000000000002</v>
      </c>
      <c r="G797">
        <v>0</v>
      </c>
      <c r="H797">
        <f t="shared" si="12"/>
        <v>54735.250000000029</v>
      </c>
      <c r="I797" t="str">
        <f>IF(Sheet1[[#This Row],[Month_Revenue]] &lt; AVERAGE(Sheet1[Month_Revenue]), "Off-Peak", "Peak")</f>
        <v>Off-Peak</v>
      </c>
      <c r="J797">
        <f xml:space="preserve"> IF(Sheet1[[#This Row],[Ad Spend]] &gt; 0, (Sheet1[[#This Row],[Profit]] / Sheet1[[#This Row],[Ad Spend]]), 0)</f>
        <v>6.7011070110701096</v>
      </c>
      <c r="K797">
        <f>Sheet1[[#This Row],[Revenue]]-Sheet1[[#This Row],[Ad Spend]]</f>
        <v>108.96</v>
      </c>
      <c r="L797" s="2" t="s">
        <v>14</v>
      </c>
      <c r="M797">
        <v>3</v>
      </c>
      <c r="N797" s="2" t="s">
        <v>19</v>
      </c>
      <c r="O797">
        <v>0</v>
      </c>
    </row>
    <row r="798" spans="1:15" x14ac:dyDescent="0.3">
      <c r="A798" s="1">
        <v>45351</v>
      </c>
      <c r="B798" s="2" t="s">
        <v>16</v>
      </c>
      <c r="C798" s="2" t="s">
        <v>21</v>
      </c>
      <c r="D798" s="2" t="s">
        <v>18</v>
      </c>
      <c r="E798">
        <v>119.87</v>
      </c>
      <c r="F798">
        <v>42.94</v>
      </c>
      <c r="G798">
        <v>2</v>
      </c>
      <c r="H798">
        <f t="shared" si="12"/>
        <v>48675.899999999936</v>
      </c>
      <c r="I798" t="str">
        <f>IF(Sheet1[[#This Row],[Month_Revenue]] &lt; AVERAGE(Sheet1[Month_Revenue]), "Off-Peak", "Peak")</f>
        <v>Off-Peak</v>
      </c>
      <c r="J798">
        <f xml:space="preserve"> IF(Sheet1[[#This Row],[Ad Spend]] &gt; 0, (Sheet1[[#This Row],[Profit]] / Sheet1[[#This Row],[Ad Spend]]), 0)</f>
        <v>1.7915696320447139</v>
      </c>
      <c r="K798">
        <f>Sheet1[[#This Row],[Revenue]]-Sheet1[[#This Row],[Ad Spend]]</f>
        <v>76.930000000000007</v>
      </c>
      <c r="L798" s="2" t="s">
        <v>14</v>
      </c>
      <c r="M798">
        <v>2</v>
      </c>
      <c r="N798" s="2" t="s">
        <v>15</v>
      </c>
      <c r="O798">
        <v>59.935000000000002</v>
      </c>
    </row>
    <row r="799" spans="1:15" x14ac:dyDescent="0.3">
      <c r="A799" s="1">
        <v>45403</v>
      </c>
      <c r="B799" s="2" t="s">
        <v>24</v>
      </c>
      <c r="C799" s="2" t="s">
        <v>17</v>
      </c>
      <c r="D799" s="2" t="s">
        <v>18</v>
      </c>
      <c r="E799">
        <v>111.55</v>
      </c>
      <c r="F799">
        <v>14.32</v>
      </c>
      <c r="G799">
        <v>2</v>
      </c>
      <c r="H799">
        <f t="shared" si="12"/>
        <v>58562.910000000018</v>
      </c>
      <c r="I799" t="str">
        <f>IF(Sheet1[[#This Row],[Month_Revenue]] &lt; AVERAGE(Sheet1[Month_Revenue]), "Off-Peak", "Peak")</f>
        <v>Peak</v>
      </c>
      <c r="J799">
        <f xml:space="preserve"> IF(Sheet1[[#This Row],[Ad Spend]] &gt; 0, (Sheet1[[#This Row],[Profit]] / Sheet1[[#This Row],[Ad Spend]]), 0)</f>
        <v>6.7898044692737418</v>
      </c>
      <c r="K799">
        <f>Sheet1[[#This Row],[Revenue]]-Sheet1[[#This Row],[Ad Spend]]</f>
        <v>97.22999999999999</v>
      </c>
      <c r="L799" s="2" t="s">
        <v>14</v>
      </c>
      <c r="M799">
        <v>4</v>
      </c>
      <c r="N799" s="2" t="s">
        <v>19</v>
      </c>
      <c r="O799">
        <v>55.774999999999999</v>
      </c>
    </row>
    <row r="800" spans="1:15" x14ac:dyDescent="0.3">
      <c r="A800" s="1">
        <v>45315</v>
      </c>
      <c r="B800" s="2" t="s">
        <v>11</v>
      </c>
      <c r="C800" s="2" t="s">
        <v>17</v>
      </c>
      <c r="D800" s="2" t="s">
        <v>18</v>
      </c>
      <c r="E800">
        <v>175.47</v>
      </c>
      <c r="F800">
        <v>36.1</v>
      </c>
      <c r="G800">
        <v>0</v>
      </c>
      <c r="H800">
        <f t="shared" si="12"/>
        <v>61207.979999999989</v>
      </c>
      <c r="I800" t="str">
        <f>IF(Sheet1[[#This Row],[Month_Revenue]] &lt; AVERAGE(Sheet1[Month_Revenue]), "Off-Peak", "Peak")</f>
        <v>Peak</v>
      </c>
      <c r="J800">
        <f xml:space="preserve"> IF(Sheet1[[#This Row],[Ad Spend]] &gt; 0, (Sheet1[[#This Row],[Profit]] / Sheet1[[#This Row],[Ad Spend]]), 0)</f>
        <v>3.8606648199445983</v>
      </c>
      <c r="K800">
        <f>Sheet1[[#This Row],[Revenue]]-Sheet1[[#This Row],[Ad Spend]]</f>
        <v>139.37</v>
      </c>
      <c r="L800" s="2" t="s">
        <v>22</v>
      </c>
      <c r="M800">
        <v>1</v>
      </c>
      <c r="N800" s="2" t="s">
        <v>15</v>
      </c>
      <c r="O800">
        <v>0</v>
      </c>
    </row>
    <row r="801" spans="1:15" x14ac:dyDescent="0.3">
      <c r="A801" s="1">
        <v>45387</v>
      </c>
      <c r="B801" s="2" t="s">
        <v>16</v>
      </c>
      <c r="C801" s="2" t="s">
        <v>17</v>
      </c>
      <c r="D801" s="2" t="s">
        <v>13</v>
      </c>
      <c r="E801">
        <v>66.72</v>
      </c>
      <c r="F801">
        <v>8.73</v>
      </c>
      <c r="G801">
        <v>1</v>
      </c>
      <c r="H801">
        <f t="shared" si="12"/>
        <v>58562.910000000018</v>
      </c>
      <c r="I801" t="str">
        <f>IF(Sheet1[[#This Row],[Month_Revenue]] &lt; AVERAGE(Sheet1[Month_Revenue]), "Off-Peak", "Peak")</f>
        <v>Peak</v>
      </c>
      <c r="J801">
        <f xml:space="preserve"> IF(Sheet1[[#This Row],[Ad Spend]] &gt; 0, (Sheet1[[#This Row],[Profit]] / Sheet1[[#This Row],[Ad Spend]]), 0)</f>
        <v>6.6426116838487967</v>
      </c>
      <c r="K801">
        <f>Sheet1[[#This Row],[Revenue]]-Sheet1[[#This Row],[Ad Spend]]</f>
        <v>57.989999999999995</v>
      </c>
      <c r="L801" s="2" t="s">
        <v>22</v>
      </c>
      <c r="M801">
        <v>4</v>
      </c>
      <c r="N801" s="2" t="s">
        <v>19</v>
      </c>
      <c r="O801">
        <v>66.72</v>
      </c>
    </row>
    <row r="802" spans="1:15" x14ac:dyDescent="0.3">
      <c r="A802" s="1">
        <v>45312</v>
      </c>
      <c r="B802" s="2" t="s">
        <v>23</v>
      </c>
      <c r="C802" s="2" t="s">
        <v>12</v>
      </c>
      <c r="D802" s="2" t="s">
        <v>13</v>
      </c>
      <c r="E802">
        <v>181.22</v>
      </c>
      <c r="F802">
        <v>7.03</v>
      </c>
      <c r="G802">
        <v>1</v>
      </c>
      <c r="H802">
        <f t="shared" si="12"/>
        <v>61207.979999999989</v>
      </c>
      <c r="I802" t="str">
        <f>IF(Sheet1[[#This Row],[Month_Revenue]] &lt; AVERAGE(Sheet1[Month_Revenue]), "Off-Peak", "Peak")</f>
        <v>Peak</v>
      </c>
      <c r="J802">
        <f xml:space="preserve"> IF(Sheet1[[#This Row],[Ad Spend]] &gt; 0, (Sheet1[[#This Row],[Profit]] / Sheet1[[#This Row],[Ad Spend]]), 0)</f>
        <v>24.778093883357041</v>
      </c>
      <c r="K802">
        <f>Sheet1[[#This Row],[Revenue]]-Sheet1[[#This Row],[Ad Spend]]</f>
        <v>174.19</v>
      </c>
      <c r="L802" s="2" t="s">
        <v>14</v>
      </c>
      <c r="M802">
        <v>1</v>
      </c>
      <c r="N802" s="2" t="s">
        <v>15</v>
      </c>
      <c r="O802">
        <v>181.22</v>
      </c>
    </row>
    <row r="803" spans="1:15" x14ac:dyDescent="0.3">
      <c r="A803" s="1">
        <v>45395</v>
      </c>
      <c r="B803" s="2" t="s">
        <v>11</v>
      </c>
      <c r="C803" s="2" t="s">
        <v>12</v>
      </c>
      <c r="D803" s="2" t="s">
        <v>18</v>
      </c>
      <c r="E803">
        <v>156</v>
      </c>
      <c r="F803">
        <v>19.79</v>
      </c>
      <c r="G803">
        <v>2</v>
      </c>
      <c r="H803">
        <f t="shared" si="12"/>
        <v>58562.910000000018</v>
      </c>
      <c r="I803" t="str">
        <f>IF(Sheet1[[#This Row],[Month_Revenue]] &lt; AVERAGE(Sheet1[Month_Revenue]), "Off-Peak", "Peak")</f>
        <v>Peak</v>
      </c>
      <c r="J803">
        <f xml:space="preserve"> IF(Sheet1[[#This Row],[Ad Spend]] &gt; 0, (Sheet1[[#This Row],[Profit]] / Sheet1[[#This Row],[Ad Spend]]), 0)</f>
        <v>6.8827690752905513</v>
      </c>
      <c r="K803">
        <f>Sheet1[[#This Row],[Revenue]]-Sheet1[[#This Row],[Ad Spend]]</f>
        <v>136.21</v>
      </c>
      <c r="L803" s="2" t="s">
        <v>14</v>
      </c>
      <c r="M803">
        <v>4</v>
      </c>
      <c r="N803" s="2" t="s">
        <v>19</v>
      </c>
      <c r="O803">
        <v>78</v>
      </c>
    </row>
    <row r="804" spans="1:15" x14ac:dyDescent="0.3">
      <c r="A804" s="1">
        <v>45386</v>
      </c>
      <c r="B804" s="2" t="s">
        <v>20</v>
      </c>
      <c r="C804" s="2" t="s">
        <v>12</v>
      </c>
      <c r="D804" s="2" t="s">
        <v>18</v>
      </c>
      <c r="E804">
        <v>22.21</v>
      </c>
      <c r="F804">
        <v>46.19</v>
      </c>
      <c r="G804">
        <v>3</v>
      </c>
      <c r="H804">
        <f t="shared" si="12"/>
        <v>58562.910000000018</v>
      </c>
      <c r="I804" t="str">
        <f>IF(Sheet1[[#This Row],[Month_Revenue]] &lt; AVERAGE(Sheet1[Month_Revenue]), "Off-Peak", "Peak")</f>
        <v>Peak</v>
      </c>
      <c r="J804">
        <f xml:space="preserve"> IF(Sheet1[[#This Row],[Ad Spend]] &gt; 0, (Sheet1[[#This Row],[Profit]] / Sheet1[[#This Row],[Ad Spend]]), 0)</f>
        <v>-0.51915999134011681</v>
      </c>
      <c r="K804">
        <f>Sheet1[[#This Row],[Revenue]]-Sheet1[[#This Row],[Ad Spend]]</f>
        <v>-23.979999999999997</v>
      </c>
      <c r="L804" s="2" t="s">
        <v>14</v>
      </c>
      <c r="M804">
        <v>4</v>
      </c>
      <c r="N804" s="2" t="s">
        <v>19</v>
      </c>
      <c r="O804">
        <v>7.4033333333333333</v>
      </c>
    </row>
    <row r="805" spans="1:15" x14ac:dyDescent="0.3">
      <c r="A805" s="1">
        <v>45346</v>
      </c>
      <c r="B805" s="2" t="s">
        <v>20</v>
      </c>
      <c r="C805" s="2" t="s">
        <v>17</v>
      </c>
      <c r="D805" s="2" t="s">
        <v>13</v>
      </c>
      <c r="E805">
        <v>165.16</v>
      </c>
      <c r="F805">
        <v>20.22</v>
      </c>
      <c r="G805">
        <v>2</v>
      </c>
      <c r="H805">
        <f t="shared" si="12"/>
        <v>48675.899999999936</v>
      </c>
      <c r="I805" t="str">
        <f>IF(Sheet1[[#This Row],[Month_Revenue]] &lt; AVERAGE(Sheet1[Month_Revenue]), "Off-Peak", "Peak")</f>
        <v>Off-Peak</v>
      </c>
      <c r="J805">
        <f xml:space="preserve"> IF(Sheet1[[#This Row],[Ad Spend]] &gt; 0, (Sheet1[[#This Row],[Profit]] / Sheet1[[#This Row],[Ad Spend]]), 0)</f>
        <v>7.1681503461918892</v>
      </c>
      <c r="K805">
        <f>Sheet1[[#This Row],[Revenue]]-Sheet1[[#This Row],[Ad Spend]]</f>
        <v>144.94</v>
      </c>
      <c r="L805" s="2" t="s">
        <v>14</v>
      </c>
      <c r="M805">
        <v>2</v>
      </c>
      <c r="N805" s="2" t="s">
        <v>15</v>
      </c>
      <c r="O805">
        <v>82.58</v>
      </c>
    </row>
    <row r="806" spans="1:15" x14ac:dyDescent="0.3">
      <c r="A806" s="1">
        <v>45406</v>
      </c>
      <c r="B806" s="2" t="s">
        <v>11</v>
      </c>
      <c r="C806" s="2" t="s">
        <v>17</v>
      </c>
      <c r="D806" s="2" t="s">
        <v>13</v>
      </c>
      <c r="E806">
        <v>109.44</v>
      </c>
      <c r="F806">
        <v>36.32</v>
      </c>
      <c r="G806">
        <v>2</v>
      </c>
      <c r="H806">
        <f t="shared" si="12"/>
        <v>58562.910000000018</v>
      </c>
      <c r="I806" t="str">
        <f>IF(Sheet1[[#This Row],[Month_Revenue]] &lt; AVERAGE(Sheet1[Month_Revenue]), "Off-Peak", "Peak")</f>
        <v>Peak</v>
      </c>
      <c r="J806">
        <f xml:space="preserve"> IF(Sheet1[[#This Row],[Ad Spend]] &gt; 0, (Sheet1[[#This Row],[Profit]] / Sheet1[[#This Row],[Ad Spend]]), 0)</f>
        <v>2.0132158590308373</v>
      </c>
      <c r="K806">
        <f>Sheet1[[#This Row],[Revenue]]-Sheet1[[#This Row],[Ad Spend]]</f>
        <v>73.12</v>
      </c>
      <c r="L806" s="2" t="s">
        <v>22</v>
      </c>
      <c r="M806">
        <v>4</v>
      </c>
      <c r="N806" s="2" t="s">
        <v>19</v>
      </c>
      <c r="O806">
        <v>54.72</v>
      </c>
    </row>
    <row r="807" spans="1:15" x14ac:dyDescent="0.3">
      <c r="A807" s="1">
        <v>45357</v>
      </c>
      <c r="B807" s="2" t="s">
        <v>20</v>
      </c>
      <c r="C807" s="2" t="s">
        <v>12</v>
      </c>
      <c r="D807" s="2" t="s">
        <v>13</v>
      </c>
      <c r="E807">
        <v>66.38</v>
      </c>
      <c r="F807">
        <v>44.75</v>
      </c>
      <c r="G807">
        <v>3</v>
      </c>
      <c r="H807">
        <f t="shared" si="12"/>
        <v>54735.250000000029</v>
      </c>
      <c r="I807" t="str">
        <f>IF(Sheet1[[#This Row],[Month_Revenue]] &lt; AVERAGE(Sheet1[Month_Revenue]), "Off-Peak", "Peak")</f>
        <v>Off-Peak</v>
      </c>
      <c r="J807">
        <f xml:space="preserve"> IF(Sheet1[[#This Row],[Ad Spend]] &gt; 0, (Sheet1[[#This Row],[Profit]] / Sheet1[[#This Row],[Ad Spend]]), 0)</f>
        <v>0.48335195530726249</v>
      </c>
      <c r="K807">
        <f>Sheet1[[#This Row],[Revenue]]-Sheet1[[#This Row],[Ad Spend]]</f>
        <v>21.629999999999995</v>
      </c>
      <c r="L807" s="2" t="s">
        <v>14</v>
      </c>
      <c r="M807">
        <v>3</v>
      </c>
      <c r="N807" s="2" t="s">
        <v>19</v>
      </c>
      <c r="O807">
        <v>22.126666666666665</v>
      </c>
    </row>
    <row r="808" spans="1:15" x14ac:dyDescent="0.3">
      <c r="A808" s="1">
        <v>45297</v>
      </c>
      <c r="B808" s="2" t="s">
        <v>11</v>
      </c>
      <c r="C808" s="2" t="s">
        <v>21</v>
      </c>
      <c r="D808" s="2" t="s">
        <v>13</v>
      </c>
      <c r="E808">
        <v>193.89</v>
      </c>
      <c r="F808">
        <v>17.02</v>
      </c>
      <c r="G808">
        <v>1</v>
      </c>
      <c r="H808">
        <f t="shared" si="12"/>
        <v>61207.979999999989</v>
      </c>
      <c r="I808" t="str">
        <f>IF(Sheet1[[#This Row],[Month_Revenue]] &lt; AVERAGE(Sheet1[Month_Revenue]), "Off-Peak", "Peak")</f>
        <v>Peak</v>
      </c>
      <c r="J808">
        <f xml:space="preserve"> IF(Sheet1[[#This Row],[Ad Spend]] &gt; 0, (Sheet1[[#This Row],[Profit]] / Sheet1[[#This Row],[Ad Spend]]), 0)</f>
        <v>10.391891891891891</v>
      </c>
      <c r="K808">
        <f>Sheet1[[#This Row],[Revenue]]-Sheet1[[#This Row],[Ad Spend]]</f>
        <v>176.86999999999998</v>
      </c>
      <c r="L808" s="2" t="s">
        <v>14</v>
      </c>
      <c r="M808">
        <v>1</v>
      </c>
      <c r="N808" s="2" t="s">
        <v>15</v>
      </c>
      <c r="O808">
        <v>193.89</v>
      </c>
    </row>
    <row r="809" spans="1:15" x14ac:dyDescent="0.3">
      <c r="A809" s="1">
        <v>45311</v>
      </c>
      <c r="B809" s="2" t="s">
        <v>11</v>
      </c>
      <c r="C809" s="2" t="s">
        <v>17</v>
      </c>
      <c r="D809" s="2" t="s">
        <v>13</v>
      </c>
      <c r="E809">
        <v>136.37</v>
      </c>
      <c r="F809">
        <v>26.77</v>
      </c>
      <c r="G809">
        <v>2</v>
      </c>
      <c r="H809">
        <f t="shared" si="12"/>
        <v>61207.979999999989</v>
      </c>
      <c r="I809" t="str">
        <f>IF(Sheet1[[#This Row],[Month_Revenue]] &lt; AVERAGE(Sheet1[Month_Revenue]), "Off-Peak", "Peak")</f>
        <v>Peak</v>
      </c>
      <c r="J809">
        <f xml:space="preserve"> IF(Sheet1[[#This Row],[Ad Spend]] &gt; 0, (Sheet1[[#This Row],[Profit]] / Sheet1[[#This Row],[Ad Spend]]), 0)</f>
        <v>4.0941352259992536</v>
      </c>
      <c r="K809">
        <f>Sheet1[[#This Row],[Revenue]]-Sheet1[[#This Row],[Ad Spend]]</f>
        <v>109.60000000000001</v>
      </c>
      <c r="L809" s="2" t="s">
        <v>22</v>
      </c>
      <c r="M809">
        <v>1</v>
      </c>
      <c r="N809" s="2" t="s">
        <v>15</v>
      </c>
      <c r="O809">
        <v>68.185000000000002</v>
      </c>
    </row>
    <row r="810" spans="1:15" x14ac:dyDescent="0.3">
      <c r="A810" s="1">
        <v>45372</v>
      </c>
      <c r="B810" s="2" t="s">
        <v>16</v>
      </c>
      <c r="C810" s="2" t="s">
        <v>17</v>
      </c>
      <c r="D810" s="2" t="s">
        <v>18</v>
      </c>
      <c r="E810">
        <v>89.6</v>
      </c>
      <c r="F810">
        <v>39.380000000000003</v>
      </c>
      <c r="G810">
        <v>3</v>
      </c>
      <c r="H810">
        <f t="shared" si="12"/>
        <v>54735.250000000029</v>
      </c>
      <c r="I810" t="str">
        <f>IF(Sheet1[[#This Row],[Month_Revenue]] &lt; AVERAGE(Sheet1[Month_Revenue]), "Off-Peak", "Peak")</f>
        <v>Off-Peak</v>
      </c>
      <c r="J810">
        <f xml:space="preserve"> IF(Sheet1[[#This Row],[Ad Spend]] &gt; 0, (Sheet1[[#This Row],[Profit]] / Sheet1[[#This Row],[Ad Spend]]), 0)</f>
        <v>1.275266632808532</v>
      </c>
      <c r="K810">
        <f>Sheet1[[#This Row],[Revenue]]-Sheet1[[#This Row],[Ad Spend]]</f>
        <v>50.219999999999992</v>
      </c>
      <c r="L810" s="2" t="s">
        <v>22</v>
      </c>
      <c r="M810">
        <v>3</v>
      </c>
      <c r="N810" s="2" t="s">
        <v>19</v>
      </c>
      <c r="O810">
        <v>29.866666666666664</v>
      </c>
    </row>
    <row r="811" spans="1:15" x14ac:dyDescent="0.3">
      <c r="A811" s="1">
        <v>45390</v>
      </c>
      <c r="B811" s="2" t="s">
        <v>20</v>
      </c>
      <c r="C811" s="2" t="s">
        <v>21</v>
      </c>
      <c r="D811" s="2" t="s">
        <v>18</v>
      </c>
      <c r="E811">
        <v>29.96</v>
      </c>
      <c r="F811">
        <v>35.65</v>
      </c>
      <c r="G811">
        <v>2</v>
      </c>
      <c r="H811">
        <f t="shared" si="12"/>
        <v>58562.910000000018</v>
      </c>
      <c r="I811" t="str">
        <f>IF(Sheet1[[#This Row],[Month_Revenue]] &lt; AVERAGE(Sheet1[Month_Revenue]), "Off-Peak", "Peak")</f>
        <v>Peak</v>
      </c>
      <c r="J811">
        <f xml:space="preserve"> IF(Sheet1[[#This Row],[Ad Spend]] &gt; 0, (Sheet1[[#This Row],[Profit]] / Sheet1[[#This Row],[Ad Spend]]), 0)</f>
        <v>-0.15960729312762967</v>
      </c>
      <c r="K811">
        <f>Sheet1[[#This Row],[Revenue]]-Sheet1[[#This Row],[Ad Spend]]</f>
        <v>-5.6899999999999977</v>
      </c>
      <c r="L811" s="2" t="s">
        <v>14</v>
      </c>
      <c r="M811">
        <v>4</v>
      </c>
      <c r="N811" s="2" t="s">
        <v>19</v>
      </c>
      <c r="O811">
        <v>14.98</v>
      </c>
    </row>
    <row r="812" spans="1:15" x14ac:dyDescent="0.3">
      <c r="A812" s="1">
        <v>45316</v>
      </c>
      <c r="B812" s="2" t="s">
        <v>16</v>
      </c>
      <c r="C812" s="2" t="s">
        <v>17</v>
      </c>
      <c r="D812" s="2" t="s">
        <v>18</v>
      </c>
      <c r="E812">
        <v>113.49</v>
      </c>
      <c r="F812">
        <v>27.55</v>
      </c>
      <c r="G812">
        <v>2</v>
      </c>
      <c r="H812">
        <f t="shared" si="12"/>
        <v>61207.979999999989</v>
      </c>
      <c r="I812" t="str">
        <f>IF(Sheet1[[#This Row],[Month_Revenue]] &lt; AVERAGE(Sheet1[Month_Revenue]), "Off-Peak", "Peak")</f>
        <v>Peak</v>
      </c>
      <c r="J812">
        <f xml:space="preserve"> IF(Sheet1[[#This Row],[Ad Spend]] &gt; 0, (Sheet1[[#This Row],[Profit]] / Sheet1[[#This Row],[Ad Spend]]), 0)</f>
        <v>3.119419237749546</v>
      </c>
      <c r="K812">
        <f>Sheet1[[#This Row],[Revenue]]-Sheet1[[#This Row],[Ad Spend]]</f>
        <v>85.94</v>
      </c>
      <c r="L812" s="2" t="s">
        <v>22</v>
      </c>
      <c r="M812">
        <v>1</v>
      </c>
      <c r="N812" s="2" t="s">
        <v>15</v>
      </c>
      <c r="O812">
        <v>56.744999999999997</v>
      </c>
    </row>
    <row r="813" spans="1:15" x14ac:dyDescent="0.3">
      <c r="A813" s="1">
        <v>45355</v>
      </c>
      <c r="B813" s="2" t="s">
        <v>20</v>
      </c>
      <c r="C813" s="2" t="s">
        <v>12</v>
      </c>
      <c r="D813" s="2" t="s">
        <v>18</v>
      </c>
      <c r="E813">
        <v>81.99</v>
      </c>
      <c r="F813">
        <v>35.31</v>
      </c>
      <c r="G813">
        <v>2</v>
      </c>
      <c r="H813">
        <f t="shared" si="12"/>
        <v>54735.250000000029</v>
      </c>
      <c r="I813" t="str">
        <f>IF(Sheet1[[#This Row],[Month_Revenue]] &lt; AVERAGE(Sheet1[Month_Revenue]), "Off-Peak", "Peak")</f>
        <v>Off-Peak</v>
      </c>
      <c r="J813">
        <f xml:space="preserve"> IF(Sheet1[[#This Row],[Ad Spend]] &gt; 0, (Sheet1[[#This Row],[Profit]] / Sheet1[[#This Row],[Ad Spend]]), 0)</f>
        <v>1.322005097706032</v>
      </c>
      <c r="K813">
        <f>Sheet1[[#This Row],[Revenue]]-Sheet1[[#This Row],[Ad Spend]]</f>
        <v>46.679999999999993</v>
      </c>
      <c r="L813" s="2" t="s">
        <v>14</v>
      </c>
      <c r="M813">
        <v>3</v>
      </c>
      <c r="N813" s="2" t="s">
        <v>19</v>
      </c>
      <c r="O813">
        <v>40.994999999999997</v>
      </c>
    </row>
    <row r="814" spans="1:15" x14ac:dyDescent="0.3">
      <c r="A814" s="1">
        <v>45384</v>
      </c>
      <c r="B814" s="2" t="s">
        <v>11</v>
      </c>
      <c r="C814" s="2" t="s">
        <v>17</v>
      </c>
      <c r="D814" s="2" t="s">
        <v>18</v>
      </c>
      <c r="E814">
        <v>173.74</v>
      </c>
      <c r="F814">
        <v>27.57</v>
      </c>
      <c r="G814">
        <v>3</v>
      </c>
      <c r="H814">
        <f t="shared" si="12"/>
        <v>58562.910000000018</v>
      </c>
      <c r="I814" t="str">
        <f>IF(Sheet1[[#This Row],[Month_Revenue]] &lt; AVERAGE(Sheet1[Month_Revenue]), "Off-Peak", "Peak")</f>
        <v>Peak</v>
      </c>
      <c r="J814">
        <f xml:space="preserve"> IF(Sheet1[[#This Row],[Ad Spend]] &gt; 0, (Sheet1[[#This Row],[Profit]] / Sheet1[[#This Row],[Ad Spend]]), 0)</f>
        <v>5.3017772941603196</v>
      </c>
      <c r="K814">
        <f>Sheet1[[#This Row],[Revenue]]-Sheet1[[#This Row],[Ad Spend]]</f>
        <v>146.17000000000002</v>
      </c>
      <c r="L814" s="2" t="s">
        <v>22</v>
      </c>
      <c r="M814">
        <v>4</v>
      </c>
      <c r="N814" s="2" t="s">
        <v>19</v>
      </c>
      <c r="O814">
        <v>57.913333333333334</v>
      </c>
    </row>
    <row r="815" spans="1:15" x14ac:dyDescent="0.3">
      <c r="A815" s="1">
        <v>45345</v>
      </c>
      <c r="B815" s="2" t="s">
        <v>11</v>
      </c>
      <c r="C815" s="2" t="s">
        <v>21</v>
      </c>
      <c r="D815" s="2" t="s">
        <v>18</v>
      </c>
      <c r="E815">
        <v>98.1</v>
      </c>
      <c r="F815">
        <v>8.5399999999999991</v>
      </c>
      <c r="G815">
        <v>3</v>
      </c>
      <c r="H815">
        <f t="shared" si="12"/>
        <v>48675.899999999936</v>
      </c>
      <c r="I815" t="str">
        <f>IF(Sheet1[[#This Row],[Month_Revenue]] &lt; AVERAGE(Sheet1[Month_Revenue]), "Off-Peak", "Peak")</f>
        <v>Off-Peak</v>
      </c>
      <c r="J815">
        <f xml:space="preserve"> IF(Sheet1[[#This Row],[Ad Spend]] &gt; 0, (Sheet1[[#This Row],[Profit]] / Sheet1[[#This Row],[Ad Spend]]), 0)</f>
        <v>10.487119437939111</v>
      </c>
      <c r="K815">
        <f>Sheet1[[#This Row],[Revenue]]-Sheet1[[#This Row],[Ad Spend]]</f>
        <v>89.56</v>
      </c>
      <c r="L815" s="2" t="s">
        <v>22</v>
      </c>
      <c r="M815">
        <v>2</v>
      </c>
      <c r="N815" s="2" t="s">
        <v>15</v>
      </c>
      <c r="O815">
        <v>32.699999999999996</v>
      </c>
    </row>
    <row r="816" spans="1:15" x14ac:dyDescent="0.3">
      <c r="A816" s="1">
        <v>45357</v>
      </c>
      <c r="B816" s="2" t="s">
        <v>11</v>
      </c>
      <c r="C816" s="2" t="s">
        <v>17</v>
      </c>
      <c r="D816" s="2" t="s">
        <v>13</v>
      </c>
      <c r="E816">
        <v>109.9</v>
      </c>
      <c r="F816">
        <v>13.16</v>
      </c>
      <c r="G816">
        <v>3</v>
      </c>
      <c r="H816">
        <f t="shared" si="12"/>
        <v>54735.250000000029</v>
      </c>
      <c r="I816" t="str">
        <f>IF(Sheet1[[#This Row],[Month_Revenue]] &lt; AVERAGE(Sheet1[Month_Revenue]), "Off-Peak", "Peak")</f>
        <v>Off-Peak</v>
      </c>
      <c r="J816">
        <f xml:space="preserve"> IF(Sheet1[[#This Row],[Ad Spend]] &gt; 0, (Sheet1[[#This Row],[Profit]] / Sheet1[[#This Row],[Ad Spend]]), 0)</f>
        <v>7.3510638297872344</v>
      </c>
      <c r="K816">
        <f>Sheet1[[#This Row],[Revenue]]-Sheet1[[#This Row],[Ad Spend]]</f>
        <v>96.740000000000009</v>
      </c>
      <c r="L816" s="2" t="s">
        <v>22</v>
      </c>
      <c r="M816">
        <v>3</v>
      </c>
      <c r="N816" s="2" t="s">
        <v>19</v>
      </c>
      <c r="O816">
        <v>36.633333333333333</v>
      </c>
    </row>
    <row r="817" spans="1:15" x14ac:dyDescent="0.3">
      <c r="A817" s="1">
        <v>45321</v>
      </c>
      <c r="B817" s="2" t="s">
        <v>23</v>
      </c>
      <c r="C817" s="2" t="s">
        <v>21</v>
      </c>
      <c r="D817" s="2" t="s">
        <v>13</v>
      </c>
      <c r="E817">
        <v>62.28</v>
      </c>
      <c r="F817">
        <v>31.14</v>
      </c>
      <c r="G817">
        <v>0</v>
      </c>
      <c r="H817">
        <f t="shared" si="12"/>
        <v>61207.979999999989</v>
      </c>
      <c r="I817" t="str">
        <f>IF(Sheet1[[#This Row],[Month_Revenue]] &lt; AVERAGE(Sheet1[Month_Revenue]), "Off-Peak", "Peak")</f>
        <v>Peak</v>
      </c>
      <c r="J817">
        <f xml:space="preserve"> IF(Sheet1[[#This Row],[Ad Spend]] &gt; 0, (Sheet1[[#This Row],[Profit]] / Sheet1[[#This Row],[Ad Spend]]), 0)</f>
        <v>1</v>
      </c>
      <c r="K817">
        <f>Sheet1[[#This Row],[Revenue]]-Sheet1[[#This Row],[Ad Spend]]</f>
        <v>31.14</v>
      </c>
      <c r="L817" s="2" t="s">
        <v>14</v>
      </c>
      <c r="M817">
        <v>1</v>
      </c>
      <c r="N817" s="2" t="s">
        <v>15</v>
      </c>
      <c r="O817">
        <v>0</v>
      </c>
    </row>
    <row r="818" spans="1:15" x14ac:dyDescent="0.3">
      <c r="A818" s="1">
        <v>45325</v>
      </c>
      <c r="B818" s="2" t="s">
        <v>23</v>
      </c>
      <c r="C818" s="2" t="s">
        <v>12</v>
      </c>
      <c r="D818" s="2" t="s">
        <v>13</v>
      </c>
      <c r="E818">
        <v>135.07</v>
      </c>
      <c r="F818">
        <v>48.48</v>
      </c>
      <c r="G818">
        <v>0</v>
      </c>
      <c r="H818">
        <f t="shared" si="12"/>
        <v>48675.899999999936</v>
      </c>
      <c r="I818" t="str">
        <f>IF(Sheet1[[#This Row],[Month_Revenue]] &lt; AVERAGE(Sheet1[Month_Revenue]), "Off-Peak", "Peak")</f>
        <v>Off-Peak</v>
      </c>
      <c r="J818">
        <f xml:space="preserve"> IF(Sheet1[[#This Row],[Ad Spend]] &gt; 0, (Sheet1[[#This Row],[Profit]] / Sheet1[[#This Row],[Ad Spend]]), 0)</f>
        <v>1.7860973597359737</v>
      </c>
      <c r="K818">
        <f>Sheet1[[#This Row],[Revenue]]-Sheet1[[#This Row],[Ad Spend]]</f>
        <v>86.59</v>
      </c>
      <c r="L818" s="2" t="s">
        <v>22</v>
      </c>
      <c r="M818">
        <v>2</v>
      </c>
      <c r="N818" s="2" t="s">
        <v>15</v>
      </c>
      <c r="O818">
        <v>0</v>
      </c>
    </row>
    <row r="819" spans="1:15" x14ac:dyDescent="0.3">
      <c r="A819" s="1">
        <v>45367</v>
      </c>
      <c r="B819" s="2" t="s">
        <v>11</v>
      </c>
      <c r="C819" s="2" t="s">
        <v>21</v>
      </c>
      <c r="D819" s="2" t="s">
        <v>18</v>
      </c>
      <c r="E819">
        <v>62.89</v>
      </c>
      <c r="F819">
        <v>48.8</v>
      </c>
      <c r="G819">
        <v>0</v>
      </c>
      <c r="H819">
        <f t="shared" si="12"/>
        <v>54735.250000000029</v>
      </c>
      <c r="I819" t="str">
        <f>IF(Sheet1[[#This Row],[Month_Revenue]] &lt; AVERAGE(Sheet1[Month_Revenue]), "Off-Peak", "Peak")</f>
        <v>Off-Peak</v>
      </c>
      <c r="J819">
        <f xml:space="preserve"> IF(Sheet1[[#This Row],[Ad Spend]] &gt; 0, (Sheet1[[#This Row],[Profit]] / Sheet1[[#This Row],[Ad Spend]]), 0)</f>
        <v>0.28872950819672139</v>
      </c>
      <c r="K819">
        <f>Sheet1[[#This Row],[Revenue]]-Sheet1[[#This Row],[Ad Spend]]</f>
        <v>14.090000000000003</v>
      </c>
      <c r="L819" s="2" t="s">
        <v>14</v>
      </c>
      <c r="M819">
        <v>3</v>
      </c>
      <c r="N819" s="2" t="s">
        <v>19</v>
      </c>
      <c r="O819">
        <v>0</v>
      </c>
    </row>
    <row r="820" spans="1:15" x14ac:dyDescent="0.3">
      <c r="A820" s="1">
        <v>45400</v>
      </c>
      <c r="B820" s="2" t="s">
        <v>20</v>
      </c>
      <c r="C820" s="2" t="s">
        <v>17</v>
      </c>
      <c r="D820" s="2" t="s">
        <v>13</v>
      </c>
      <c r="E820">
        <v>111.39</v>
      </c>
      <c r="F820">
        <v>29</v>
      </c>
      <c r="G820">
        <v>3</v>
      </c>
      <c r="H820">
        <f t="shared" si="12"/>
        <v>58562.910000000018</v>
      </c>
      <c r="I820" t="str">
        <f>IF(Sheet1[[#This Row],[Month_Revenue]] &lt; AVERAGE(Sheet1[Month_Revenue]), "Off-Peak", "Peak")</f>
        <v>Peak</v>
      </c>
      <c r="J820">
        <f xml:space="preserve"> IF(Sheet1[[#This Row],[Ad Spend]] &gt; 0, (Sheet1[[#This Row],[Profit]] / Sheet1[[#This Row],[Ad Spend]]), 0)</f>
        <v>2.8410344827586207</v>
      </c>
      <c r="K820">
        <f>Sheet1[[#This Row],[Revenue]]-Sheet1[[#This Row],[Ad Spend]]</f>
        <v>82.39</v>
      </c>
      <c r="L820" s="2" t="s">
        <v>22</v>
      </c>
      <c r="M820">
        <v>4</v>
      </c>
      <c r="N820" s="2" t="s">
        <v>19</v>
      </c>
      <c r="O820">
        <v>37.130000000000003</v>
      </c>
    </row>
    <row r="821" spans="1:15" x14ac:dyDescent="0.3">
      <c r="A821" s="1">
        <v>45308</v>
      </c>
      <c r="B821" s="2" t="s">
        <v>11</v>
      </c>
      <c r="C821" s="2" t="s">
        <v>17</v>
      </c>
      <c r="D821" s="2" t="s">
        <v>13</v>
      </c>
      <c r="E821">
        <v>91.05</v>
      </c>
      <c r="F821">
        <v>0.75</v>
      </c>
      <c r="G821">
        <v>3</v>
      </c>
      <c r="H821">
        <f t="shared" si="12"/>
        <v>61207.979999999989</v>
      </c>
      <c r="I821" t="str">
        <f>IF(Sheet1[[#This Row],[Month_Revenue]] &lt; AVERAGE(Sheet1[Month_Revenue]), "Off-Peak", "Peak")</f>
        <v>Peak</v>
      </c>
      <c r="J821">
        <f xml:space="preserve"> IF(Sheet1[[#This Row],[Ad Spend]] &gt; 0, (Sheet1[[#This Row],[Profit]] / Sheet1[[#This Row],[Ad Spend]]), 0)</f>
        <v>120.39999999999999</v>
      </c>
      <c r="K821">
        <f>Sheet1[[#This Row],[Revenue]]-Sheet1[[#This Row],[Ad Spend]]</f>
        <v>90.3</v>
      </c>
      <c r="L821" s="2" t="s">
        <v>14</v>
      </c>
      <c r="M821">
        <v>1</v>
      </c>
      <c r="N821" s="2" t="s">
        <v>15</v>
      </c>
      <c r="O821">
        <v>30.349999999999998</v>
      </c>
    </row>
    <row r="822" spans="1:15" x14ac:dyDescent="0.3">
      <c r="A822" s="1">
        <v>45296</v>
      </c>
      <c r="B822" s="2" t="s">
        <v>24</v>
      </c>
      <c r="C822" s="2" t="s">
        <v>17</v>
      </c>
      <c r="D822" s="2" t="s">
        <v>13</v>
      </c>
      <c r="E822">
        <v>54.78</v>
      </c>
      <c r="F822">
        <v>17.78</v>
      </c>
      <c r="G822">
        <v>1</v>
      </c>
      <c r="H822">
        <f t="shared" si="12"/>
        <v>61207.979999999989</v>
      </c>
      <c r="I822" t="str">
        <f>IF(Sheet1[[#This Row],[Month_Revenue]] &lt; AVERAGE(Sheet1[Month_Revenue]), "Off-Peak", "Peak")</f>
        <v>Peak</v>
      </c>
      <c r="J822">
        <f xml:space="preserve"> IF(Sheet1[[#This Row],[Ad Spend]] &gt; 0, (Sheet1[[#This Row],[Profit]] / Sheet1[[#This Row],[Ad Spend]]), 0)</f>
        <v>2.0809898762654666</v>
      </c>
      <c r="K822">
        <f>Sheet1[[#This Row],[Revenue]]-Sheet1[[#This Row],[Ad Spend]]</f>
        <v>37</v>
      </c>
      <c r="L822" s="2" t="s">
        <v>14</v>
      </c>
      <c r="M822">
        <v>1</v>
      </c>
      <c r="N822" s="2" t="s">
        <v>15</v>
      </c>
      <c r="O822">
        <v>54.78</v>
      </c>
    </row>
    <row r="823" spans="1:15" x14ac:dyDescent="0.3">
      <c r="A823" s="1">
        <v>45402</v>
      </c>
      <c r="B823" s="2" t="s">
        <v>23</v>
      </c>
      <c r="C823" s="2" t="s">
        <v>17</v>
      </c>
      <c r="D823" s="2" t="s">
        <v>13</v>
      </c>
      <c r="E823">
        <v>54.5</v>
      </c>
      <c r="F823">
        <v>46.19</v>
      </c>
      <c r="G823">
        <v>2</v>
      </c>
      <c r="H823">
        <f t="shared" si="12"/>
        <v>58562.910000000018</v>
      </c>
      <c r="I823" t="str">
        <f>IF(Sheet1[[#This Row],[Month_Revenue]] &lt; AVERAGE(Sheet1[Month_Revenue]), "Off-Peak", "Peak")</f>
        <v>Peak</v>
      </c>
      <c r="J823">
        <f xml:space="preserve"> IF(Sheet1[[#This Row],[Ad Spend]] &gt; 0, (Sheet1[[#This Row],[Profit]] / Sheet1[[#This Row],[Ad Spend]]), 0)</f>
        <v>0.17990907122753849</v>
      </c>
      <c r="K823">
        <f>Sheet1[[#This Row],[Revenue]]-Sheet1[[#This Row],[Ad Spend]]</f>
        <v>8.3100000000000023</v>
      </c>
      <c r="L823" s="2" t="s">
        <v>14</v>
      </c>
      <c r="M823">
        <v>4</v>
      </c>
      <c r="N823" s="2" t="s">
        <v>19</v>
      </c>
      <c r="O823">
        <v>27.25</v>
      </c>
    </row>
    <row r="824" spans="1:15" x14ac:dyDescent="0.3">
      <c r="A824" s="1">
        <v>45401</v>
      </c>
      <c r="B824" s="2" t="s">
        <v>20</v>
      </c>
      <c r="C824" s="2" t="s">
        <v>12</v>
      </c>
      <c r="D824" s="2" t="s">
        <v>13</v>
      </c>
      <c r="E824">
        <v>54.1</v>
      </c>
      <c r="F824">
        <v>33.74</v>
      </c>
      <c r="G824">
        <v>1</v>
      </c>
      <c r="H824">
        <f t="shared" si="12"/>
        <v>58562.910000000018</v>
      </c>
      <c r="I824" t="str">
        <f>IF(Sheet1[[#This Row],[Month_Revenue]] &lt; AVERAGE(Sheet1[Month_Revenue]), "Off-Peak", "Peak")</f>
        <v>Peak</v>
      </c>
      <c r="J824">
        <f xml:space="preserve"> IF(Sheet1[[#This Row],[Ad Spend]] &gt; 0, (Sheet1[[#This Row],[Profit]] / Sheet1[[#This Row],[Ad Spend]]), 0)</f>
        <v>0.60343805572021336</v>
      </c>
      <c r="K824">
        <f>Sheet1[[#This Row],[Revenue]]-Sheet1[[#This Row],[Ad Spend]]</f>
        <v>20.36</v>
      </c>
      <c r="L824" s="2" t="s">
        <v>22</v>
      </c>
      <c r="M824">
        <v>4</v>
      </c>
      <c r="N824" s="2" t="s">
        <v>19</v>
      </c>
      <c r="O824">
        <v>54.1</v>
      </c>
    </row>
    <row r="825" spans="1:15" x14ac:dyDescent="0.3">
      <c r="A825" s="1">
        <v>45401</v>
      </c>
      <c r="B825" s="2" t="s">
        <v>24</v>
      </c>
      <c r="C825" s="2" t="s">
        <v>17</v>
      </c>
      <c r="D825" s="2" t="s">
        <v>13</v>
      </c>
      <c r="E825">
        <v>56.27</v>
      </c>
      <c r="F825">
        <v>20.79</v>
      </c>
      <c r="G825">
        <v>3</v>
      </c>
      <c r="H825">
        <f t="shared" si="12"/>
        <v>58562.910000000018</v>
      </c>
      <c r="I825" t="str">
        <f>IF(Sheet1[[#This Row],[Month_Revenue]] &lt; AVERAGE(Sheet1[Month_Revenue]), "Off-Peak", "Peak")</f>
        <v>Peak</v>
      </c>
      <c r="J825">
        <f xml:space="preserve"> IF(Sheet1[[#This Row],[Ad Spend]] &gt; 0, (Sheet1[[#This Row],[Profit]] / Sheet1[[#This Row],[Ad Spend]]), 0)</f>
        <v>1.7065897065897069</v>
      </c>
      <c r="K825">
        <f>Sheet1[[#This Row],[Revenue]]-Sheet1[[#This Row],[Ad Spend]]</f>
        <v>35.480000000000004</v>
      </c>
      <c r="L825" s="2" t="s">
        <v>22</v>
      </c>
      <c r="M825">
        <v>4</v>
      </c>
      <c r="N825" s="2" t="s">
        <v>19</v>
      </c>
      <c r="O825">
        <v>18.756666666666668</v>
      </c>
    </row>
    <row r="826" spans="1:15" x14ac:dyDescent="0.3">
      <c r="A826" s="1">
        <v>45358</v>
      </c>
      <c r="B826" s="2" t="s">
        <v>20</v>
      </c>
      <c r="C826" s="2" t="s">
        <v>12</v>
      </c>
      <c r="D826" s="2" t="s">
        <v>13</v>
      </c>
      <c r="E826">
        <v>43.29</v>
      </c>
      <c r="F826">
        <v>39.11</v>
      </c>
      <c r="G826">
        <v>0</v>
      </c>
      <c r="H826">
        <f t="shared" si="12"/>
        <v>54735.250000000029</v>
      </c>
      <c r="I826" t="str">
        <f>IF(Sheet1[[#This Row],[Month_Revenue]] &lt; AVERAGE(Sheet1[Month_Revenue]), "Off-Peak", "Peak")</f>
        <v>Off-Peak</v>
      </c>
      <c r="J826">
        <f xml:space="preserve"> IF(Sheet1[[#This Row],[Ad Spend]] &gt; 0, (Sheet1[[#This Row],[Profit]] / Sheet1[[#This Row],[Ad Spend]]), 0)</f>
        <v>0.10687803630784964</v>
      </c>
      <c r="K826">
        <f>Sheet1[[#This Row],[Revenue]]-Sheet1[[#This Row],[Ad Spend]]</f>
        <v>4.18</v>
      </c>
      <c r="L826" s="2" t="s">
        <v>14</v>
      </c>
      <c r="M826">
        <v>3</v>
      </c>
      <c r="N826" s="2" t="s">
        <v>19</v>
      </c>
      <c r="O826">
        <v>0</v>
      </c>
    </row>
    <row r="827" spans="1:15" x14ac:dyDescent="0.3">
      <c r="A827" s="1">
        <v>45389</v>
      </c>
      <c r="B827" s="2" t="s">
        <v>20</v>
      </c>
      <c r="C827" s="2" t="s">
        <v>21</v>
      </c>
      <c r="D827" s="2" t="s">
        <v>18</v>
      </c>
      <c r="E827">
        <v>23.18</v>
      </c>
      <c r="F827">
        <v>29.21</v>
      </c>
      <c r="G827">
        <v>2</v>
      </c>
      <c r="H827">
        <f t="shared" si="12"/>
        <v>58562.910000000018</v>
      </c>
      <c r="I827" t="str">
        <f>IF(Sheet1[[#This Row],[Month_Revenue]] &lt; AVERAGE(Sheet1[Month_Revenue]), "Off-Peak", "Peak")</f>
        <v>Peak</v>
      </c>
      <c r="J827">
        <f xml:space="preserve"> IF(Sheet1[[#This Row],[Ad Spend]] &gt; 0, (Sheet1[[#This Row],[Profit]] / Sheet1[[#This Row],[Ad Spend]]), 0)</f>
        <v>-0.20643615200273882</v>
      </c>
      <c r="K827">
        <f>Sheet1[[#This Row],[Revenue]]-Sheet1[[#This Row],[Ad Spend]]</f>
        <v>-6.0300000000000011</v>
      </c>
      <c r="L827" s="2" t="s">
        <v>22</v>
      </c>
      <c r="M827">
        <v>4</v>
      </c>
      <c r="N827" s="2" t="s">
        <v>19</v>
      </c>
      <c r="O827">
        <v>11.59</v>
      </c>
    </row>
    <row r="828" spans="1:15" x14ac:dyDescent="0.3">
      <c r="A828" s="1">
        <v>45297</v>
      </c>
      <c r="B828" s="2" t="s">
        <v>24</v>
      </c>
      <c r="C828" s="2" t="s">
        <v>17</v>
      </c>
      <c r="D828" s="2" t="s">
        <v>18</v>
      </c>
      <c r="E828">
        <v>97.19</v>
      </c>
      <c r="F828">
        <v>40.26</v>
      </c>
      <c r="G828">
        <v>2</v>
      </c>
      <c r="H828">
        <f t="shared" si="12"/>
        <v>61207.979999999989</v>
      </c>
      <c r="I828" t="str">
        <f>IF(Sheet1[[#This Row],[Month_Revenue]] &lt; AVERAGE(Sheet1[Month_Revenue]), "Off-Peak", "Peak")</f>
        <v>Peak</v>
      </c>
      <c r="J828">
        <f xml:space="preserve"> IF(Sheet1[[#This Row],[Ad Spend]] &gt; 0, (Sheet1[[#This Row],[Profit]] / Sheet1[[#This Row],[Ad Spend]]), 0)</f>
        <v>1.4140586189766517</v>
      </c>
      <c r="K828">
        <f>Sheet1[[#This Row],[Revenue]]-Sheet1[[#This Row],[Ad Spend]]</f>
        <v>56.93</v>
      </c>
      <c r="L828" s="2" t="s">
        <v>14</v>
      </c>
      <c r="M828">
        <v>1</v>
      </c>
      <c r="N828" s="2" t="s">
        <v>15</v>
      </c>
      <c r="O828">
        <v>48.594999999999999</v>
      </c>
    </row>
    <row r="829" spans="1:15" x14ac:dyDescent="0.3">
      <c r="A829" s="1">
        <v>45358</v>
      </c>
      <c r="B829" s="2" t="s">
        <v>16</v>
      </c>
      <c r="C829" s="2" t="s">
        <v>17</v>
      </c>
      <c r="D829" s="2" t="s">
        <v>18</v>
      </c>
      <c r="E829">
        <v>89</v>
      </c>
      <c r="F829">
        <v>18.47</v>
      </c>
      <c r="G829">
        <v>1</v>
      </c>
      <c r="H829">
        <f t="shared" si="12"/>
        <v>54735.250000000029</v>
      </c>
      <c r="I829" t="str">
        <f>IF(Sheet1[[#This Row],[Month_Revenue]] &lt; AVERAGE(Sheet1[Month_Revenue]), "Off-Peak", "Peak")</f>
        <v>Off-Peak</v>
      </c>
      <c r="J829">
        <f xml:space="preserve"> IF(Sheet1[[#This Row],[Ad Spend]] &gt; 0, (Sheet1[[#This Row],[Profit]] / Sheet1[[#This Row],[Ad Spend]]), 0)</f>
        <v>3.8186247969680567</v>
      </c>
      <c r="K829">
        <f>Sheet1[[#This Row],[Revenue]]-Sheet1[[#This Row],[Ad Spend]]</f>
        <v>70.53</v>
      </c>
      <c r="L829" s="2" t="s">
        <v>14</v>
      </c>
      <c r="M829">
        <v>3</v>
      </c>
      <c r="N829" s="2" t="s">
        <v>19</v>
      </c>
      <c r="O829">
        <v>89</v>
      </c>
    </row>
    <row r="830" spans="1:15" x14ac:dyDescent="0.3">
      <c r="A830" s="1">
        <v>45402</v>
      </c>
      <c r="B830" s="2" t="s">
        <v>16</v>
      </c>
      <c r="C830" s="2" t="s">
        <v>12</v>
      </c>
      <c r="D830" s="2" t="s">
        <v>18</v>
      </c>
      <c r="E830">
        <v>43.42</v>
      </c>
      <c r="F830">
        <v>33.53</v>
      </c>
      <c r="G830">
        <v>1</v>
      </c>
      <c r="H830">
        <f t="shared" si="12"/>
        <v>58562.910000000018</v>
      </c>
      <c r="I830" t="str">
        <f>IF(Sheet1[[#This Row],[Month_Revenue]] &lt; AVERAGE(Sheet1[Month_Revenue]), "Off-Peak", "Peak")</f>
        <v>Peak</v>
      </c>
      <c r="J830">
        <f xml:space="preserve"> IF(Sheet1[[#This Row],[Ad Spend]] &gt; 0, (Sheet1[[#This Row],[Profit]] / Sheet1[[#This Row],[Ad Spend]]), 0)</f>
        <v>0.29495973754846405</v>
      </c>
      <c r="K830">
        <f>Sheet1[[#This Row],[Revenue]]-Sheet1[[#This Row],[Ad Spend]]</f>
        <v>9.89</v>
      </c>
      <c r="L830" s="2" t="s">
        <v>14</v>
      </c>
      <c r="M830">
        <v>4</v>
      </c>
      <c r="N830" s="2" t="s">
        <v>19</v>
      </c>
      <c r="O830">
        <v>43.42</v>
      </c>
    </row>
    <row r="831" spans="1:15" x14ac:dyDescent="0.3">
      <c r="A831" s="1">
        <v>45335</v>
      </c>
      <c r="B831" s="2" t="s">
        <v>20</v>
      </c>
      <c r="C831" s="2" t="s">
        <v>21</v>
      </c>
      <c r="D831" s="2" t="s">
        <v>18</v>
      </c>
      <c r="E831">
        <v>64.25</v>
      </c>
      <c r="F831">
        <v>7.06</v>
      </c>
      <c r="G831">
        <v>2</v>
      </c>
      <c r="H831">
        <f t="shared" si="12"/>
        <v>48675.899999999936</v>
      </c>
      <c r="I831" t="str">
        <f>IF(Sheet1[[#This Row],[Month_Revenue]] &lt; AVERAGE(Sheet1[Month_Revenue]), "Off-Peak", "Peak")</f>
        <v>Off-Peak</v>
      </c>
      <c r="J831">
        <f xml:space="preserve"> IF(Sheet1[[#This Row],[Ad Spend]] &gt; 0, (Sheet1[[#This Row],[Profit]] / Sheet1[[#This Row],[Ad Spend]]), 0)</f>
        <v>8.1005665722379607</v>
      </c>
      <c r="K831">
        <f>Sheet1[[#This Row],[Revenue]]-Sheet1[[#This Row],[Ad Spend]]</f>
        <v>57.19</v>
      </c>
      <c r="L831" s="2" t="s">
        <v>14</v>
      </c>
      <c r="M831">
        <v>2</v>
      </c>
      <c r="N831" s="2" t="s">
        <v>15</v>
      </c>
      <c r="O831">
        <v>32.125</v>
      </c>
    </row>
    <row r="832" spans="1:15" x14ac:dyDescent="0.3">
      <c r="A832" s="1">
        <v>45345</v>
      </c>
      <c r="B832" s="2" t="s">
        <v>24</v>
      </c>
      <c r="C832" s="2" t="s">
        <v>21</v>
      </c>
      <c r="D832" s="2" t="s">
        <v>18</v>
      </c>
      <c r="E832">
        <v>100.6</v>
      </c>
      <c r="F832">
        <v>19.309999999999999</v>
      </c>
      <c r="G832">
        <v>1</v>
      </c>
      <c r="H832">
        <f t="shared" si="12"/>
        <v>48675.899999999936</v>
      </c>
      <c r="I832" t="str">
        <f>IF(Sheet1[[#This Row],[Month_Revenue]] &lt; AVERAGE(Sheet1[Month_Revenue]), "Off-Peak", "Peak")</f>
        <v>Off-Peak</v>
      </c>
      <c r="J832">
        <f xml:space="preserve"> IF(Sheet1[[#This Row],[Ad Spend]] &gt; 0, (Sheet1[[#This Row],[Profit]] / Sheet1[[#This Row],[Ad Spend]]), 0)</f>
        <v>4.2097358881408597</v>
      </c>
      <c r="K832">
        <f>Sheet1[[#This Row],[Revenue]]-Sheet1[[#This Row],[Ad Spend]]</f>
        <v>81.289999999999992</v>
      </c>
      <c r="L832" s="2" t="s">
        <v>22</v>
      </c>
      <c r="M832">
        <v>2</v>
      </c>
      <c r="N832" s="2" t="s">
        <v>15</v>
      </c>
      <c r="O832">
        <v>100.6</v>
      </c>
    </row>
    <row r="833" spans="1:15" x14ac:dyDescent="0.3">
      <c r="A833" s="1">
        <v>45305</v>
      </c>
      <c r="B833" s="2" t="s">
        <v>20</v>
      </c>
      <c r="C833" s="2" t="s">
        <v>17</v>
      </c>
      <c r="D833" s="2" t="s">
        <v>13</v>
      </c>
      <c r="E833">
        <v>39.85</v>
      </c>
      <c r="F833">
        <v>15.91</v>
      </c>
      <c r="G833">
        <v>0</v>
      </c>
      <c r="H833">
        <f t="shared" si="12"/>
        <v>61207.979999999989</v>
      </c>
      <c r="I833" t="str">
        <f>IF(Sheet1[[#This Row],[Month_Revenue]] &lt; AVERAGE(Sheet1[Month_Revenue]), "Off-Peak", "Peak")</f>
        <v>Peak</v>
      </c>
      <c r="J833">
        <f xml:space="preserve"> IF(Sheet1[[#This Row],[Ad Spend]] &gt; 0, (Sheet1[[#This Row],[Profit]] / Sheet1[[#This Row],[Ad Spend]]), 0)</f>
        <v>1.5047140163419235</v>
      </c>
      <c r="K833">
        <f>Sheet1[[#This Row],[Revenue]]-Sheet1[[#This Row],[Ad Spend]]</f>
        <v>23.94</v>
      </c>
      <c r="L833" s="2" t="s">
        <v>14</v>
      </c>
      <c r="M833">
        <v>1</v>
      </c>
      <c r="N833" s="2" t="s">
        <v>15</v>
      </c>
      <c r="O833">
        <v>0</v>
      </c>
    </row>
    <row r="834" spans="1:15" x14ac:dyDescent="0.3">
      <c r="A834" s="1">
        <v>45388</v>
      </c>
      <c r="B834" s="2" t="s">
        <v>16</v>
      </c>
      <c r="C834" s="2" t="s">
        <v>17</v>
      </c>
      <c r="D834" s="2" t="s">
        <v>18</v>
      </c>
      <c r="E834">
        <v>130.66</v>
      </c>
      <c r="F834">
        <v>19.53</v>
      </c>
      <c r="G834">
        <v>1</v>
      </c>
      <c r="H834">
        <f t="shared" ref="H834:H897" si="13">SUMIFS($E$2:$E$2001, $M$2:$M$2001, M834)</f>
        <v>58562.910000000018</v>
      </c>
      <c r="I834" t="str">
        <f>IF(Sheet1[[#This Row],[Month_Revenue]] &lt; AVERAGE(Sheet1[Month_Revenue]), "Off-Peak", "Peak")</f>
        <v>Peak</v>
      </c>
      <c r="J834">
        <f xml:space="preserve"> IF(Sheet1[[#This Row],[Ad Spend]] &gt; 0, (Sheet1[[#This Row],[Profit]] / Sheet1[[#This Row],[Ad Spend]]), 0)</f>
        <v>5.6902201740911416</v>
      </c>
      <c r="K834">
        <f>Sheet1[[#This Row],[Revenue]]-Sheet1[[#This Row],[Ad Spend]]</f>
        <v>111.13</v>
      </c>
      <c r="L834" s="2" t="s">
        <v>22</v>
      </c>
      <c r="M834">
        <v>4</v>
      </c>
      <c r="N834" s="2" t="s">
        <v>19</v>
      </c>
      <c r="O834">
        <v>130.66</v>
      </c>
    </row>
    <row r="835" spans="1:15" x14ac:dyDescent="0.3">
      <c r="A835" s="1">
        <v>45346</v>
      </c>
      <c r="B835" s="2" t="s">
        <v>16</v>
      </c>
      <c r="C835" s="2" t="s">
        <v>12</v>
      </c>
      <c r="D835" s="2" t="s">
        <v>18</v>
      </c>
      <c r="E835">
        <v>188.04</v>
      </c>
      <c r="F835">
        <v>0.63</v>
      </c>
      <c r="G835">
        <v>3</v>
      </c>
      <c r="H835">
        <f t="shared" si="13"/>
        <v>48675.899999999936</v>
      </c>
      <c r="I835" t="str">
        <f>IF(Sheet1[[#This Row],[Month_Revenue]] &lt; AVERAGE(Sheet1[Month_Revenue]), "Off-Peak", "Peak")</f>
        <v>Off-Peak</v>
      </c>
      <c r="J835">
        <f xml:space="preserve"> IF(Sheet1[[#This Row],[Ad Spend]] &gt; 0, (Sheet1[[#This Row],[Profit]] / Sheet1[[#This Row],[Ad Spend]]), 0)</f>
        <v>297.47619047619048</v>
      </c>
      <c r="K835">
        <f>Sheet1[[#This Row],[Revenue]]-Sheet1[[#This Row],[Ad Spend]]</f>
        <v>187.41</v>
      </c>
      <c r="L835" s="2" t="s">
        <v>22</v>
      </c>
      <c r="M835">
        <v>2</v>
      </c>
      <c r="N835" s="2" t="s">
        <v>15</v>
      </c>
      <c r="O835">
        <v>62.68</v>
      </c>
    </row>
    <row r="836" spans="1:15" x14ac:dyDescent="0.3">
      <c r="A836" s="1">
        <v>45323</v>
      </c>
      <c r="B836" s="2" t="s">
        <v>11</v>
      </c>
      <c r="C836" s="2" t="s">
        <v>21</v>
      </c>
      <c r="D836" s="2" t="s">
        <v>13</v>
      </c>
      <c r="E836">
        <v>24.46</v>
      </c>
      <c r="F836">
        <v>41.9</v>
      </c>
      <c r="G836">
        <v>0</v>
      </c>
      <c r="H836">
        <f t="shared" si="13"/>
        <v>48675.899999999936</v>
      </c>
      <c r="I836" t="str">
        <f>IF(Sheet1[[#This Row],[Month_Revenue]] &lt; AVERAGE(Sheet1[Month_Revenue]), "Off-Peak", "Peak")</f>
        <v>Off-Peak</v>
      </c>
      <c r="J836">
        <f xml:space="preserve"> IF(Sheet1[[#This Row],[Ad Spend]] &gt; 0, (Sheet1[[#This Row],[Profit]] / Sheet1[[#This Row],[Ad Spend]]), 0)</f>
        <v>-0.41622911694510734</v>
      </c>
      <c r="K836">
        <f>Sheet1[[#This Row],[Revenue]]-Sheet1[[#This Row],[Ad Spend]]</f>
        <v>-17.439999999999998</v>
      </c>
      <c r="L836" s="2" t="s">
        <v>14</v>
      </c>
      <c r="M836">
        <v>2</v>
      </c>
      <c r="N836" s="2" t="s">
        <v>15</v>
      </c>
      <c r="O836">
        <v>0</v>
      </c>
    </row>
    <row r="837" spans="1:15" x14ac:dyDescent="0.3">
      <c r="A837" s="1">
        <v>45412</v>
      </c>
      <c r="B837" s="2" t="s">
        <v>11</v>
      </c>
      <c r="C837" s="2" t="s">
        <v>12</v>
      </c>
      <c r="D837" s="2" t="s">
        <v>13</v>
      </c>
      <c r="E837">
        <v>124.86</v>
      </c>
      <c r="F837">
        <v>12.71</v>
      </c>
      <c r="G837">
        <v>3</v>
      </c>
      <c r="H837">
        <f t="shared" si="13"/>
        <v>58562.910000000018</v>
      </c>
      <c r="I837" t="str">
        <f>IF(Sheet1[[#This Row],[Month_Revenue]] &lt; AVERAGE(Sheet1[Month_Revenue]), "Off-Peak", "Peak")</f>
        <v>Peak</v>
      </c>
      <c r="J837">
        <f xml:space="preserve"> IF(Sheet1[[#This Row],[Ad Spend]] &gt; 0, (Sheet1[[#This Row],[Profit]] / Sheet1[[#This Row],[Ad Spend]]), 0)</f>
        <v>8.8237608182533442</v>
      </c>
      <c r="K837">
        <f>Sheet1[[#This Row],[Revenue]]-Sheet1[[#This Row],[Ad Spend]]</f>
        <v>112.15</v>
      </c>
      <c r="L837" s="2" t="s">
        <v>14</v>
      </c>
      <c r="M837">
        <v>4</v>
      </c>
      <c r="N837" s="2" t="s">
        <v>19</v>
      </c>
      <c r="O837">
        <v>41.62</v>
      </c>
    </row>
    <row r="838" spans="1:15" x14ac:dyDescent="0.3">
      <c r="A838" s="1">
        <v>45345</v>
      </c>
      <c r="B838" s="2" t="s">
        <v>24</v>
      </c>
      <c r="C838" s="2" t="s">
        <v>12</v>
      </c>
      <c r="D838" s="2" t="s">
        <v>18</v>
      </c>
      <c r="E838">
        <v>42.02</v>
      </c>
      <c r="F838">
        <v>21.76</v>
      </c>
      <c r="G838">
        <v>0</v>
      </c>
      <c r="H838">
        <f t="shared" si="13"/>
        <v>48675.899999999936</v>
      </c>
      <c r="I838" t="str">
        <f>IF(Sheet1[[#This Row],[Month_Revenue]] &lt; AVERAGE(Sheet1[Month_Revenue]), "Off-Peak", "Peak")</f>
        <v>Off-Peak</v>
      </c>
      <c r="J838">
        <f xml:space="preserve"> IF(Sheet1[[#This Row],[Ad Spend]] &gt; 0, (Sheet1[[#This Row],[Profit]] / Sheet1[[#This Row],[Ad Spend]]), 0)</f>
        <v>0.9310661764705882</v>
      </c>
      <c r="K838">
        <f>Sheet1[[#This Row],[Revenue]]-Sheet1[[#This Row],[Ad Spend]]</f>
        <v>20.260000000000002</v>
      </c>
      <c r="L838" s="2" t="s">
        <v>22</v>
      </c>
      <c r="M838">
        <v>2</v>
      </c>
      <c r="N838" s="2" t="s">
        <v>15</v>
      </c>
      <c r="O838">
        <v>0</v>
      </c>
    </row>
    <row r="839" spans="1:15" x14ac:dyDescent="0.3">
      <c r="A839" s="1">
        <v>45338</v>
      </c>
      <c r="B839" s="2" t="s">
        <v>24</v>
      </c>
      <c r="C839" s="2" t="s">
        <v>12</v>
      </c>
      <c r="D839" s="2" t="s">
        <v>18</v>
      </c>
      <c r="E839">
        <v>157.52000000000001</v>
      </c>
      <c r="F839">
        <v>4.07</v>
      </c>
      <c r="G839">
        <v>1</v>
      </c>
      <c r="H839">
        <f t="shared" si="13"/>
        <v>48675.899999999936</v>
      </c>
      <c r="I839" t="str">
        <f>IF(Sheet1[[#This Row],[Month_Revenue]] &lt; AVERAGE(Sheet1[Month_Revenue]), "Off-Peak", "Peak")</f>
        <v>Off-Peak</v>
      </c>
      <c r="J839">
        <f xml:space="preserve"> IF(Sheet1[[#This Row],[Ad Spend]] &gt; 0, (Sheet1[[#This Row],[Profit]] / Sheet1[[#This Row],[Ad Spend]]), 0)</f>
        <v>37.702702702702702</v>
      </c>
      <c r="K839">
        <f>Sheet1[[#This Row],[Revenue]]-Sheet1[[#This Row],[Ad Spend]]</f>
        <v>153.45000000000002</v>
      </c>
      <c r="L839" s="2" t="s">
        <v>22</v>
      </c>
      <c r="M839">
        <v>2</v>
      </c>
      <c r="N839" s="2" t="s">
        <v>15</v>
      </c>
      <c r="O839">
        <v>157.52000000000001</v>
      </c>
    </row>
    <row r="840" spans="1:15" x14ac:dyDescent="0.3">
      <c r="A840" s="1">
        <v>45320</v>
      </c>
      <c r="B840" s="2" t="s">
        <v>24</v>
      </c>
      <c r="C840" s="2" t="s">
        <v>17</v>
      </c>
      <c r="D840" s="2" t="s">
        <v>13</v>
      </c>
      <c r="E840">
        <v>126.77</v>
      </c>
      <c r="F840">
        <v>12.44</v>
      </c>
      <c r="G840">
        <v>3</v>
      </c>
      <c r="H840">
        <f t="shared" si="13"/>
        <v>61207.979999999989</v>
      </c>
      <c r="I840" t="str">
        <f>IF(Sheet1[[#This Row],[Month_Revenue]] &lt; AVERAGE(Sheet1[Month_Revenue]), "Off-Peak", "Peak")</f>
        <v>Peak</v>
      </c>
      <c r="J840">
        <f xml:space="preserve"> IF(Sheet1[[#This Row],[Ad Spend]] &gt; 0, (Sheet1[[#This Row],[Profit]] / Sheet1[[#This Row],[Ad Spend]]), 0)</f>
        <v>9.190514469453376</v>
      </c>
      <c r="K840">
        <f>Sheet1[[#This Row],[Revenue]]-Sheet1[[#This Row],[Ad Spend]]</f>
        <v>114.33</v>
      </c>
      <c r="L840" s="2" t="s">
        <v>14</v>
      </c>
      <c r="M840">
        <v>1</v>
      </c>
      <c r="N840" s="2" t="s">
        <v>15</v>
      </c>
      <c r="O840">
        <v>42.256666666666668</v>
      </c>
    </row>
    <row r="841" spans="1:15" x14ac:dyDescent="0.3">
      <c r="A841" s="1">
        <v>45385</v>
      </c>
      <c r="B841" s="2" t="s">
        <v>24</v>
      </c>
      <c r="C841" s="2" t="s">
        <v>21</v>
      </c>
      <c r="D841" s="2" t="s">
        <v>18</v>
      </c>
      <c r="E841">
        <v>188.83</v>
      </c>
      <c r="F841">
        <v>44.91</v>
      </c>
      <c r="G841">
        <v>0</v>
      </c>
      <c r="H841">
        <f t="shared" si="13"/>
        <v>58562.910000000018</v>
      </c>
      <c r="I841" t="str">
        <f>IF(Sheet1[[#This Row],[Month_Revenue]] &lt; AVERAGE(Sheet1[Month_Revenue]), "Off-Peak", "Peak")</f>
        <v>Peak</v>
      </c>
      <c r="J841">
        <f xml:space="preserve"> IF(Sheet1[[#This Row],[Ad Spend]] &gt; 0, (Sheet1[[#This Row],[Profit]] / Sheet1[[#This Row],[Ad Spend]]), 0)</f>
        <v>3.2046314851926079</v>
      </c>
      <c r="K841">
        <f>Sheet1[[#This Row],[Revenue]]-Sheet1[[#This Row],[Ad Spend]]</f>
        <v>143.92000000000002</v>
      </c>
      <c r="L841" s="2" t="s">
        <v>22</v>
      </c>
      <c r="M841">
        <v>4</v>
      </c>
      <c r="N841" s="2" t="s">
        <v>19</v>
      </c>
      <c r="O841">
        <v>0</v>
      </c>
    </row>
    <row r="842" spans="1:15" x14ac:dyDescent="0.3">
      <c r="A842" s="1">
        <v>45400</v>
      </c>
      <c r="B842" s="2" t="s">
        <v>20</v>
      </c>
      <c r="C842" s="2" t="s">
        <v>21</v>
      </c>
      <c r="D842" s="2" t="s">
        <v>13</v>
      </c>
      <c r="E842">
        <v>34.869999999999997</v>
      </c>
      <c r="F842">
        <v>13.81</v>
      </c>
      <c r="G842">
        <v>2</v>
      </c>
      <c r="H842">
        <f t="shared" si="13"/>
        <v>58562.910000000018</v>
      </c>
      <c r="I842" t="str">
        <f>IF(Sheet1[[#This Row],[Month_Revenue]] &lt; AVERAGE(Sheet1[Month_Revenue]), "Off-Peak", "Peak")</f>
        <v>Peak</v>
      </c>
      <c r="J842">
        <f xml:space="preserve"> IF(Sheet1[[#This Row],[Ad Spend]] &gt; 0, (Sheet1[[#This Row],[Profit]] / Sheet1[[#This Row],[Ad Spend]]), 0)</f>
        <v>1.524981897175959</v>
      </c>
      <c r="K842">
        <f>Sheet1[[#This Row],[Revenue]]-Sheet1[[#This Row],[Ad Spend]]</f>
        <v>21.059999999999995</v>
      </c>
      <c r="L842" s="2" t="s">
        <v>22</v>
      </c>
      <c r="M842">
        <v>4</v>
      </c>
      <c r="N842" s="2" t="s">
        <v>19</v>
      </c>
      <c r="O842">
        <v>17.434999999999999</v>
      </c>
    </row>
    <row r="843" spans="1:15" x14ac:dyDescent="0.3">
      <c r="A843" s="1">
        <v>45400</v>
      </c>
      <c r="B843" s="2" t="s">
        <v>24</v>
      </c>
      <c r="C843" s="2" t="s">
        <v>17</v>
      </c>
      <c r="D843" s="2" t="s">
        <v>13</v>
      </c>
      <c r="E843">
        <v>115.1</v>
      </c>
      <c r="F843">
        <v>43.24</v>
      </c>
      <c r="G843">
        <v>2</v>
      </c>
      <c r="H843">
        <f t="shared" si="13"/>
        <v>58562.910000000018</v>
      </c>
      <c r="I843" t="str">
        <f>IF(Sheet1[[#This Row],[Month_Revenue]] &lt; AVERAGE(Sheet1[Month_Revenue]), "Off-Peak", "Peak")</f>
        <v>Peak</v>
      </c>
      <c r="J843">
        <f xml:space="preserve"> IF(Sheet1[[#This Row],[Ad Spend]] &gt; 0, (Sheet1[[#This Row],[Profit]] / Sheet1[[#This Row],[Ad Spend]]), 0)</f>
        <v>1.6618871415356147</v>
      </c>
      <c r="K843">
        <f>Sheet1[[#This Row],[Revenue]]-Sheet1[[#This Row],[Ad Spend]]</f>
        <v>71.859999999999985</v>
      </c>
      <c r="L843" s="2" t="s">
        <v>14</v>
      </c>
      <c r="M843">
        <v>4</v>
      </c>
      <c r="N843" s="2" t="s">
        <v>19</v>
      </c>
      <c r="O843">
        <v>57.55</v>
      </c>
    </row>
    <row r="844" spans="1:15" x14ac:dyDescent="0.3">
      <c r="A844" s="1">
        <v>45395</v>
      </c>
      <c r="B844" s="2" t="s">
        <v>11</v>
      </c>
      <c r="C844" s="2" t="s">
        <v>17</v>
      </c>
      <c r="D844" s="2" t="s">
        <v>13</v>
      </c>
      <c r="E844">
        <v>183.68</v>
      </c>
      <c r="F844">
        <v>8.44</v>
      </c>
      <c r="G844">
        <v>3</v>
      </c>
      <c r="H844">
        <f t="shared" si="13"/>
        <v>58562.910000000018</v>
      </c>
      <c r="I844" t="str">
        <f>IF(Sheet1[[#This Row],[Month_Revenue]] &lt; AVERAGE(Sheet1[Month_Revenue]), "Off-Peak", "Peak")</f>
        <v>Peak</v>
      </c>
      <c r="J844">
        <f xml:space="preserve"> IF(Sheet1[[#This Row],[Ad Spend]] &gt; 0, (Sheet1[[#This Row],[Profit]] / Sheet1[[#This Row],[Ad Spend]]), 0)</f>
        <v>20.763033175355453</v>
      </c>
      <c r="K844">
        <f>Sheet1[[#This Row],[Revenue]]-Sheet1[[#This Row],[Ad Spend]]</f>
        <v>175.24</v>
      </c>
      <c r="L844" s="2" t="s">
        <v>14</v>
      </c>
      <c r="M844">
        <v>4</v>
      </c>
      <c r="N844" s="2" t="s">
        <v>19</v>
      </c>
      <c r="O844">
        <v>61.226666666666667</v>
      </c>
    </row>
    <row r="845" spans="1:15" x14ac:dyDescent="0.3">
      <c r="A845" s="1">
        <v>45309</v>
      </c>
      <c r="B845" s="2" t="s">
        <v>24</v>
      </c>
      <c r="C845" s="2" t="s">
        <v>21</v>
      </c>
      <c r="D845" s="2" t="s">
        <v>13</v>
      </c>
      <c r="E845">
        <v>30.57</v>
      </c>
      <c r="F845">
        <v>21.33</v>
      </c>
      <c r="G845">
        <v>3</v>
      </c>
      <c r="H845">
        <f t="shared" si="13"/>
        <v>61207.979999999989</v>
      </c>
      <c r="I845" t="str">
        <f>IF(Sheet1[[#This Row],[Month_Revenue]] &lt; AVERAGE(Sheet1[Month_Revenue]), "Off-Peak", "Peak")</f>
        <v>Peak</v>
      </c>
      <c r="J845">
        <f xml:space="preserve"> IF(Sheet1[[#This Row],[Ad Spend]] &gt; 0, (Sheet1[[#This Row],[Profit]] / Sheet1[[#This Row],[Ad Spend]]), 0)</f>
        <v>0.43319268635724345</v>
      </c>
      <c r="K845">
        <f>Sheet1[[#This Row],[Revenue]]-Sheet1[[#This Row],[Ad Spend]]</f>
        <v>9.240000000000002</v>
      </c>
      <c r="L845" s="2" t="s">
        <v>22</v>
      </c>
      <c r="M845">
        <v>1</v>
      </c>
      <c r="N845" s="2" t="s">
        <v>15</v>
      </c>
      <c r="O845">
        <v>10.19</v>
      </c>
    </row>
    <row r="846" spans="1:15" x14ac:dyDescent="0.3">
      <c r="A846" s="1">
        <v>45307</v>
      </c>
      <c r="B846" s="2" t="s">
        <v>24</v>
      </c>
      <c r="C846" s="2" t="s">
        <v>17</v>
      </c>
      <c r="D846" s="2" t="s">
        <v>18</v>
      </c>
      <c r="E846">
        <v>169.36</v>
      </c>
      <c r="F846">
        <v>2.0699999999999998</v>
      </c>
      <c r="G846">
        <v>3</v>
      </c>
      <c r="H846">
        <f t="shared" si="13"/>
        <v>61207.979999999989</v>
      </c>
      <c r="I846" t="str">
        <f>IF(Sheet1[[#This Row],[Month_Revenue]] &lt; AVERAGE(Sheet1[Month_Revenue]), "Off-Peak", "Peak")</f>
        <v>Peak</v>
      </c>
      <c r="J846">
        <f xml:space="preserve"> IF(Sheet1[[#This Row],[Ad Spend]] &gt; 0, (Sheet1[[#This Row],[Profit]] / Sheet1[[#This Row],[Ad Spend]]), 0)</f>
        <v>80.816425120772962</v>
      </c>
      <c r="K846">
        <f>Sheet1[[#This Row],[Revenue]]-Sheet1[[#This Row],[Ad Spend]]</f>
        <v>167.29000000000002</v>
      </c>
      <c r="L846" s="2" t="s">
        <v>22</v>
      </c>
      <c r="M846">
        <v>1</v>
      </c>
      <c r="N846" s="2" t="s">
        <v>15</v>
      </c>
      <c r="O846">
        <v>56.45333333333334</v>
      </c>
    </row>
    <row r="847" spans="1:15" x14ac:dyDescent="0.3">
      <c r="A847" s="1">
        <v>45399</v>
      </c>
      <c r="B847" s="2" t="s">
        <v>20</v>
      </c>
      <c r="C847" s="2" t="s">
        <v>12</v>
      </c>
      <c r="D847" s="2" t="s">
        <v>13</v>
      </c>
      <c r="E847">
        <v>124.16</v>
      </c>
      <c r="F847">
        <v>38.03</v>
      </c>
      <c r="G847">
        <v>1</v>
      </c>
      <c r="H847">
        <f t="shared" si="13"/>
        <v>58562.910000000018</v>
      </c>
      <c r="I847" t="str">
        <f>IF(Sheet1[[#This Row],[Month_Revenue]] &lt; AVERAGE(Sheet1[Month_Revenue]), "Off-Peak", "Peak")</f>
        <v>Peak</v>
      </c>
      <c r="J847">
        <f xml:space="preserve"> IF(Sheet1[[#This Row],[Ad Spend]] &gt; 0, (Sheet1[[#This Row],[Profit]] / Sheet1[[#This Row],[Ad Spend]]), 0)</f>
        <v>2.2647909545095977</v>
      </c>
      <c r="K847">
        <f>Sheet1[[#This Row],[Revenue]]-Sheet1[[#This Row],[Ad Spend]]</f>
        <v>86.13</v>
      </c>
      <c r="L847" s="2" t="s">
        <v>22</v>
      </c>
      <c r="M847">
        <v>4</v>
      </c>
      <c r="N847" s="2" t="s">
        <v>19</v>
      </c>
      <c r="O847">
        <v>124.16</v>
      </c>
    </row>
    <row r="848" spans="1:15" x14ac:dyDescent="0.3">
      <c r="A848" s="1">
        <v>45334</v>
      </c>
      <c r="B848" s="2" t="s">
        <v>16</v>
      </c>
      <c r="C848" s="2" t="s">
        <v>12</v>
      </c>
      <c r="D848" s="2" t="s">
        <v>18</v>
      </c>
      <c r="E848">
        <v>38.409999999999997</v>
      </c>
      <c r="F848">
        <v>24.46</v>
      </c>
      <c r="G848">
        <v>1</v>
      </c>
      <c r="H848">
        <f t="shared" si="13"/>
        <v>48675.899999999936</v>
      </c>
      <c r="I848" t="str">
        <f>IF(Sheet1[[#This Row],[Month_Revenue]] &lt; AVERAGE(Sheet1[Month_Revenue]), "Off-Peak", "Peak")</f>
        <v>Off-Peak</v>
      </c>
      <c r="J848">
        <f xml:space="preserve"> IF(Sheet1[[#This Row],[Ad Spend]] &gt; 0, (Sheet1[[#This Row],[Profit]] / Sheet1[[#This Row],[Ad Spend]]), 0)</f>
        <v>0.57031888798037589</v>
      </c>
      <c r="K848">
        <f>Sheet1[[#This Row],[Revenue]]-Sheet1[[#This Row],[Ad Spend]]</f>
        <v>13.949999999999996</v>
      </c>
      <c r="L848" s="2" t="s">
        <v>14</v>
      </c>
      <c r="M848">
        <v>2</v>
      </c>
      <c r="N848" s="2" t="s">
        <v>15</v>
      </c>
      <c r="O848">
        <v>38.409999999999997</v>
      </c>
    </row>
    <row r="849" spans="1:15" x14ac:dyDescent="0.3">
      <c r="A849" s="1">
        <v>45308</v>
      </c>
      <c r="B849" s="2" t="s">
        <v>16</v>
      </c>
      <c r="C849" s="2" t="s">
        <v>12</v>
      </c>
      <c r="D849" s="2" t="s">
        <v>13</v>
      </c>
      <c r="E849">
        <v>101.95</v>
      </c>
      <c r="F849">
        <v>25.13</v>
      </c>
      <c r="G849">
        <v>1</v>
      </c>
      <c r="H849">
        <f t="shared" si="13"/>
        <v>61207.979999999989</v>
      </c>
      <c r="I849" t="str">
        <f>IF(Sheet1[[#This Row],[Month_Revenue]] &lt; AVERAGE(Sheet1[Month_Revenue]), "Off-Peak", "Peak")</f>
        <v>Peak</v>
      </c>
      <c r="J849">
        <f xml:space="preserve"> IF(Sheet1[[#This Row],[Ad Spend]] &gt; 0, (Sheet1[[#This Row],[Profit]] / Sheet1[[#This Row],[Ad Spend]]), 0)</f>
        <v>3.0569040986868288</v>
      </c>
      <c r="K849">
        <f>Sheet1[[#This Row],[Revenue]]-Sheet1[[#This Row],[Ad Spend]]</f>
        <v>76.820000000000007</v>
      </c>
      <c r="L849" s="2" t="s">
        <v>22</v>
      </c>
      <c r="M849">
        <v>1</v>
      </c>
      <c r="N849" s="2" t="s">
        <v>15</v>
      </c>
      <c r="O849">
        <v>101.95</v>
      </c>
    </row>
    <row r="850" spans="1:15" x14ac:dyDescent="0.3">
      <c r="A850" s="1">
        <v>45322</v>
      </c>
      <c r="B850" s="2" t="s">
        <v>11</v>
      </c>
      <c r="C850" s="2" t="s">
        <v>17</v>
      </c>
      <c r="D850" s="2" t="s">
        <v>18</v>
      </c>
      <c r="E850">
        <v>49.17</v>
      </c>
      <c r="F850">
        <v>27.27</v>
      </c>
      <c r="G850">
        <v>2</v>
      </c>
      <c r="H850">
        <f t="shared" si="13"/>
        <v>61207.979999999989</v>
      </c>
      <c r="I850" t="str">
        <f>IF(Sheet1[[#This Row],[Month_Revenue]] &lt; AVERAGE(Sheet1[Month_Revenue]), "Off-Peak", "Peak")</f>
        <v>Peak</v>
      </c>
      <c r="J850">
        <f xml:space="preserve"> IF(Sheet1[[#This Row],[Ad Spend]] &gt; 0, (Sheet1[[#This Row],[Profit]] / Sheet1[[#This Row],[Ad Spend]]), 0)</f>
        <v>0.80308030803080321</v>
      </c>
      <c r="K850">
        <f>Sheet1[[#This Row],[Revenue]]-Sheet1[[#This Row],[Ad Spend]]</f>
        <v>21.900000000000002</v>
      </c>
      <c r="L850" s="2" t="s">
        <v>14</v>
      </c>
      <c r="M850">
        <v>1</v>
      </c>
      <c r="N850" s="2" t="s">
        <v>15</v>
      </c>
      <c r="O850">
        <v>24.585000000000001</v>
      </c>
    </row>
    <row r="851" spans="1:15" x14ac:dyDescent="0.3">
      <c r="A851" s="1">
        <v>45312</v>
      </c>
      <c r="B851" s="2" t="s">
        <v>11</v>
      </c>
      <c r="C851" s="2" t="s">
        <v>12</v>
      </c>
      <c r="D851" s="2" t="s">
        <v>13</v>
      </c>
      <c r="E851">
        <v>180.66</v>
      </c>
      <c r="F851">
        <v>47.6</v>
      </c>
      <c r="G851">
        <v>0</v>
      </c>
      <c r="H851">
        <f t="shared" si="13"/>
        <v>61207.979999999989</v>
      </c>
      <c r="I851" t="str">
        <f>IF(Sheet1[[#This Row],[Month_Revenue]] &lt; AVERAGE(Sheet1[Month_Revenue]), "Off-Peak", "Peak")</f>
        <v>Peak</v>
      </c>
      <c r="J851">
        <f xml:space="preserve"> IF(Sheet1[[#This Row],[Ad Spend]] &gt; 0, (Sheet1[[#This Row],[Profit]] / Sheet1[[#This Row],[Ad Spend]]), 0)</f>
        <v>2.795378151260504</v>
      </c>
      <c r="K851">
        <f>Sheet1[[#This Row],[Revenue]]-Sheet1[[#This Row],[Ad Spend]]</f>
        <v>133.06</v>
      </c>
      <c r="L851" s="2" t="s">
        <v>22</v>
      </c>
      <c r="M851">
        <v>1</v>
      </c>
      <c r="N851" s="2" t="s">
        <v>15</v>
      </c>
      <c r="O851">
        <v>0</v>
      </c>
    </row>
    <row r="852" spans="1:15" x14ac:dyDescent="0.3">
      <c r="A852" s="1">
        <v>45303</v>
      </c>
      <c r="B852" s="2" t="s">
        <v>20</v>
      </c>
      <c r="C852" s="2" t="s">
        <v>21</v>
      </c>
      <c r="D852" s="2" t="s">
        <v>18</v>
      </c>
      <c r="E852">
        <v>85.49</v>
      </c>
      <c r="F852">
        <v>38.44</v>
      </c>
      <c r="G852">
        <v>0</v>
      </c>
      <c r="H852">
        <f t="shared" si="13"/>
        <v>61207.979999999989</v>
      </c>
      <c r="I852" t="str">
        <f>IF(Sheet1[[#This Row],[Month_Revenue]] &lt; AVERAGE(Sheet1[Month_Revenue]), "Off-Peak", "Peak")</f>
        <v>Peak</v>
      </c>
      <c r="J852">
        <f xml:space="preserve"> IF(Sheet1[[#This Row],[Ad Spend]] &gt; 0, (Sheet1[[#This Row],[Profit]] / Sheet1[[#This Row],[Ad Spend]]), 0)</f>
        <v>1.2239854318418315</v>
      </c>
      <c r="K852">
        <f>Sheet1[[#This Row],[Revenue]]-Sheet1[[#This Row],[Ad Spend]]</f>
        <v>47.05</v>
      </c>
      <c r="L852" s="2" t="s">
        <v>22</v>
      </c>
      <c r="M852">
        <v>1</v>
      </c>
      <c r="N852" s="2" t="s">
        <v>15</v>
      </c>
      <c r="O852">
        <v>0</v>
      </c>
    </row>
    <row r="853" spans="1:15" x14ac:dyDescent="0.3">
      <c r="A853" s="1">
        <v>45392</v>
      </c>
      <c r="B853" s="2" t="s">
        <v>16</v>
      </c>
      <c r="C853" s="2" t="s">
        <v>12</v>
      </c>
      <c r="D853" s="2" t="s">
        <v>13</v>
      </c>
      <c r="E853">
        <v>45.74</v>
      </c>
      <c r="F853">
        <v>6.2</v>
      </c>
      <c r="G853">
        <v>1</v>
      </c>
      <c r="H853">
        <f t="shared" si="13"/>
        <v>58562.910000000018</v>
      </c>
      <c r="I853" t="str">
        <f>IF(Sheet1[[#This Row],[Month_Revenue]] &lt; AVERAGE(Sheet1[Month_Revenue]), "Off-Peak", "Peak")</f>
        <v>Peak</v>
      </c>
      <c r="J853">
        <f xml:space="preserve"> IF(Sheet1[[#This Row],[Ad Spend]] &gt; 0, (Sheet1[[#This Row],[Profit]] / Sheet1[[#This Row],[Ad Spend]]), 0)</f>
        <v>6.3774193548387093</v>
      </c>
      <c r="K853">
        <f>Sheet1[[#This Row],[Revenue]]-Sheet1[[#This Row],[Ad Spend]]</f>
        <v>39.54</v>
      </c>
      <c r="L853" s="2" t="s">
        <v>14</v>
      </c>
      <c r="M853">
        <v>4</v>
      </c>
      <c r="N853" s="2" t="s">
        <v>19</v>
      </c>
      <c r="O853">
        <v>45.74</v>
      </c>
    </row>
    <row r="854" spans="1:15" x14ac:dyDescent="0.3">
      <c r="A854" s="1">
        <v>45322</v>
      </c>
      <c r="B854" s="2" t="s">
        <v>11</v>
      </c>
      <c r="C854" s="2" t="s">
        <v>17</v>
      </c>
      <c r="D854" s="2" t="s">
        <v>13</v>
      </c>
      <c r="E854">
        <v>111.46</v>
      </c>
      <c r="F854">
        <v>48.72</v>
      </c>
      <c r="G854">
        <v>2</v>
      </c>
      <c r="H854">
        <f t="shared" si="13"/>
        <v>61207.979999999989</v>
      </c>
      <c r="I854" t="str">
        <f>IF(Sheet1[[#This Row],[Month_Revenue]] &lt; AVERAGE(Sheet1[Month_Revenue]), "Off-Peak", "Peak")</f>
        <v>Peak</v>
      </c>
      <c r="J854">
        <f xml:space="preserve"> IF(Sheet1[[#This Row],[Ad Spend]] &gt; 0, (Sheet1[[#This Row],[Profit]] / Sheet1[[#This Row],[Ad Spend]]), 0)</f>
        <v>1.287766830870279</v>
      </c>
      <c r="K854">
        <f>Sheet1[[#This Row],[Revenue]]-Sheet1[[#This Row],[Ad Spend]]</f>
        <v>62.739999999999995</v>
      </c>
      <c r="L854" s="2" t="s">
        <v>22</v>
      </c>
      <c r="M854">
        <v>1</v>
      </c>
      <c r="N854" s="2" t="s">
        <v>15</v>
      </c>
      <c r="O854">
        <v>55.73</v>
      </c>
    </row>
    <row r="855" spans="1:15" x14ac:dyDescent="0.3">
      <c r="A855" s="1">
        <v>45374</v>
      </c>
      <c r="B855" s="2" t="s">
        <v>23</v>
      </c>
      <c r="C855" s="2" t="s">
        <v>12</v>
      </c>
      <c r="D855" s="2" t="s">
        <v>13</v>
      </c>
      <c r="E855">
        <v>90.39</v>
      </c>
      <c r="F855">
        <v>23.74</v>
      </c>
      <c r="G855">
        <v>2</v>
      </c>
      <c r="H855">
        <f t="shared" si="13"/>
        <v>54735.250000000029</v>
      </c>
      <c r="I855" t="str">
        <f>IF(Sheet1[[#This Row],[Month_Revenue]] &lt; AVERAGE(Sheet1[Month_Revenue]), "Off-Peak", "Peak")</f>
        <v>Off-Peak</v>
      </c>
      <c r="J855">
        <f xml:space="preserve"> IF(Sheet1[[#This Row],[Ad Spend]] &gt; 0, (Sheet1[[#This Row],[Profit]] / Sheet1[[#This Row],[Ad Spend]]), 0)</f>
        <v>2.8074978938500426</v>
      </c>
      <c r="K855">
        <f>Sheet1[[#This Row],[Revenue]]-Sheet1[[#This Row],[Ad Spend]]</f>
        <v>66.650000000000006</v>
      </c>
      <c r="L855" s="2" t="s">
        <v>22</v>
      </c>
      <c r="M855">
        <v>3</v>
      </c>
      <c r="N855" s="2" t="s">
        <v>19</v>
      </c>
      <c r="O855">
        <v>45.195</v>
      </c>
    </row>
    <row r="856" spans="1:15" x14ac:dyDescent="0.3">
      <c r="A856" s="1">
        <v>45371</v>
      </c>
      <c r="B856" s="2" t="s">
        <v>23</v>
      </c>
      <c r="C856" s="2" t="s">
        <v>17</v>
      </c>
      <c r="D856" s="2" t="s">
        <v>18</v>
      </c>
      <c r="E856">
        <v>192.61</v>
      </c>
      <c r="F856">
        <v>46.59</v>
      </c>
      <c r="G856">
        <v>0</v>
      </c>
      <c r="H856">
        <f t="shared" si="13"/>
        <v>54735.250000000029</v>
      </c>
      <c r="I856" t="str">
        <f>IF(Sheet1[[#This Row],[Month_Revenue]] &lt; AVERAGE(Sheet1[Month_Revenue]), "Off-Peak", "Peak")</f>
        <v>Off-Peak</v>
      </c>
      <c r="J856">
        <f xml:space="preserve"> IF(Sheet1[[#This Row],[Ad Spend]] &gt; 0, (Sheet1[[#This Row],[Profit]] / Sheet1[[#This Row],[Ad Spend]]), 0)</f>
        <v>3.1341489590040781</v>
      </c>
      <c r="K856">
        <f>Sheet1[[#This Row],[Revenue]]-Sheet1[[#This Row],[Ad Spend]]</f>
        <v>146.02000000000001</v>
      </c>
      <c r="L856" s="2" t="s">
        <v>14</v>
      </c>
      <c r="M856">
        <v>3</v>
      </c>
      <c r="N856" s="2" t="s">
        <v>19</v>
      </c>
      <c r="O856">
        <v>0</v>
      </c>
    </row>
    <row r="857" spans="1:15" x14ac:dyDescent="0.3">
      <c r="A857" s="1">
        <v>45374</v>
      </c>
      <c r="B857" s="2" t="s">
        <v>23</v>
      </c>
      <c r="C857" s="2" t="s">
        <v>12</v>
      </c>
      <c r="D857" s="2" t="s">
        <v>18</v>
      </c>
      <c r="E857">
        <v>56.91</v>
      </c>
      <c r="F857">
        <v>45.95</v>
      </c>
      <c r="G857">
        <v>0</v>
      </c>
      <c r="H857">
        <f t="shared" si="13"/>
        <v>54735.250000000029</v>
      </c>
      <c r="I857" t="str">
        <f>IF(Sheet1[[#This Row],[Month_Revenue]] &lt; AVERAGE(Sheet1[Month_Revenue]), "Off-Peak", "Peak")</f>
        <v>Off-Peak</v>
      </c>
      <c r="J857">
        <f xml:space="preserve"> IF(Sheet1[[#This Row],[Ad Spend]] &gt; 0, (Sheet1[[#This Row],[Profit]] / Sheet1[[#This Row],[Ad Spend]]), 0)</f>
        <v>0.23852013057671367</v>
      </c>
      <c r="K857">
        <f>Sheet1[[#This Row],[Revenue]]-Sheet1[[#This Row],[Ad Spend]]</f>
        <v>10.959999999999994</v>
      </c>
      <c r="L857" s="2" t="s">
        <v>22</v>
      </c>
      <c r="M857">
        <v>3</v>
      </c>
      <c r="N857" s="2" t="s">
        <v>19</v>
      </c>
      <c r="O857">
        <v>0</v>
      </c>
    </row>
    <row r="858" spans="1:15" x14ac:dyDescent="0.3">
      <c r="A858" s="1">
        <v>45328</v>
      </c>
      <c r="B858" s="2" t="s">
        <v>23</v>
      </c>
      <c r="C858" s="2" t="s">
        <v>12</v>
      </c>
      <c r="D858" s="2" t="s">
        <v>18</v>
      </c>
      <c r="E858">
        <v>90.76</v>
      </c>
      <c r="F858">
        <v>49.88</v>
      </c>
      <c r="G858">
        <v>1</v>
      </c>
      <c r="H858">
        <f t="shared" si="13"/>
        <v>48675.899999999936</v>
      </c>
      <c r="I858" t="str">
        <f>IF(Sheet1[[#This Row],[Month_Revenue]] &lt; AVERAGE(Sheet1[Month_Revenue]), "Off-Peak", "Peak")</f>
        <v>Off-Peak</v>
      </c>
      <c r="J858">
        <f xml:space="preserve"> IF(Sheet1[[#This Row],[Ad Spend]] &gt; 0, (Sheet1[[#This Row],[Profit]] / Sheet1[[#This Row],[Ad Spend]]), 0)</f>
        <v>0.81956696070569368</v>
      </c>
      <c r="K858">
        <f>Sheet1[[#This Row],[Revenue]]-Sheet1[[#This Row],[Ad Spend]]</f>
        <v>40.880000000000003</v>
      </c>
      <c r="L858" s="2" t="s">
        <v>22</v>
      </c>
      <c r="M858">
        <v>2</v>
      </c>
      <c r="N858" s="2" t="s">
        <v>15</v>
      </c>
      <c r="O858">
        <v>90.76</v>
      </c>
    </row>
    <row r="859" spans="1:15" x14ac:dyDescent="0.3">
      <c r="A859" s="1">
        <v>45384</v>
      </c>
      <c r="B859" s="2" t="s">
        <v>24</v>
      </c>
      <c r="C859" s="2" t="s">
        <v>12</v>
      </c>
      <c r="D859" s="2" t="s">
        <v>18</v>
      </c>
      <c r="E859">
        <v>153.28</v>
      </c>
      <c r="F859">
        <v>2.34</v>
      </c>
      <c r="G859">
        <v>1</v>
      </c>
      <c r="H859">
        <f t="shared" si="13"/>
        <v>58562.910000000018</v>
      </c>
      <c r="I859" t="str">
        <f>IF(Sheet1[[#This Row],[Month_Revenue]] &lt; AVERAGE(Sheet1[Month_Revenue]), "Off-Peak", "Peak")</f>
        <v>Peak</v>
      </c>
      <c r="J859">
        <f xml:space="preserve"> IF(Sheet1[[#This Row],[Ad Spend]] &gt; 0, (Sheet1[[#This Row],[Profit]] / Sheet1[[#This Row],[Ad Spend]]), 0)</f>
        <v>64.504273504273513</v>
      </c>
      <c r="K859">
        <f>Sheet1[[#This Row],[Revenue]]-Sheet1[[#This Row],[Ad Spend]]</f>
        <v>150.94</v>
      </c>
      <c r="L859" s="2" t="s">
        <v>22</v>
      </c>
      <c r="M859">
        <v>4</v>
      </c>
      <c r="N859" s="2" t="s">
        <v>19</v>
      </c>
      <c r="O859">
        <v>153.28</v>
      </c>
    </row>
    <row r="860" spans="1:15" x14ac:dyDescent="0.3">
      <c r="A860" s="1">
        <v>45410</v>
      </c>
      <c r="B860" s="2" t="s">
        <v>24</v>
      </c>
      <c r="C860" s="2" t="s">
        <v>17</v>
      </c>
      <c r="D860" s="2" t="s">
        <v>18</v>
      </c>
      <c r="E860">
        <v>112.69</v>
      </c>
      <c r="F860">
        <v>48.84</v>
      </c>
      <c r="G860">
        <v>0</v>
      </c>
      <c r="H860">
        <f t="shared" si="13"/>
        <v>58562.910000000018</v>
      </c>
      <c r="I860" t="str">
        <f>IF(Sheet1[[#This Row],[Month_Revenue]] &lt; AVERAGE(Sheet1[Month_Revenue]), "Off-Peak", "Peak")</f>
        <v>Peak</v>
      </c>
      <c r="J860">
        <f xml:space="preserve"> IF(Sheet1[[#This Row],[Ad Spend]] &gt; 0, (Sheet1[[#This Row],[Profit]] / Sheet1[[#This Row],[Ad Spend]]), 0)</f>
        <v>1.307330057330057</v>
      </c>
      <c r="K860">
        <f>Sheet1[[#This Row],[Revenue]]-Sheet1[[#This Row],[Ad Spend]]</f>
        <v>63.849999999999994</v>
      </c>
      <c r="L860" s="2" t="s">
        <v>14</v>
      </c>
      <c r="M860">
        <v>4</v>
      </c>
      <c r="N860" s="2" t="s">
        <v>19</v>
      </c>
      <c r="O860">
        <v>0</v>
      </c>
    </row>
    <row r="861" spans="1:15" x14ac:dyDescent="0.3">
      <c r="A861" s="1">
        <v>45339</v>
      </c>
      <c r="B861" s="2" t="s">
        <v>24</v>
      </c>
      <c r="C861" s="2" t="s">
        <v>17</v>
      </c>
      <c r="D861" s="2" t="s">
        <v>18</v>
      </c>
      <c r="E861">
        <v>133.29</v>
      </c>
      <c r="F861">
        <v>5.2</v>
      </c>
      <c r="G861">
        <v>3</v>
      </c>
      <c r="H861">
        <f t="shared" si="13"/>
        <v>48675.899999999936</v>
      </c>
      <c r="I861" t="str">
        <f>IF(Sheet1[[#This Row],[Month_Revenue]] &lt; AVERAGE(Sheet1[Month_Revenue]), "Off-Peak", "Peak")</f>
        <v>Off-Peak</v>
      </c>
      <c r="J861">
        <f xml:space="preserve"> IF(Sheet1[[#This Row],[Ad Spend]] &gt; 0, (Sheet1[[#This Row],[Profit]] / Sheet1[[#This Row],[Ad Spend]]), 0)</f>
        <v>24.632692307692306</v>
      </c>
      <c r="K861">
        <f>Sheet1[[#This Row],[Revenue]]-Sheet1[[#This Row],[Ad Spend]]</f>
        <v>128.09</v>
      </c>
      <c r="L861" s="2" t="s">
        <v>22</v>
      </c>
      <c r="M861">
        <v>2</v>
      </c>
      <c r="N861" s="2" t="s">
        <v>15</v>
      </c>
      <c r="O861">
        <v>44.43</v>
      </c>
    </row>
    <row r="862" spans="1:15" x14ac:dyDescent="0.3">
      <c r="A862" s="1">
        <v>45375</v>
      </c>
      <c r="B862" s="2" t="s">
        <v>16</v>
      </c>
      <c r="C862" s="2" t="s">
        <v>17</v>
      </c>
      <c r="D862" s="2" t="s">
        <v>18</v>
      </c>
      <c r="E862">
        <v>115.53</v>
      </c>
      <c r="F862">
        <v>27.95</v>
      </c>
      <c r="G862">
        <v>2</v>
      </c>
      <c r="H862">
        <f t="shared" si="13"/>
        <v>54735.250000000029</v>
      </c>
      <c r="I862" t="str">
        <f>IF(Sheet1[[#This Row],[Month_Revenue]] &lt; AVERAGE(Sheet1[Month_Revenue]), "Off-Peak", "Peak")</f>
        <v>Off-Peak</v>
      </c>
      <c r="J862">
        <f xml:space="preserve"> IF(Sheet1[[#This Row],[Ad Spend]] &gt; 0, (Sheet1[[#This Row],[Profit]] / Sheet1[[#This Row],[Ad Spend]]), 0)</f>
        <v>3.1334525939177102</v>
      </c>
      <c r="K862">
        <f>Sheet1[[#This Row],[Revenue]]-Sheet1[[#This Row],[Ad Spend]]</f>
        <v>87.58</v>
      </c>
      <c r="L862" s="2" t="s">
        <v>22</v>
      </c>
      <c r="M862">
        <v>3</v>
      </c>
      <c r="N862" s="2" t="s">
        <v>19</v>
      </c>
      <c r="O862">
        <v>57.765000000000001</v>
      </c>
    </row>
    <row r="863" spans="1:15" x14ac:dyDescent="0.3">
      <c r="A863" s="1">
        <v>45301</v>
      </c>
      <c r="B863" s="2" t="s">
        <v>20</v>
      </c>
      <c r="C863" s="2" t="s">
        <v>21</v>
      </c>
      <c r="D863" s="2" t="s">
        <v>18</v>
      </c>
      <c r="E863">
        <v>140.58000000000001</v>
      </c>
      <c r="F863">
        <v>19.600000000000001</v>
      </c>
      <c r="G863">
        <v>1</v>
      </c>
      <c r="H863">
        <f t="shared" si="13"/>
        <v>61207.979999999989</v>
      </c>
      <c r="I863" t="str">
        <f>IF(Sheet1[[#This Row],[Month_Revenue]] &lt; AVERAGE(Sheet1[Month_Revenue]), "Off-Peak", "Peak")</f>
        <v>Peak</v>
      </c>
      <c r="J863">
        <f xml:space="preserve"> IF(Sheet1[[#This Row],[Ad Spend]] &gt; 0, (Sheet1[[#This Row],[Profit]] / Sheet1[[#This Row],[Ad Spend]]), 0)</f>
        <v>6.1724489795918371</v>
      </c>
      <c r="K863">
        <f>Sheet1[[#This Row],[Revenue]]-Sheet1[[#This Row],[Ad Spend]]</f>
        <v>120.98000000000002</v>
      </c>
      <c r="L863" s="2" t="s">
        <v>22</v>
      </c>
      <c r="M863">
        <v>1</v>
      </c>
      <c r="N863" s="2" t="s">
        <v>15</v>
      </c>
      <c r="O863">
        <v>140.58000000000001</v>
      </c>
    </row>
    <row r="864" spans="1:15" x14ac:dyDescent="0.3">
      <c r="A864" s="1">
        <v>45397</v>
      </c>
      <c r="B864" s="2" t="s">
        <v>23</v>
      </c>
      <c r="C864" s="2" t="s">
        <v>21</v>
      </c>
      <c r="D864" s="2" t="s">
        <v>18</v>
      </c>
      <c r="E864">
        <v>172.89</v>
      </c>
      <c r="F864">
        <v>6.93</v>
      </c>
      <c r="G864">
        <v>0</v>
      </c>
      <c r="H864">
        <f t="shared" si="13"/>
        <v>58562.910000000018</v>
      </c>
      <c r="I864" t="str">
        <f>IF(Sheet1[[#This Row],[Month_Revenue]] &lt; AVERAGE(Sheet1[Month_Revenue]), "Off-Peak", "Peak")</f>
        <v>Peak</v>
      </c>
      <c r="J864">
        <f xml:space="preserve"> IF(Sheet1[[#This Row],[Ad Spend]] &gt; 0, (Sheet1[[#This Row],[Profit]] / Sheet1[[#This Row],[Ad Spend]]), 0)</f>
        <v>23.948051948051948</v>
      </c>
      <c r="K864">
        <f>Sheet1[[#This Row],[Revenue]]-Sheet1[[#This Row],[Ad Spend]]</f>
        <v>165.95999999999998</v>
      </c>
      <c r="L864" s="2" t="s">
        <v>22</v>
      </c>
      <c r="M864">
        <v>4</v>
      </c>
      <c r="N864" s="2" t="s">
        <v>19</v>
      </c>
      <c r="O864">
        <v>0</v>
      </c>
    </row>
    <row r="865" spans="1:15" x14ac:dyDescent="0.3">
      <c r="A865" s="1">
        <v>45298</v>
      </c>
      <c r="B865" s="2" t="s">
        <v>23</v>
      </c>
      <c r="C865" s="2" t="s">
        <v>17</v>
      </c>
      <c r="D865" s="2" t="s">
        <v>13</v>
      </c>
      <c r="E865">
        <v>106.8</v>
      </c>
      <c r="F865">
        <v>32.22</v>
      </c>
      <c r="G865">
        <v>2</v>
      </c>
      <c r="H865">
        <f t="shared" si="13"/>
        <v>61207.979999999989</v>
      </c>
      <c r="I865" t="str">
        <f>IF(Sheet1[[#This Row],[Month_Revenue]] &lt; AVERAGE(Sheet1[Month_Revenue]), "Off-Peak", "Peak")</f>
        <v>Peak</v>
      </c>
      <c r="J865">
        <f xml:space="preserve"> IF(Sheet1[[#This Row],[Ad Spend]] &gt; 0, (Sheet1[[#This Row],[Profit]] / Sheet1[[#This Row],[Ad Spend]]), 0)</f>
        <v>2.3147113594040967</v>
      </c>
      <c r="K865">
        <f>Sheet1[[#This Row],[Revenue]]-Sheet1[[#This Row],[Ad Spend]]</f>
        <v>74.58</v>
      </c>
      <c r="L865" s="2" t="s">
        <v>14</v>
      </c>
      <c r="M865">
        <v>1</v>
      </c>
      <c r="N865" s="2" t="s">
        <v>15</v>
      </c>
      <c r="O865">
        <v>53.4</v>
      </c>
    </row>
    <row r="866" spans="1:15" x14ac:dyDescent="0.3">
      <c r="A866" s="1">
        <v>45389</v>
      </c>
      <c r="B866" s="2" t="s">
        <v>11</v>
      </c>
      <c r="C866" s="2" t="s">
        <v>17</v>
      </c>
      <c r="D866" s="2" t="s">
        <v>13</v>
      </c>
      <c r="E866">
        <v>198.4</v>
      </c>
      <c r="F866">
        <v>21.34</v>
      </c>
      <c r="G866">
        <v>2</v>
      </c>
      <c r="H866">
        <f t="shared" si="13"/>
        <v>58562.910000000018</v>
      </c>
      <c r="I866" t="str">
        <f>IF(Sheet1[[#This Row],[Month_Revenue]] &lt; AVERAGE(Sheet1[Month_Revenue]), "Off-Peak", "Peak")</f>
        <v>Peak</v>
      </c>
      <c r="J866">
        <f xml:space="preserve"> IF(Sheet1[[#This Row],[Ad Spend]] &gt; 0, (Sheet1[[#This Row],[Profit]] / Sheet1[[#This Row],[Ad Spend]]), 0)</f>
        <v>8.2970946579194003</v>
      </c>
      <c r="K866">
        <f>Sheet1[[#This Row],[Revenue]]-Sheet1[[#This Row],[Ad Spend]]</f>
        <v>177.06</v>
      </c>
      <c r="L866" s="2" t="s">
        <v>14</v>
      </c>
      <c r="M866">
        <v>4</v>
      </c>
      <c r="N866" s="2" t="s">
        <v>19</v>
      </c>
      <c r="O866">
        <v>99.2</v>
      </c>
    </row>
    <row r="867" spans="1:15" x14ac:dyDescent="0.3">
      <c r="A867" s="1">
        <v>45314</v>
      </c>
      <c r="B867" s="2" t="s">
        <v>11</v>
      </c>
      <c r="C867" s="2" t="s">
        <v>17</v>
      </c>
      <c r="D867" s="2" t="s">
        <v>18</v>
      </c>
      <c r="E867">
        <v>66.22</v>
      </c>
      <c r="F867">
        <v>33.03</v>
      </c>
      <c r="G867">
        <v>1</v>
      </c>
      <c r="H867">
        <f t="shared" si="13"/>
        <v>61207.979999999989</v>
      </c>
      <c r="I867" t="str">
        <f>IF(Sheet1[[#This Row],[Month_Revenue]] &lt; AVERAGE(Sheet1[Month_Revenue]), "Off-Peak", "Peak")</f>
        <v>Peak</v>
      </c>
      <c r="J867">
        <f xml:space="preserve"> IF(Sheet1[[#This Row],[Ad Spend]] &gt; 0, (Sheet1[[#This Row],[Profit]] / Sheet1[[#This Row],[Ad Spend]]), 0)</f>
        <v>1.004844081138359</v>
      </c>
      <c r="K867">
        <f>Sheet1[[#This Row],[Revenue]]-Sheet1[[#This Row],[Ad Spend]]</f>
        <v>33.19</v>
      </c>
      <c r="L867" s="2" t="s">
        <v>22</v>
      </c>
      <c r="M867">
        <v>1</v>
      </c>
      <c r="N867" s="2" t="s">
        <v>15</v>
      </c>
      <c r="O867">
        <v>66.22</v>
      </c>
    </row>
    <row r="868" spans="1:15" x14ac:dyDescent="0.3">
      <c r="A868" s="1">
        <v>45353</v>
      </c>
      <c r="B868" s="2" t="s">
        <v>23</v>
      </c>
      <c r="C868" s="2" t="s">
        <v>12</v>
      </c>
      <c r="D868" s="2" t="s">
        <v>18</v>
      </c>
      <c r="E868">
        <v>20.07</v>
      </c>
      <c r="F868">
        <v>16.34</v>
      </c>
      <c r="G868">
        <v>0</v>
      </c>
      <c r="H868">
        <f t="shared" si="13"/>
        <v>54735.250000000029</v>
      </c>
      <c r="I868" t="str">
        <f>IF(Sheet1[[#This Row],[Month_Revenue]] &lt; AVERAGE(Sheet1[Month_Revenue]), "Off-Peak", "Peak")</f>
        <v>Off-Peak</v>
      </c>
      <c r="J868">
        <f xml:space="preserve"> IF(Sheet1[[#This Row],[Ad Spend]] &gt; 0, (Sheet1[[#This Row],[Profit]] / Sheet1[[#This Row],[Ad Spend]]), 0)</f>
        <v>0.22827417380660958</v>
      </c>
      <c r="K868">
        <f>Sheet1[[#This Row],[Revenue]]-Sheet1[[#This Row],[Ad Spend]]</f>
        <v>3.7300000000000004</v>
      </c>
      <c r="L868" s="2" t="s">
        <v>22</v>
      </c>
      <c r="M868">
        <v>3</v>
      </c>
      <c r="N868" s="2" t="s">
        <v>19</v>
      </c>
      <c r="O868">
        <v>0</v>
      </c>
    </row>
    <row r="869" spans="1:15" x14ac:dyDescent="0.3">
      <c r="A869" s="1">
        <v>45320</v>
      </c>
      <c r="B869" s="2" t="s">
        <v>11</v>
      </c>
      <c r="C869" s="2" t="s">
        <v>12</v>
      </c>
      <c r="D869" s="2" t="s">
        <v>13</v>
      </c>
      <c r="E869">
        <v>162.06</v>
      </c>
      <c r="F869">
        <v>49.86</v>
      </c>
      <c r="G869">
        <v>2</v>
      </c>
      <c r="H869">
        <f t="shared" si="13"/>
        <v>61207.979999999989</v>
      </c>
      <c r="I869" t="str">
        <f>IF(Sheet1[[#This Row],[Month_Revenue]] &lt; AVERAGE(Sheet1[Month_Revenue]), "Off-Peak", "Peak")</f>
        <v>Peak</v>
      </c>
      <c r="J869">
        <f xml:space="preserve"> IF(Sheet1[[#This Row],[Ad Spend]] &gt; 0, (Sheet1[[#This Row],[Profit]] / Sheet1[[#This Row],[Ad Spend]]), 0)</f>
        <v>2.2503008423586044</v>
      </c>
      <c r="K869">
        <f>Sheet1[[#This Row],[Revenue]]-Sheet1[[#This Row],[Ad Spend]]</f>
        <v>112.2</v>
      </c>
      <c r="L869" s="2" t="s">
        <v>14</v>
      </c>
      <c r="M869">
        <v>1</v>
      </c>
      <c r="N869" s="2" t="s">
        <v>15</v>
      </c>
      <c r="O869">
        <v>81.03</v>
      </c>
    </row>
    <row r="870" spans="1:15" x14ac:dyDescent="0.3">
      <c r="A870" s="1">
        <v>45406</v>
      </c>
      <c r="B870" s="2" t="s">
        <v>23</v>
      </c>
      <c r="C870" s="2" t="s">
        <v>12</v>
      </c>
      <c r="D870" s="2" t="s">
        <v>13</v>
      </c>
      <c r="E870">
        <v>156.30000000000001</v>
      </c>
      <c r="F870">
        <v>36.659999999999997</v>
      </c>
      <c r="G870">
        <v>3</v>
      </c>
      <c r="H870">
        <f t="shared" si="13"/>
        <v>58562.910000000018</v>
      </c>
      <c r="I870" t="str">
        <f>IF(Sheet1[[#This Row],[Month_Revenue]] &lt; AVERAGE(Sheet1[Month_Revenue]), "Off-Peak", "Peak")</f>
        <v>Peak</v>
      </c>
      <c r="J870">
        <f xml:space="preserve"> IF(Sheet1[[#This Row],[Ad Spend]] &gt; 0, (Sheet1[[#This Row],[Profit]] / Sheet1[[#This Row],[Ad Spend]]), 0)</f>
        <v>3.2635024549918175</v>
      </c>
      <c r="K870">
        <f>Sheet1[[#This Row],[Revenue]]-Sheet1[[#This Row],[Ad Spend]]</f>
        <v>119.64000000000001</v>
      </c>
      <c r="L870" s="2" t="s">
        <v>14</v>
      </c>
      <c r="M870">
        <v>4</v>
      </c>
      <c r="N870" s="2" t="s">
        <v>19</v>
      </c>
      <c r="O870">
        <v>52.1</v>
      </c>
    </row>
    <row r="871" spans="1:15" x14ac:dyDescent="0.3">
      <c r="A871" s="1">
        <v>45395</v>
      </c>
      <c r="B871" s="2" t="s">
        <v>24</v>
      </c>
      <c r="C871" s="2" t="s">
        <v>17</v>
      </c>
      <c r="D871" s="2" t="s">
        <v>13</v>
      </c>
      <c r="E871">
        <v>195.81</v>
      </c>
      <c r="F871">
        <v>9.2799999999999994</v>
      </c>
      <c r="G871">
        <v>0</v>
      </c>
      <c r="H871">
        <f t="shared" si="13"/>
        <v>58562.910000000018</v>
      </c>
      <c r="I871" t="str">
        <f>IF(Sheet1[[#This Row],[Month_Revenue]] &lt; AVERAGE(Sheet1[Month_Revenue]), "Off-Peak", "Peak")</f>
        <v>Peak</v>
      </c>
      <c r="J871">
        <f xml:space="preserve"> IF(Sheet1[[#This Row],[Ad Spend]] &gt; 0, (Sheet1[[#This Row],[Profit]] / Sheet1[[#This Row],[Ad Spend]]), 0)</f>
        <v>20.100215517241381</v>
      </c>
      <c r="K871">
        <f>Sheet1[[#This Row],[Revenue]]-Sheet1[[#This Row],[Ad Spend]]</f>
        <v>186.53</v>
      </c>
      <c r="L871" s="2" t="s">
        <v>14</v>
      </c>
      <c r="M871">
        <v>4</v>
      </c>
      <c r="N871" s="2" t="s">
        <v>19</v>
      </c>
      <c r="O871">
        <v>0</v>
      </c>
    </row>
    <row r="872" spans="1:15" x14ac:dyDescent="0.3">
      <c r="A872" s="1">
        <v>45314</v>
      </c>
      <c r="B872" s="2" t="s">
        <v>11</v>
      </c>
      <c r="C872" s="2" t="s">
        <v>21</v>
      </c>
      <c r="D872" s="2" t="s">
        <v>13</v>
      </c>
      <c r="E872">
        <v>156.34</v>
      </c>
      <c r="F872">
        <v>36.03</v>
      </c>
      <c r="G872">
        <v>2</v>
      </c>
      <c r="H872">
        <f t="shared" si="13"/>
        <v>61207.979999999989</v>
      </c>
      <c r="I872" t="str">
        <f>IF(Sheet1[[#This Row],[Month_Revenue]] &lt; AVERAGE(Sheet1[Month_Revenue]), "Off-Peak", "Peak")</f>
        <v>Peak</v>
      </c>
      <c r="J872">
        <f xml:space="preserve"> IF(Sheet1[[#This Row],[Ad Spend]] &gt; 0, (Sheet1[[#This Row],[Profit]] / Sheet1[[#This Row],[Ad Spend]]), 0)</f>
        <v>3.3391618096031084</v>
      </c>
      <c r="K872">
        <f>Sheet1[[#This Row],[Revenue]]-Sheet1[[#This Row],[Ad Spend]]</f>
        <v>120.31</v>
      </c>
      <c r="L872" s="2" t="s">
        <v>22</v>
      </c>
      <c r="M872">
        <v>1</v>
      </c>
      <c r="N872" s="2" t="s">
        <v>15</v>
      </c>
      <c r="O872">
        <v>78.17</v>
      </c>
    </row>
    <row r="873" spans="1:15" x14ac:dyDescent="0.3">
      <c r="A873" s="1">
        <v>45371</v>
      </c>
      <c r="B873" s="2" t="s">
        <v>11</v>
      </c>
      <c r="C873" s="2" t="s">
        <v>12</v>
      </c>
      <c r="D873" s="2" t="s">
        <v>18</v>
      </c>
      <c r="E873">
        <v>151.72</v>
      </c>
      <c r="F873">
        <v>29.92</v>
      </c>
      <c r="G873">
        <v>0</v>
      </c>
      <c r="H873">
        <f t="shared" si="13"/>
        <v>54735.250000000029</v>
      </c>
      <c r="I873" t="str">
        <f>IF(Sheet1[[#This Row],[Month_Revenue]] &lt; AVERAGE(Sheet1[Month_Revenue]), "Off-Peak", "Peak")</f>
        <v>Off-Peak</v>
      </c>
      <c r="J873">
        <f xml:space="preserve"> IF(Sheet1[[#This Row],[Ad Spend]] &gt; 0, (Sheet1[[#This Row],[Profit]] / Sheet1[[#This Row],[Ad Spend]]), 0)</f>
        <v>4.0708556149732615</v>
      </c>
      <c r="K873">
        <f>Sheet1[[#This Row],[Revenue]]-Sheet1[[#This Row],[Ad Spend]]</f>
        <v>121.8</v>
      </c>
      <c r="L873" s="2" t="s">
        <v>14</v>
      </c>
      <c r="M873">
        <v>3</v>
      </c>
      <c r="N873" s="2" t="s">
        <v>19</v>
      </c>
      <c r="O873">
        <v>0</v>
      </c>
    </row>
    <row r="874" spans="1:15" x14ac:dyDescent="0.3">
      <c r="A874" s="1">
        <v>45369</v>
      </c>
      <c r="B874" s="2" t="s">
        <v>20</v>
      </c>
      <c r="C874" s="2" t="s">
        <v>12</v>
      </c>
      <c r="D874" s="2" t="s">
        <v>13</v>
      </c>
      <c r="E874">
        <v>60.53</v>
      </c>
      <c r="F874">
        <v>40.729999999999997</v>
      </c>
      <c r="G874">
        <v>0</v>
      </c>
      <c r="H874">
        <f t="shared" si="13"/>
        <v>54735.250000000029</v>
      </c>
      <c r="I874" t="str">
        <f>IF(Sheet1[[#This Row],[Month_Revenue]] &lt; AVERAGE(Sheet1[Month_Revenue]), "Off-Peak", "Peak")</f>
        <v>Off-Peak</v>
      </c>
      <c r="J874">
        <f xml:space="preserve"> IF(Sheet1[[#This Row],[Ad Spend]] &gt; 0, (Sheet1[[#This Row],[Profit]] / Sheet1[[#This Row],[Ad Spend]]), 0)</f>
        <v>0.48612816106064338</v>
      </c>
      <c r="K874">
        <f>Sheet1[[#This Row],[Revenue]]-Sheet1[[#This Row],[Ad Spend]]</f>
        <v>19.800000000000004</v>
      </c>
      <c r="L874" s="2" t="s">
        <v>14</v>
      </c>
      <c r="M874">
        <v>3</v>
      </c>
      <c r="N874" s="2" t="s">
        <v>19</v>
      </c>
      <c r="O874">
        <v>0</v>
      </c>
    </row>
    <row r="875" spans="1:15" x14ac:dyDescent="0.3">
      <c r="A875" s="1">
        <v>45372</v>
      </c>
      <c r="B875" s="2" t="s">
        <v>20</v>
      </c>
      <c r="C875" s="2" t="s">
        <v>21</v>
      </c>
      <c r="D875" s="2" t="s">
        <v>13</v>
      </c>
      <c r="E875">
        <v>54.48</v>
      </c>
      <c r="F875">
        <v>33.58</v>
      </c>
      <c r="G875">
        <v>3</v>
      </c>
      <c r="H875">
        <f t="shared" si="13"/>
        <v>54735.250000000029</v>
      </c>
      <c r="I875" t="str">
        <f>IF(Sheet1[[#This Row],[Month_Revenue]] &lt; AVERAGE(Sheet1[Month_Revenue]), "Off-Peak", "Peak")</f>
        <v>Off-Peak</v>
      </c>
      <c r="J875">
        <f xml:space="preserve"> IF(Sheet1[[#This Row],[Ad Spend]] &gt; 0, (Sheet1[[#This Row],[Profit]] / Sheet1[[#This Row],[Ad Spend]]), 0)</f>
        <v>0.62239428231089933</v>
      </c>
      <c r="K875">
        <f>Sheet1[[#This Row],[Revenue]]-Sheet1[[#This Row],[Ad Spend]]</f>
        <v>20.9</v>
      </c>
      <c r="L875" s="2" t="s">
        <v>14</v>
      </c>
      <c r="M875">
        <v>3</v>
      </c>
      <c r="N875" s="2" t="s">
        <v>19</v>
      </c>
      <c r="O875">
        <v>18.16</v>
      </c>
    </row>
    <row r="876" spans="1:15" x14ac:dyDescent="0.3">
      <c r="A876" s="1">
        <v>45369</v>
      </c>
      <c r="B876" s="2" t="s">
        <v>23</v>
      </c>
      <c r="C876" s="2" t="s">
        <v>17</v>
      </c>
      <c r="D876" s="2" t="s">
        <v>13</v>
      </c>
      <c r="E876">
        <v>157.29</v>
      </c>
      <c r="F876">
        <v>14.46</v>
      </c>
      <c r="G876">
        <v>3</v>
      </c>
      <c r="H876">
        <f t="shared" si="13"/>
        <v>54735.250000000029</v>
      </c>
      <c r="I876" t="str">
        <f>IF(Sheet1[[#This Row],[Month_Revenue]] &lt; AVERAGE(Sheet1[Month_Revenue]), "Off-Peak", "Peak")</f>
        <v>Off-Peak</v>
      </c>
      <c r="J876">
        <f xml:space="preserve"> IF(Sheet1[[#This Row],[Ad Spend]] &gt; 0, (Sheet1[[#This Row],[Profit]] / Sheet1[[#This Row],[Ad Spend]]), 0)</f>
        <v>9.8775933609958493</v>
      </c>
      <c r="K876">
        <f>Sheet1[[#This Row],[Revenue]]-Sheet1[[#This Row],[Ad Spend]]</f>
        <v>142.82999999999998</v>
      </c>
      <c r="L876" s="2" t="s">
        <v>14</v>
      </c>
      <c r="M876">
        <v>3</v>
      </c>
      <c r="N876" s="2" t="s">
        <v>19</v>
      </c>
      <c r="O876">
        <v>52.43</v>
      </c>
    </row>
    <row r="877" spans="1:15" x14ac:dyDescent="0.3">
      <c r="A877" s="1">
        <v>45390</v>
      </c>
      <c r="B877" s="2" t="s">
        <v>23</v>
      </c>
      <c r="C877" s="2" t="s">
        <v>21</v>
      </c>
      <c r="D877" s="2" t="s">
        <v>18</v>
      </c>
      <c r="E877">
        <v>51.97</v>
      </c>
      <c r="F877">
        <v>25.08</v>
      </c>
      <c r="G877">
        <v>0</v>
      </c>
      <c r="H877">
        <f t="shared" si="13"/>
        <v>58562.910000000018</v>
      </c>
      <c r="I877" t="str">
        <f>IF(Sheet1[[#This Row],[Month_Revenue]] &lt; AVERAGE(Sheet1[Month_Revenue]), "Off-Peak", "Peak")</f>
        <v>Peak</v>
      </c>
      <c r="J877">
        <f xml:space="preserve"> IF(Sheet1[[#This Row],[Ad Spend]] &gt; 0, (Sheet1[[#This Row],[Profit]] / Sheet1[[#This Row],[Ad Spend]]), 0)</f>
        <v>1.0721690590111643</v>
      </c>
      <c r="K877">
        <f>Sheet1[[#This Row],[Revenue]]-Sheet1[[#This Row],[Ad Spend]]</f>
        <v>26.89</v>
      </c>
      <c r="L877" s="2" t="s">
        <v>14</v>
      </c>
      <c r="M877">
        <v>4</v>
      </c>
      <c r="N877" s="2" t="s">
        <v>19</v>
      </c>
      <c r="O877">
        <v>0</v>
      </c>
    </row>
    <row r="878" spans="1:15" x14ac:dyDescent="0.3">
      <c r="A878" s="1">
        <v>45347</v>
      </c>
      <c r="B878" s="2" t="s">
        <v>24</v>
      </c>
      <c r="C878" s="2" t="s">
        <v>17</v>
      </c>
      <c r="D878" s="2" t="s">
        <v>18</v>
      </c>
      <c r="E878">
        <v>107.92</v>
      </c>
      <c r="F878">
        <v>2.34</v>
      </c>
      <c r="G878">
        <v>3</v>
      </c>
      <c r="H878">
        <f t="shared" si="13"/>
        <v>48675.899999999936</v>
      </c>
      <c r="I878" t="str">
        <f>IF(Sheet1[[#This Row],[Month_Revenue]] &lt; AVERAGE(Sheet1[Month_Revenue]), "Off-Peak", "Peak")</f>
        <v>Off-Peak</v>
      </c>
      <c r="J878">
        <f xml:space="preserve"> IF(Sheet1[[#This Row],[Ad Spend]] &gt; 0, (Sheet1[[#This Row],[Profit]] / Sheet1[[#This Row],[Ad Spend]]), 0)</f>
        <v>45.119658119658119</v>
      </c>
      <c r="K878">
        <f>Sheet1[[#This Row],[Revenue]]-Sheet1[[#This Row],[Ad Spend]]</f>
        <v>105.58</v>
      </c>
      <c r="L878" s="2" t="s">
        <v>14</v>
      </c>
      <c r="M878">
        <v>2</v>
      </c>
      <c r="N878" s="2" t="s">
        <v>15</v>
      </c>
      <c r="O878">
        <v>35.973333333333336</v>
      </c>
    </row>
    <row r="879" spans="1:15" x14ac:dyDescent="0.3">
      <c r="A879" s="1">
        <v>45323</v>
      </c>
      <c r="B879" s="2" t="s">
        <v>20</v>
      </c>
      <c r="C879" s="2" t="s">
        <v>17</v>
      </c>
      <c r="D879" s="2" t="s">
        <v>18</v>
      </c>
      <c r="E879">
        <v>115.28</v>
      </c>
      <c r="F879">
        <v>2.16</v>
      </c>
      <c r="G879">
        <v>0</v>
      </c>
      <c r="H879">
        <f t="shared" si="13"/>
        <v>48675.899999999936</v>
      </c>
      <c r="I879" t="str">
        <f>IF(Sheet1[[#This Row],[Month_Revenue]] &lt; AVERAGE(Sheet1[Month_Revenue]), "Off-Peak", "Peak")</f>
        <v>Off-Peak</v>
      </c>
      <c r="J879">
        <f xml:space="preserve"> IF(Sheet1[[#This Row],[Ad Spend]] &gt; 0, (Sheet1[[#This Row],[Profit]] / Sheet1[[#This Row],[Ad Spend]]), 0)</f>
        <v>52.370370370370367</v>
      </c>
      <c r="K879">
        <f>Sheet1[[#This Row],[Revenue]]-Sheet1[[#This Row],[Ad Spend]]</f>
        <v>113.12</v>
      </c>
      <c r="L879" s="2" t="s">
        <v>22</v>
      </c>
      <c r="M879">
        <v>2</v>
      </c>
      <c r="N879" s="2" t="s">
        <v>15</v>
      </c>
      <c r="O879">
        <v>0</v>
      </c>
    </row>
    <row r="880" spans="1:15" x14ac:dyDescent="0.3">
      <c r="A880" s="1">
        <v>45409</v>
      </c>
      <c r="B880" s="2" t="s">
        <v>16</v>
      </c>
      <c r="C880" s="2" t="s">
        <v>21</v>
      </c>
      <c r="D880" s="2" t="s">
        <v>13</v>
      </c>
      <c r="E880">
        <v>58.64</v>
      </c>
      <c r="F880">
        <v>37.42</v>
      </c>
      <c r="G880">
        <v>0</v>
      </c>
      <c r="H880">
        <f t="shared" si="13"/>
        <v>58562.910000000018</v>
      </c>
      <c r="I880" t="str">
        <f>IF(Sheet1[[#This Row],[Month_Revenue]] &lt; AVERAGE(Sheet1[Month_Revenue]), "Off-Peak", "Peak")</f>
        <v>Peak</v>
      </c>
      <c r="J880">
        <f xml:space="preserve"> IF(Sheet1[[#This Row],[Ad Spend]] &gt; 0, (Sheet1[[#This Row],[Profit]] / Sheet1[[#This Row],[Ad Spend]]), 0)</f>
        <v>0.567076429716729</v>
      </c>
      <c r="K880">
        <f>Sheet1[[#This Row],[Revenue]]-Sheet1[[#This Row],[Ad Spend]]</f>
        <v>21.22</v>
      </c>
      <c r="L880" s="2" t="s">
        <v>14</v>
      </c>
      <c r="M880">
        <v>4</v>
      </c>
      <c r="N880" s="2" t="s">
        <v>19</v>
      </c>
      <c r="O880">
        <v>0</v>
      </c>
    </row>
    <row r="881" spans="1:15" x14ac:dyDescent="0.3">
      <c r="A881" s="1">
        <v>45308</v>
      </c>
      <c r="B881" s="2" t="s">
        <v>24</v>
      </c>
      <c r="C881" s="2" t="s">
        <v>21</v>
      </c>
      <c r="D881" s="2" t="s">
        <v>13</v>
      </c>
      <c r="E881">
        <v>127.71</v>
      </c>
      <c r="F881">
        <v>29.84</v>
      </c>
      <c r="G881">
        <v>2</v>
      </c>
      <c r="H881">
        <f t="shared" si="13"/>
        <v>61207.979999999989</v>
      </c>
      <c r="I881" t="str">
        <f>IF(Sheet1[[#This Row],[Month_Revenue]] &lt; AVERAGE(Sheet1[Month_Revenue]), "Off-Peak", "Peak")</f>
        <v>Peak</v>
      </c>
      <c r="J881">
        <f xml:space="preserve"> IF(Sheet1[[#This Row],[Ad Spend]] &gt; 0, (Sheet1[[#This Row],[Profit]] / Sheet1[[#This Row],[Ad Spend]]), 0)</f>
        <v>3.2798257372654152</v>
      </c>
      <c r="K881">
        <f>Sheet1[[#This Row],[Revenue]]-Sheet1[[#This Row],[Ad Spend]]</f>
        <v>97.86999999999999</v>
      </c>
      <c r="L881" s="2" t="s">
        <v>22</v>
      </c>
      <c r="M881">
        <v>1</v>
      </c>
      <c r="N881" s="2" t="s">
        <v>15</v>
      </c>
      <c r="O881">
        <v>63.854999999999997</v>
      </c>
    </row>
    <row r="882" spans="1:15" x14ac:dyDescent="0.3">
      <c r="A882" s="1">
        <v>45305</v>
      </c>
      <c r="B882" s="2" t="s">
        <v>11</v>
      </c>
      <c r="C882" s="2" t="s">
        <v>12</v>
      </c>
      <c r="D882" s="2" t="s">
        <v>18</v>
      </c>
      <c r="E882">
        <v>40.24</v>
      </c>
      <c r="F882">
        <v>6.97</v>
      </c>
      <c r="G882">
        <v>3</v>
      </c>
      <c r="H882">
        <f t="shared" si="13"/>
        <v>61207.979999999989</v>
      </c>
      <c r="I882" t="str">
        <f>IF(Sheet1[[#This Row],[Month_Revenue]] &lt; AVERAGE(Sheet1[Month_Revenue]), "Off-Peak", "Peak")</f>
        <v>Peak</v>
      </c>
      <c r="J882">
        <f xml:space="preserve"> IF(Sheet1[[#This Row],[Ad Spend]] &gt; 0, (Sheet1[[#This Row],[Profit]] / Sheet1[[#This Row],[Ad Spend]]), 0)</f>
        <v>4.7733142037302736</v>
      </c>
      <c r="K882">
        <f>Sheet1[[#This Row],[Revenue]]-Sheet1[[#This Row],[Ad Spend]]</f>
        <v>33.270000000000003</v>
      </c>
      <c r="L882" s="2" t="s">
        <v>14</v>
      </c>
      <c r="M882">
        <v>1</v>
      </c>
      <c r="N882" s="2" t="s">
        <v>15</v>
      </c>
      <c r="O882">
        <v>13.413333333333334</v>
      </c>
    </row>
    <row r="883" spans="1:15" x14ac:dyDescent="0.3">
      <c r="A883" s="1">
        <v>45320</v>
      </c>
      <c r="B883" s="2" t="s">
        <v>24</v>
      </c>
      <c r="C883" s="2" t="s">
        <v>21</v>
      </c>
      <c r="D883" s="2" t="s">
        <v>18</v>
      </c>
      <c r="E883">
        <v>190.03</v>
      </c>
      <c r="F883">
        <v>28.91</v>
      </c>
      <c r="G883">
        <v>3</v>
      </c>
      <c r="H883">
        <f t="shared" si="13"/>
        <v>61207.979999999989</v>
      </c>
      <c r="I883" t="str">
        <f>IF(Sheet1[[#This Row],[Month_Revenue]] &lt; AVERAGE(Sheet1[Month_Revenue]), "Off-Peak", "Peak")</f>
        <v>Peak</v>
      </c>
      <c r="J883">
        <f xml:space="preserve"> IF(Sheet1[[#This Row],[Ad Spend]] &gt; 0, (Sheet1[[#This Row],[Profit]] / Sheet1[[#This Row],[Ad Spend]]), 0)</f>
        <v>5.5731580767900386</v>
      </c>
      <c r="K883">
        <f>Sheet1[[#This Row],[Revenue]]-Sheet1[[#This Row],[Ad Spend]]</f>
        <v>161.12</v>
      </c>
      <c r="L883" s="2" t="s">
        <v>22</v>
      </c>
      <c r="M883">
        <v>1</v>
      </c>
      <c r="N883" s="2" t="s">
        <v>15</v>
      </c>
      <c r="O883">
        <v>63.343333333333334</v>
      </c>
    </row>
    <row r="884" spans="1:15" x14ac:dyDescent="0.3">
      <c r="A884" s="1">
        <v>45390</v>
      </c>
      <c r="B884" s="2" t="s">
        <v>23</v>
      </c>
      <c r="C884" s="2" t="s">
        <v>21</v>
      </c>
      <c r="D884" s="2" t="s">
        <v>13</v>
      </c>
      <c r="E884">
        <v>83.3</v>
      </c>
      <c r="F884">
        <v>43.47</v>
      </c>
      <c r="G884">
        <v>2</v>
      </c>
      <c r="H884">
        <f t="shared" si="13"/>
        <v>58562.910000000018</v>
      </c>
      <c r="I884" t="str">
        <f>IF(Sheet1[[#This Row],[Month_Revenue]] &lt; AVERAGE(Sheet1[Month_Revenue]), "Off-Peak", "Peak")</f>
        <v>Peak</v>
      </c>
      <c r="J884">
        <f xml:space="preserve"> IF(Sheet1[[#This Row],[Ad Spend]] &gt; 0, (Sheet1[[#This Row],[Profit]] / Sheet1[[#This Row],[Ad Spend]]), 0)</f>
        <v>0.91626409017713362</v>
      </c>
      <c r="K884">
        <f>Sheet1[[#This Row],[Revenue]]-Sheet1[[#This Row],[Ad Spend]]</f>
        <v>39.83</v>
      </c>
      <c r="L884" s="2" t="s">
        <v>14</v>
      </c>
      <c r="M884">
        <v>4</v>
      </c>
      <c r="N884" s="2" t="s">
        <v>19</v>
      </c>
      <c r="O884">
        <v>41.65</v>
      </c>
    </row>
    <row r="885" spans="1:15" x14ac:dyDescent="0.3">
      <c r="A885" s="1">
        <v>45333</v>
      </c>
      <c r="B885" s="2" t="s">
        <v>23</v>
      </c>
      <c r="C885" s="2" t="s">
        <v>21</v>
      </c>
      <c r="D885" s="2" t="s">
        <v>18</v>
      </c>
      <c r="E885">
        <v>122.84</v>
      </c>
      <c r="F885">
        <v>14.19</v>
      </c>
      <c r="G885">
        <v>2</v>
      </c>
      <c r="H885">
        <f t="shared" si="13"/>
        <v>48675.899999999936</v>
      </c>
      <c r="I885" t="str">
        <f>IF(Sheet1[[#This Row],[Month_Revenue]] &lt; AVERAGE(Sheet1[Month_Revenue]), "Off-Peak", "Peak")</f>
        <v>Off-Peak</v>
      </c>
      <c r="J885">
        <f xml:space="preserve"> IF(Sheet1[[#This Row],[Ad Spend]] &gt; 0, (Sheet1[[#This Row],[Profit]] / Sheet1[[#This Row],[Ad Spend]]), 0)</f>
        <v>7.6568005637773089</v>
      </c>
      <c r="K885">
        <f>Sheet1[[#This Row],[Revenue]]-Sheet1[[#This Row],[Ad Spend]]</f>
        <v>108.65</v>
      </c>
      <c r="L885" s="2" t="s">
        <v>22</v>
      </c>
      <c r="M885">
        <v>2</v>
      </c>
      <c r="N885" s="2" t="s">
        <v>15</v>
      </c>
      <c r="O885">
        <v>61.42</v>
      </c>
    </row>
    <row r="886" spans="1:15" x14ac:dyDescent="0.3">
      <c r="A886" s="1">
        <v>45298</v>
      </c>
      <c r="B886" s="2" t="s">
        <v>24</v>
      </c>
      <c r="C886" s="2" t="s">
        <v>17</v>
      </c>
      <c r="D886" s="2" t="s">
        <v>13</v>
      </c>
      <c r="E886">
        <v>176.61</v>
      </c>
      <c r="F886">
        <v>40.6</v>
      </c>
      <c r="G886">
        <v>1</v>
      </c>
      <c r="H886">
        <f t="shared" si="13"/>
        <v>61207.979999999989</v>
      </c>
      <c r="I886" t="str">
        <f>IF(Sheet1[[#This Row],[Month_Revenue]] &lt; AVERAGE(Sheet1[Month_Revenue]), "Off-Peak", "Peak")</f>
        <v>Peak</v>
      </c>
      <c r="J886">
        <f xml:space="preserve"> IF(Sheet1[[#This Row],[Ad Spend]] &gt; 0, (Sheet1[[#This Row],[Profit]] / Sheet1[[#This Row],[Ad Spend]]), 0)</f>
        <v>3.3500000000000005</v>
      </c>
      <c r="K886">
        <f>Sheet1[[#This Row],[Revenue]]-Sheet1[[#This Row],[Ad Spend]]</f>
        <v>136.01000000000002</v>
      </c>
      <c r="L886" s="2" t="s">
        <v>14</v>
      </c>
      <c r="M886">
        <v>1</v>
      </c>
      <c r="N886" s="2" t="s">
        <v>15</v>
      </c>
      <c r="O886">
        <v>176.61</v>
      </c>
    </row>
    <row r="887" spans="1:15" x14ac:dyDescent="0.3">
      <c r="A887" s="1">
        <v>45325</v>
      </c>
      <c r="B887" s="2" t="s">
        <v>11</v>
      </c>
      <c r="C887" s="2" t="s">
        <v>17</v>
      </c>
      <c r="D887" s="2" t="s">
        <v>13</v>
      </c>
      <c r="E887">
        <v>55.44</v>
      </c>
      <c r="F887">
        <v>34.08</v>
      </c>
      <c r="G887">
        <v>1</v>
      </c>
      <c r="H887">
        <f t="shared" si="13"/>
        <v>48675.899999999936</v>
      </c>
      <c r="I887" t="str">
        <f>IF(Sheet1[[#This Row],[Month_Revenue]] &lt; AVERAGE(Sheet1[Month_Revenue]), "Off-Peak", "Peak")</f>
        <v>Off-Peak</v>
      </c>
      <c r="J887">
        <f xml:space="preserve"> IF(Sheet1[[#This Row],[Ad Spend]] &gt; 0, (Sheet1[[#This Row],[Profit]] / Sheet1[[#This Row],[Ad Spend]]), 0)</f>
        <v>0.62676056338028174</v>
      </c>
      <c r="K887">
        <f>Sheet1[[#This Row],[Revenue]]-Sheet1[[#This Row],[Ad Spend]]</f>
        <v>21.36</v>
      </c>
      <c r="L887" s="2" t="s">
        <v>22</v>
      </c>
      <c r="M887">
        <v>2</v>
      </c>
      <c r="N887" s="2" t="s">
        <v>15</v>
      </c>
      <c r="O887">
        <v>55.44</v>
      </c>
    </row>
    <row r="888" spans="1:15" x14ac:dyDescent="0.3">
      <c r="A888" s="1">
        <v>45330</v>
      </c>
      <c r="B888" s="2" t="s">
        <v>16</v>
      </c>
      <c r="C888" s="2" t="s">
        <v>17</v>
      </c>
      <c r="D888" s="2" t="s">
        <v>18</v>
      </c>
      <c r="E888">
        <v>104.35</v>
      </c>
      <c r="F888">
        <v>36.840000000000003</v>
      </c>
      <c r="G888">
        <v>0</v>
      </c>
      <c r="H888">
        <f t="shared" si="13"/>
        <v>48675.899999999936</v>
      </c>
      <c r="I888" t="str">
        <f>IF(Sheet1[[#This Row],[Month_Revenue]] &lt; AVERAGE(Sheet1[Month_Revenue]), "Off-Peak", "Peak")</f>
        <v>Off-Peak</v>
      </c>
      <c r="J888">
        <f xml:space="preserve"> IF(Sheet1[[#This Row],[Ad Spend]] &gt; 0, (Sheet1[[#This Row],[Profit]] / Sheet1[[#This Row],[Ad Spend]]), 0)</f>
        <v>1.8325190010857759</v>
      </c>
      <c r="K888">
        <f>Sheet1[[#This Row],[Revenue]]-Sheet1[[#This Row],[Ad Spend]]</f>
        <v>67.509999999999991</v>
      </c>
      <c r="L888" s="2" t="s">
        <v>22</v>
      </c>
      <c r="M888">
        <v>2</v>
      </c>
      <c r="N888" s="2" t="s">
        <v>15</v>
      </c>
      <c r="O888">
        <v>0</v>
      </c>
    </row>
    <row r="889" spans="1:15" x14ac:dyDescent="0.3">
      <c r="A889" s="1">
        <v>45322</v>
      </c>
      <c r="B889" s="2" t="s">
        <v>20</v>
      </c>
      <c r="C889" s="2" t="s">
        <v>21</v>
      </c>
      <c r="D889" s="2" t="s">
        <v>18</v>
      </c>
      <c r="E889">
        <v>32.44</v>
      </c>
      <c r="F889">
        <v>24.33</v>
      </c>
      <c r="G889">
        <v>2</v>
      </c>
      <c r="H889">
        <f t="shared" si="13"/>
        <v>61207.979999999989</v>
      </c>
      <c r="I889" t="str">
        <f>IF(Sheet1[[#This Row],[Month_Revenue]] &lt; AVERAGE(Sheet1[Month_Revenue]), "Off-Peak", "Peak")</f>
        <v>Peak</v>
      </c>
      <c r="J889">
        <f xml:space="preserve"> IF(Sheet1[[#This Row],[Ad Spend]] &gt; 0, (Sheet1[[#This Row],[Profit]] / Sheet1[[#This Row],[Ad Spend]]), 0)</f>
        <v>0.33333333333333331</v>
      </c>
      <c r="K889">
        <f>Sheet1[[#This Row],[Revenue]]-Sheet1[[#This Row],[Ad Spend]]</f>
        <v>8.11</v>
      </c>
      <c r="L889" s="2" t="s">
        <v>22</v>
      </c>
      <c r="M889">
        <v>1</v>
      </c>
      <c r="N889" s="2" t="s">
        <v>15</v>
      </c>
      <c r="O889">
        <v>16.22</v>
      </c>
    </row>
    <row r="890" spans="1:15" x14ac:dyDescent="0.3">
      <c r="A890" s="1">
        <v>45344</v>
      </c>
      <c r="B890" s="2" t="s">
        <v>20</v>
      </c>
      <c r="C890" s="2" t="s">
        <v>12</v>
      </c>
      <c r="D890" s="2" t="s">
        <v>18</v>
      </c>
      <c r="E890">
        <v>103.66</v>
      </c>
      <c r="F890">
        <v>21.58</v>
      </c>
      <c r="G890">
        <v>2</v>
      </c>
      <c r="H890">
        <f t="shared" si="13"/>
        <v>48675.899999999936</v>
      </c>
      <c r="I890" t="str">
        <f>IF(Sheet1[[#This Row],[Month_Revenue]] &lt; AVERAGE(Sheet1[Month_Revenue]), "Off-Peak", "Peak")</f>
        <v>Off-Peak</v>
      </c>
      <c r="J890">
        <f xml:space="preserve"> IF(Sheet1[[#This Row],[Ad Spend]] &gt; 0, (Sheet1[[#This Row],[Profit]] / Sheet1[[#This Row],[Ad Spend]]), 0)</f>
        <v>3.8035217794253939</v>
      </c>
      <c r="K890">
        <f>Sheet1[[#This Row],[Revenue]]-Sheet1[[#This Row],[Ad Spend]]</f>
        <v>82.08</v>
      </c>
      <c r="L890" s="2" t="s">
        <v>14</v>
      </c>
      <c r="M890">
        <v>2</v>
      </c>
      <c r="N890" s="2" t="s">
        <v>15</v>
      </c>
      <c r="O890">
        <v>51.83</v>
      </c>
    </row>
    <row r="891" spans="1:15" x14ac:dyDescent="0.3">
      <c r="A891" s="1">
        <v>45366</v>
      </c>
      <c r="B891" s="2" t="s">
        <v>16</v>
      </c>
      <c r="C891" s="2" t="s">
        <v>17</v>
      </c>
      <c r="D891" s="2" t="s">
        <v>13</v>
      </c>
      <c r="E891">
        <v>130.24</v>
      </c>
      <c r="F891">
        <v>37.97</v>
      </c>
      <c r="G891">
        <v>1</v>
      </c>
      <c r="H891">
        <f t="shared" si="13"/>
        <v>54735.250000000029</v>
      </c>
      <c r="I891" t="str">
        <f>IF(Sheet1[[#This Row],[Month_Revenue]] &lt; AVERAGE(Sheet1[Month_Revenue]), "Off-Peak", "Peak")</f>
        <v>Off-Peak</v>
      </c>
      <c r="J891">
        <f xml:space="preserve"> IF(Sheet1[[#This Row],[Ad Spend]] &gt; 0, (Sheet1[[#This Row],[Profit]] / Sheet1[[#This Row],[Ad Spend]]), 0)</f>
        <v>2.4300763760863844</v>
      </c>
      <c r="K891">
        <f>Sheet1[[#This Row],[Revenue]]-Sheet1[[#This Row],[Ad Spend]]</f>
        <v>92.27000000000001</v>
      </c>
      <c r="L891" s="2" t="s">
        <v>14</v>
      </c>
      <c r="M891">
        <v>3</v>
      </c>
      <c r="N891" s="2" t="s">
        <v>19</v>
      </c>
      <c r="O891">
        <v>130.24</v>
      </c>
    </row>
    <row r="892" spans="1:15" x14ac:dyDescent="0.3">
      <c r="A892" s="1">
        <v>45294</v>
      </c>
      <c r="B892" s="2" t="s">
        <v>24</v>
      </c>
      <c r="C892" s="2" t="s">
        <v>12</v>
      </c>
      <c r="D892" s="2" t="s">
        <v>18</v>
      </c>
      <c r="E892">
        <v>107.73</v>
      </c>
      <c r="F892">
        <v>21.32</v>
      </c>
      <c r="G892">
        <v>3</v>
      </c>
      <c r="H892">
        <f t="shared" si="13"/>
        <v>61207.979999999989</v>
      </c>
      <c r="I892" t="str">
        <f>IF(Sheet1[[#This Row],[Month_Revenue]] &lt; AVERAGE(Sheet1[Month_Revenue]), "Off-Peak", "Peak")</f>
        <v>Peak</v>
      </c>
      <c r="J892">
        <f xml:space="preserve"> IF(Sheet1[[#This Row],[Ad Spend]] &gt; 0, (Sheet1[[#This Row],[Profit]] / Sheet1[[#This Row],[Ad Spend]]), 0)</f>
        <v>4.0530018761726074</v>
      </c>
      <c r="K892">
        <f>Sheet1[[#This Row],[Revenue]]-Sheet1[[#This Row],[Ad Spend]]</f>
        <v>86.41</v>
      </c>
      <c r="L892" s="2" t="s">
        <v>14</v>
      </c>
      <c r="M892">
        <v>1</v>
      </c>
      <c r="N892" s="2" t="s">
        <v>15</v>
      </c>
      <c r="O892">
        <v>35.910000000000004</v>
      </c>
    </row>
    <row r="893" spans="1:15" x14ac:dyDescent="0.3">
      <c r="A893" s="1">
        <v>45354</v>
      </c>
      <c r="B893" s="2" t="s">
        <v>16</v>
      </c>
      <c r="C893" s="2" t="s">
        <v>12</v>
      </c>
      <c r="D893" s="2" t="s">
        <v>18</v>
      </c>
      <c r="E893">
        <v>128.62</v>
      </c>
      <c r="F893">
        <v>4.37</v>
      </c>
      <c r="G893">
        <v>1</v>
      </c>
      <c r="H893">
        <f t="shared" si="13"/>
        <v>54735.250000000029</v>
      </c>
      <c r="I893" t="str">
        <f>IF(Sheet1[[#This Row],[Month_Revenue]] &lt; AVERAGE(Sheet1[Month_Revenue]), "Off-Peak", "Peak")</f>
        <v>Off-Peak</v>
      </c>
      <c r="J893">
        <f xml:space="preserve"> IF(Sheet1[[#This Row],[Ad Spend]] &gt; 0, (Sheet1[[#This Row],[Profit]] / Sheet1[[#This Row],[Ad Spend]]), 0)</f>
        <v>28.432494279176201</v>
      </c>
      <c r="K893">
        <f>Sheet1[[#This Row],[Revenue]]-Sheet1[[#This Row],[Ad Spend]]</f>
        <v>124.25</v>
      </c>
      <c r="L893" s="2" t="s">
        <v>22</v>
      </c>
      <c r="M893">
        <v>3</v>
      </c>
      <c r="N893" s="2" t="s">
        <v>19</v>
      </c>
      <c r="O893">
        <v>128.62</v>
      </c>
    </row>
    <row r="894" spans="1:15" x14ac:dyDescent="0.3">
      <c r="A894" s="1">
        <v>45380</v>
      </c>
      <c r="B894" s="2" t="s">
        <v>16</v>
      </c>
      <c r="C894" s="2" t="s">
        <v>12</v>
      </c>
      <c r="D894" s="2" t="s">
        <v>18</v>
      </c>
      <c r="E894">
        <v>151.27000000000001</v>
      </c>
      <c r="F894">
        <v>48.92</v>
      </c>
      <c r="G894">
        <v>1</v>
      </c>
      <c r="H894">
        <f t="shared" si="13"/>
        <v>54735.250000000029</v>
      </c>
      <c r="I894" t="str">
        <f>IF(Sheet1[[#This Row],[Month_Revenue]] &lt; AVERAGE(Sheet1[Month_Revenue]), "Off-Peak", "Peak")</f>
        <v>Off-Peak</v>
      </c>
      <c r="J894">
        <f xml:space="preserve"> IF(Sheet1[[#This Row],[Ad Spend]] &gt; 0, (Sheet1[[#This Row],[Profit]] / Sheet1[[#This Row],[Ad Spend]]), 0)</f>
        <v>2.0921913327882256</v>
      </c>
      <c r="K894">
        <f>Sheet1[[#This Row],[Revenue]]-Sheet1[[#This Row],[Ad Spend]]</f>
        <v>102.35000000000001</v>
      </c>
      <c r="L894" s="2" t="s">
        <v>14</v>
      </c>
      <c r="M894">
        <v>3</v>
      </c>
      <c r="N894" s="2" t="s">
        <v>19</v>
      </c>
      <c r="O894">
        <v>151.27000000000001</v>
      </c>
    </row>
    <row r="895" spans="1:15" x14ac:dyDescent="0.3">
      <c r="A895" s="1">
        <v>45398</v>
      </c>
      <c r="B895" s="2" t="s">
        <v>20</v>
      </c>
      <c r="C895" s="2" t="s">
        <v>21</v>
      </c>
      <c r="D895" s="2" t="s">
        <v>13</v>
      </c>
      <c r="E895">
        <v>195.91</v>
      </c>
      <c r="F895">
        <v>16.43</v>
      </c>
      <c r="G895">
        <v>3</v>
      </c>
      <c r="H895">
        <f t="shared" si="13"/>
        <v>58562.910000000018</v>
      </c>
      <c r="I895" t="str">
        <f>IF(Sheet1[[#This Row],[Month_Revenue]] &lt; AVERAGE(Sheet1[Month_Revenue]), "Off-Peak", "Peak")</f>
        <v>Peak</v>
      </c>
      <c r="J895">
        <f xml:space="preserve"> IF(Sheet1[[#This Row],[Ad Spend]] &gt; 0, (Sheet1[[#This Row],[Profit]] / Sheet1[[#This Row],[Ad Spend]]), 0)</f>
        <v>10.923919659160072</v>
      </c>
      <c r="K895">
        <f>Sheet1[[#This Row],[Revenue]]-Sheet1[[#This Row],[Ad Spend]]</f>
        <v>179.48</v>
      </c>
      <c r="L895" s="2" t="s">
        <v>14</v>
      </c>
      <c r="M895">
        <v>4</v>
      </c>
      <c r="N895" s="2" t="s">
        <v>19</v>
      </c>
      <c r="O895">
        <v>65.303333333333327</v>
      </c>
    </row>
    <row r="896" spans="1:15" x14ac:dyDescent="0.3">
      <c r="A896" s="1">
        <v>45378</v>
      </c>
      <c r="B896" s="2" t="s">
        <v>11</v>
      </c>
      <c r="C896" s="2" t="s">
        <v>17</v>
      </c>
      <c r="D896" s="2" t="s">
        <v>13</v>
      </c>
      <c r="E896">
        <v>46.97</v>
      </c>
      <c r="F896">
        <v>43.98</v>
      </c>
      <c r="G896">
        <v>1</v>
      </c>
      <c r="H896">
        <f t="shared" si="13"/>
        <v>54735.250000000029</v>
      </c>
      <c r="I896" t="str">
        <f>IF(Sheet1[[#This Row],[Month_Revenue]] &lt; AVERAGE(Sheet1[Month_Revenue]), "Off-Peak", "Peak")</f>
        <v>Off-Peak</v>
      </c>
      <c r="J896">
        <f xml:space="preserve"> IF(Sheet1[[#This Row],[Ad Spend]] &gt; 0, (Sheet1[[#This Row],[Profit]] / Sheet1[[#This Row],[Ad Spend]]), 0)</f>
        <v>6.7985447930877727E-2</v>
      </c>
      <c r="K896">
        <f>Sheet1[[#This Row],[Revenue]]-Sheet1[[#This Row],[Ad Spend]]</f>
        <v>2.990000000000002</v>
      </c>
      <c r="L896" s="2" t="s">
        <v>22</v>
      </c>
      <c r="M896">
        <v>3</v>
      </c>
      <c r="N896" s="2" t="s">
        <v>19</v>
      </c>
      <c r="O896">
        <v>46.97</v>
      </c>
    </row>
    <row r="897" spans="1:15" x14ac:dyDescent="0.3">
      <c r="A897" s="1">
        <v>45312</v>
      </c>
      <c r="B897" s="2" t="s">
        <v>24</v>
      </c>
      <c r="C897" s="2" t="s">
        <v>21</v>
      </c>
      <c r="D897" s="2" t="s">
        <v>18</v>
      </c>
      <c r="E897">
        <v>44.25</v>
      </c>
      <c r="F897">
        <v>43.87</v>
      </c>
      <c r="G897">
        <v>2</v>
      </c>
      <c r="H897">
        <f t="shared" si="13"/>
        <v>61207.979999999989</v>
      </c>
      <c r="I897" t="str">
        <f>IF(Sheet1[[#This Row],[Month_Revenue]] &lt; AVERAGE(Sheet1[Month_Revenue]), "Off-Peak", "Peak")</f>
        <v>Peak</v>
      </c>
      <c r="J897">
        <f xml:space="preserve"> IF(Sheet1[[#This Row],[Ad Spend]] &gt; 0, (Sheet1[[#This Row],[Profit]] / Sheet1[[#This Row],[Ad Spend]]), 0)</f>
        <v>8.6619557784363473E-3</v>
      </c>
      <c r="K897">
        <f>Sheet1[[#This Row],[Revenue]]-Sheet1[[#This Row],[Ad Spend]]</f>
        <v>0.38000000000000256</v>
      </c>
      <c r="L897" s="2" t="s">
        <v>22</v>
      </c>
      <c r="M897">
        <v>1</v>
      </c>
      <c r="N897" s="2" t="s">
        <v>15</v>
      </c>
      <c r="O897">
        <v>22.125</v>
      </c>
    </row>
    <row r="898" spans="1:15" x14ac:dyDescent="0.3">
      <c r="A898" s="1">
        <v>45317</v>
      </c>
      <c r="B898" s="2" t="s">
        <v>23</v>
      </c>
      <c r="C898" s="2" t="s">
        <v>17</v>
      </c>
      <c r="D898" s="2" t="s">
        <v>18</v>
      </c>
      <c r="E898">
        <v>111.65</v>
      </c>
      <c r="F898">
        <v>7.49</v>
      </c>
      <c r="G898">
        <v>0</v>
      </c>
      <c r="H898">
        <f t="shared" ref="H898:H961" si="14">SUMIFS($E$2:$E$2001, $M$2:$M$2001, M898)</f>
        <v>61207.979999999989</v>
      </c>
      <c r="I898" t="str">
        <f>IF(Sheet1[[#This Row],[Month_Revenue]] &lt; AVERAGE(Sheet1[Month_Revenue]), "Off-Peak", "Peak")</f>
        <v>Peak</v>
      </c>
      <c r="J898">
        <f xml:space="preserve"> IF(Sheet1[[#This Row],[Ad Spend]] &gt; 0, (Sheet1[[#This Row],[Profit]] / Sheet1[[#This Row],[Ad Spend]]), 0)</f>
        <v>13.906542056074768</v>
      </c>
      <c r="K898">
        <f>Sheet1[[#This Row],[Revenue]]-Sheet1[[#This Row],[Ad Spend]]</f>
        <v>104.16000000000001</v>
      </c>
      <c r="L898" s="2" t="s">
        <v>14</v>
      </c>
      <c r="M898">
        <v>1</v>
      </c>
      <c r="N898" s="2" t="s">
        <v>15</v>
      </c>
      <c r="O898">
        <v>0</v>
      </c>
    </row>
    <row r="899" spans="1:15" x14ac:dyDescent="0.3">
      <c r="A899" s="1">
        <v>45402</v>
      </c>
      <c r="B899" s="2" t="s">
        <v>11</v>
      </c>
      <c r="C899" s="2" t="s">
        <v>17</v>
      </c>
      <c r="D899" s="2" t="s">
        <v>13</v>
      </c>
      <c r="E899">
        <v>67.37</v>
      </c>
      <c r="F899">
        <v>3.05</v>
      </c>
      <c r="G899">
        <v>1</v>
      </c>
      <c r="H899">
        <f t="shared" si="14"/>
        <v>58562.910000000018</v>
      </c>
      <c r="I899" t="str">
        <f>IF(Sheet1[[#This Row],[Month_Revenue]] &lt; AVERAGE(Sheet1[Month_Revenue]), "Off-Peak", "Peak")</f>
        <v>Peak</v>
      </c>
      <c r="J899">
        <f xml:space="preserve"> IF(Sheet1[[#This Row],[Ad Spend]] &gt; 0, (Sheet1[[#This Row],[Profit]] / Sheet1[[#This Row],[Ad Spend]]), 0)</f>
        <v>21.088524590163939</v>
      </c>
      <c r="K899">
        <f>Sheet1[[#This Row],[Revenue]]-Sheet1[[#This Row],[Ad Spend]]</f>
        <v>64.320000000000007</v>
      </c>
      <c r="L899" s="2" t="s">
        <v>14</v>
      </c>
      <c r="M899">
        <v>4</v>
      </c>
      <c r="N899" s="2" t="s">
        <v>19</v>
      </c>
      <c r="O899">
        <v>67.37</v>
      </c>
    </row>
    <row r="900" spans="1:15" x14ac:dyDescent="0.3">
      <c r="A900" s="1">
        <v>45402</v>
      </c>
      <c r="B900" s="2" t="s">
        <v>20</v>
      </c>
      <c r="C900" s="2" t="s">
        <v>21</v>
      </c>
      <c r="D900" s="2" t="s">
        <v>18</v>
      </c>
      <c r="E900">
        <v>152.22</v>
      </c>
      <c r="F900">
        <v>4.58</v>
      </c>
      <c r="G900">
        <v>2</v>
      </c>
      <c r="H900">
        <f t="shared" si="14"/>
        <v>58562.910000000018</v>
      </c>
      <c r="I900" t="str">
        <f>IF(Sheet1[[#This Row],[Month_Revenue]] &lt; AVERAGE(Sheet1[Month_Revenue]), "Off-Peak", "Peak")</f>
        <v>Peak</v>
      </c>
      <c r="J900">
        <f xml:space="preserve"> IF(Sheet1[[#This Row],[Ad Spend]] &gt; 0, (Sheet1[[#This Row],[Profit]] / Sheet1[[#This Row],[Ad Spend]]), 0)</f>
        <v>32.235807860262007</v>
      </c>
      <c r="K900">
        <f>Sheet1[[#This Row],[Revenue]]-Sheet1[[#This Row],[Ad Spend]]</f>
        <v>147.63999999999999</v>
      </c>
      <c r="L900" s="2" t="s">
        <v>22</v>
      </c>
      <c r="M900">
        <v>4</v>
      </c>
      <c r="N900" s="2" t="s">
        <v>19</v>
      </c>
      <c r="O900">
        <v>76.11</v>
      </c>
    </row>
    <row r="901" spans="1:15" x14ac:dyDescent="0.3">
      <c r="A901" s="1">
        <v>45341</v>
      </c>
      <c r="B901" s="2" t="s">
        <v>11</v>
      </c>
      <c r="C901" s="2" t="s">
        <v>12</v>
      </c>
      <c r="D901" s="2" t="s">
        <v>13</v>
      </c>
      <c r="E901">
        <v>188.82</v>
      </c>
      <c r="F901">
        <v>43.47</v>
      </c>
      <c r="G901">
        <v>0</v>
      </c>
      <c r="H901">
        <f t="shared" si="14"/>
        <v>48675.899999999936</v>
      </c>
      <c r="I901" t="str">
        <f>IF(Sheet1[[#This Row],[Month_Revenue]] &lt; AVERAGE(Sheet1[Month_Revenue]), "Off-Peak", "Peak")</f>
        <v>Off-Peak</v>
      </c>
      <c r="J901">
        <f xml:space="preserve"> IF(Sheet1[[#This Row],[Ad Spend]] &gt; 0, (Sheet1[[#This Row],[Profit]] / Sheet1[[#This Row],[Ad Spend]]), 0)</f>
        <v>3.3436853002070395</v>
      </c>
      <c r="K901">
        <f>Sheet1[[#This Row],[Revenue]]-Sheet1[[#This Row],[Ad Spend]]</f>
        <v>145.35</v>
      </c>
      <c r="L901" s="2" t="s">
        <v>14</v>
      </c>
      <c r="M901">
        <v>2</v>
      </c>
      <c r="N901" s="2" t="s">
        <v>15</v>
      </c>
      <c r="O901">
        <v>0</v>
      </c>
    </row>
    <row r="902" spans="1:15" x14ac:dyDescent="0.3">
      <c r="A902" s="1">
        <v>45337</v>
      </c>
      <c r="B902" s="2" t="s">
        <v>20</v>
      </c>
      <c r="C902" s="2" t="s">
        <v>12</v>
      </c>
      <c r="D902" s="2" t="s">
        <v>13</v>
      </c>
      <c r="E902">
        <v>177.51</v>
      </c>
      <c r="F902">
        <v>29.77</v>
      </c>
      <c r="G902">
        <v>0</v>
      </c>
      <c r="H902">
        <f t="shared" si="14"/>
        <v>48675.899999999936</v>
      </c>
      <c r="I902" t="str">
        <f>IF(Sheet1[[#This Row],[Month_Revenue]] &lt; AVERAGE(Sheet1[Month_Revenue]), "Off-Peak", "Peak")</f>
        <v>Off-Peak</v>
      </c>
      <c r="J902">
        <f xml:space="preserve"> IF(Sheet1[[#This Row],[Ad Spend]] &gt; 0, (Sheet1[[#This Row],[Profit]] / Sheet1[[#This Row],[Ad Spend]]), 0)</f>
        <v>4.9627141417534428</v>
      </c>
      <c r="K902">
        <f>Sheet1[[#This Row],[Revenue]]-Sheet1[[#This Row],[Ad Spend]]</f>
        <v>147.73999999999998</v>
      </c>
      <c r="L902" s="2" t="s">
        <v>14</v>
      </c>
      <c r="M902">
        <v>2</v>
      </c>
      <c r="N902" s="2" t="s">
        <v>15</v>
      </c>
      <c r="O902">
        <v>0</v>
      </c>
    </row>
    <row r="903" spans="1:15" x14ac:dyDescent="0.3">
      <c r="A903" s="1">
        <v>45307</v>
      </c>
      <c r="B903" s="2" t="s">
        <v>20</v>
      </c>
      <c r="C903" s="2" t="s">
        <v>12</v>
      </c>
      <c r="D903" s="2" t="s">
        <v>13</v>
      </c>
      <c r="E903">
        <v>56.91</v>
      </c>
      <c r="F903">
        <v>38.770000000000003</v>
      </c>
      <c r="G903">
        <v>0</v>
      </c>
      <c r="H903">
        <f t="shared" si="14"/>
        <v>61207.979999999989</v>
      </c>
      <c r="I903" t="str">
        <f>IF(Sheet1[[#This Row],[Month_Revenue]] &lt; AVERAGE(Sheet1[Month_Revenue]), "Off-Peak", "Peak")</f>
        <v>Peak</v>
      </c>
      <c r="J903">
        <f xml:space="preserve"> IF(Sheet1[[#This Row],[Ad Spend]] &gt; 0, (Sheet1[[#This Row],[Profit]] / Sheet1[[#This Row],[Ad Spend]]), 0)</f>
        <v>0.46788754191385074</v>
      </c>
      <c r="K903">
        <f>Sheet1[[#This Row],[Revenue]]-Sheet1[[#This Row],[Ad Spend]]</f>
        <v>18.139999999999993</v>
      </c>
      <c r="L903" s="2" t="s">
        <v>22</v>
      </c>
      <c r="M903">
        <v>1</v>
      </c>
      <c r="N903" s="2" t="s">
        <v>15</v>
      </c>
      <c r="O903">
        <v>0</v>
      </c>
    </row>
    <row r="904" spans="1:15" x14ac:dyDescent="0.3">
      <c r="A904" s="1">
        <v>45300</v>
      </c>
      <c r="B904" s="2" t="s">
        <v>11</v>
      </c>
      <c r="C904" s="2" t="s">
        <v>21</v>
      </c>
      <c r="D904" s="2" t="s">
        <v>13</v>
      </c>
      <c r="E904">
        <v>52.28</v>
      </c>
      <c r="F904">
        <v>5.63</v>
      </c>
      <c r="G904">
        <v>0</v>
      </c>
      <c r="H904">
        <f t="shared" si="14"/>
        <v>61207.979999999989</v>
      </c>
      <c r="I904" t="str">
        <f>IF(Sheet1[[#This Row],[Month_Revenue]] &lt; AVERAGE(Sheet1[Month_Revenue]), "Off-Peak", "Peak")</f>
        <v>Peak</v>
      </c>
      <c r="J904">
        <f xml:space="preserve"> IF(Sheet1[[#This Row],[Ad Spend]] &gt; 0, (Sheet1[[#This Row],[Profit]] / Sheet1[[#This Row],[Ad Spend]]), 0)</f>
        <v>8.2859680284191821</v>
      </c>
      <c r="K904">
        <f>Sheet1[[#This Row],[Revenue]]-Sheet1[[#This Row],[Ad Spend]]</f>
        <v>46.65</v>
      </c>
      <c r="L904" s="2" t="s">
        <v>22</v>
      </c>
      <c r="M904">
        <v>1</v>
      </c>
      <c r="N904" s="2" t="s">
        <v>15</v>
      </c>
      <c r="O904">
        <v>0</v>
      </c>
    </row>
    <row r="905" spans="1:15" x14ac:dyDescent="0.3">
      <c r="A905" s="1">
        <v>45373</v>
      </c>
      <c r="B905" s="2" t="s">
        <v>16</v>
      </c>
      <c r="C905" s="2" t="s">
        <v>17</v>
      </c>
      <c r="D905" s="2" t="s">
        <v>18</v>
      </c>
      <c r="E905">
        <v>89.71</v>
      </c>
      <c r="F905">
        <v>6.69</v>
      </c>
      <c r="G905">
        <v>2</v>
      </c>
      <c r="H905">
        <f t="shared" si="14"/>
        <v>54735.250000000029</v>
      </c>
      <c r="I905" t="str">
        <f>IF(Sheet1[[#This Row],[Month_Revenue]] &lt; AVERAGE(Sheet1[Month_Revenue]), "Off-Peak", "Peak")</f>
        <v>Off-Peak</v>
      </c>
      <c r="J905">
        <f xml:space="preserve"> IF(Sheet1[[#This Row],[Ad Spend]] &gt; 0, (Sheet1[[#This Row],[Profit]] / Sheet1[[#This Row],[Ad Spend]]), 0)</f>
        <v>12.409566517189834</v>
      </c>
      <c r="K905">
        <f>Sheet1[[#This Row],[Revenue]]-Sheet1[[#This Row],[Ad Spend]]</f>
        <v>83.02</v>
      </c>
      <c r="L905" s="2" t="s">
        <v>14</v>
      </c>
      <c r="M905">
        <v>3</v>
      </c>
      <c r="N905" s="2" t="s">
        <v>19</v>
      </c>
      <c r="O905">
        <v>44.854999999999997</v>
      </c>
    </row>
    <row r="906" spans="1:15" x14ac:dyDescent="0.3">
      <c r="A906" s="1">
        <v>45300</v>
      </c>
      <c r="B906" s="2" t="s">
        <v>20</v>
      </c>
      <c r="C906" s="2" t="s">
        <v>12</v>
      </c>
      <c r="D906" s="2" t="s">
        <v>13</v>
      </c>
      <c r="E906">
        <v>192.32</v>
      </c>
      <c r="F906">
        <v>39.479999999999997</v>
      </c>
      <c r="G906">
        <v>2</v>
      </c>
      <c r="H906">
        <f t="shared" si="14"/>
        <v>61207.979999999989</v>
      </c>
      <c r="I906" t="str">
        <f>IF(Sheet1[[#This Row],[Month_Revenue]] &lt; AVERAGE(Sheet1[Month_Revenue]), "Off-Peak", "Peak")</f>
        <v>Peak</v>
      </c>
      <c r="J906">
        <f xml:space="preserve"> IF(Sheet1[[#This Row],[Ad Spend]] &gt; 0, (Sheet1[[#This Row],[Profit]] / Sheet1[[#This Row],[Ad Spend]]), 0)</f>
        <v>3.871327254305978</v>
      </c>
      <c r="K906">
        <f>Sheet1[[#This Row],[Revenue]]-Sheet1[[#This Row],[Ad Spend]]</f>
        <v>152.84</v>
      </c>
      <c r="L906" s="2" t="s">
        <v>22</v>
      </c>
      <c r="M906">
        <v>1</v>
      </c>
      <c r="N906" s="2" t="s">
        <v>15</v>
      </c>
      <c r="O906">
        <v>96.16</v>
      </c>
    </row>
    <row r="907" spans="1:15" x14ac:dyDescent="0.3">
      <c r="A907" s="1">
        <v>45305</v>
      </c>
      <c r="B907" s="2" t="s">
        <v>24</v>
      </c>
      <c r="C907" s="2" t="s">
        <v>17</v>
      </c>
      <c r="D907" s="2" t="s">
        <v>18</v>
      </c>
      <c r="E907">
        <v>96.9</v>
      </c>
      <c r="F907">
        <v>0.96</v>
      </c>
      <c r="G907">
        <v>3</v>
      </c>
      <c r="H907">
        <f t="shared" si="14"/>
        <v>61207.979999999989</v>
      </c>
      <c r="I907" t="str">
        <f>IF(Sheet1[[#This Row],[Month_Revenue]] &lt; AVERAGE(Sheet1[Month_Revenue]), "Off-Peak", "Peak")</f>
        <v>Peak</v>
      </c>
      <c r="J907">
        <f xml:space="preserve"> IF(Sheet1[[#This Row],[Ad Spend]] &gt; 0, (Sheet1[[#This Row],[Profit]] / Sheet1[[#This Row],[Ad Spend]]), 0)</f>
        <v>99.937500000000014</v>
      </c>
      <c r="K907">
        <f>Sheet1[[#This Row],[Revenue]]-Sheet1[[#This Row],[Ad Spend]]</f>
        <v>95.940000000000012</v>
      </c>
      <c r="L907" s="2" t="s">
        <v>22</v>
      </c>
      <c r="M907">
        <v>1</v>
      </c>
      <c r="N907" s="2" t="s">
        <v>15</v>
      </c>
      <c r="O907">
        <v>32.300000000000004</v>
      </c>
    </row>
    <row r="908" spans="1:15" x14ac:dyDescent="0.3">
      <c r="A908" s="1">
        <v>45334</v>
      </c>
      <c r="B908" s="2" t="s">
        <v>16</v>
      </c>
      <c r="C908" s="2" t="s">
        <v>17</v>
      </c>
      <c r="D908" s="2" t="s">
        <v>13</v>
      </c>
      <c r="E908">
        <v>119.66</v>
      </c>
      <c r="F908">
        <v>6.65</v>
      </c>
      <c r="G908">
        <v>0</v>
      </c>
      <c r="H908">
        <f t="shared" si="14"/>
        <v>48675.899999999936</v>
      </c>
      <c r="I908" t="str">
        <f>IF(Sheet1[[#This Row],[Month_Revenue]] &lt; AVERAGE(Sheet1[Month_Revenue]), "Off-Peak", "Peak")</f>
        <v>Off-Peak</v>
      </c>
      <c r="J908">
        <f xml:space="preserve"> IF(Sheet1[[#This Row],[Ad Spend]] &gt; 0, (Sheet1[[#This Row],[Profit]] / Sheet1[[#This Row],[Ad Spend]]), 0)</f>
        <v>16.993984962406014</v>
      </c>
      <c r="K908">
        <f>Sheet1[[#This Row],[Revenue]]-Sheet1[[#This Row],[Ad Spend]]</f>
        <v>113.00999999999999</v>
      </c>
      <c r="L908" s="2" t="s">
        <v>22</v>
      </c>
      <c r="M908">
        <v>2</v>
      </c>
      <c r="N908" s="2" t="s">
        <v>15</v>
      </c>
      <c r="O908">
        <v>0</v>
      </c>
    </row>
    <row r="909" spans="1:15" x14ac:dyDescent="0.3">
      <c r="A909" s="1">
        <v>45311</v>
      </c>
      <c r="B909" s="2" t="s">
        <v>24</v>
      </c>
      <c r="C909" s="2" t="s">
        <v>17</v>
      </c>
      <c r="D909" s="2" t="s">
        <v>18</v>
      </c>
      <c r="E909">
        <v>51.56</v>
      </c>
      <c r="F909">
        <v>15.1</v>
      </c>
      <c r="G909">
        <v>3</v>
      </c>
      <c r="H909">
        <f t="shared" si="14"/>
        <v>61207.979999999989</v>
      </c>
      <c r="I909" t="str">
        <f>IF(Sheet1[[#This Row],[Month_Revenue]] &lt; AVERAGE(Sheet1[Month_Revenue]), "Off-Peak", "Peak")</f>
        <v>Peak</v>
      </c>
      <c r="J909">
        <f xml:space="preserve"> IF(Sheet1[[#This Row],[Ad Spend]] &gt; 0, (Sheet1[[#This Row],[Profit]] / Sheet1[[#This Row],[Ad Spend]]), 0)</f>
        <v>2.4145695364238411</v>
      </c>
      <c r="K909">
        <f>Sheet1[[#This Row],[Revenue]]-Sheet1[[#This Row],[Ad Spend]]</f>
        <v>36.46</v>
      </c>
      <c r="L909" s="2" t="s">
        <v>22</v>
      </c>
      <c r="M909">
        <v>1</v>
      </c>
      <c r="N909" s="2" t="s">
        <v>15</v>
      </c>
      <c r="O909">
        <v>17.186666666666667</v>
      </c>
    </row>
    <row r="910" spans="1:15" x14ac:dyDescent="0.3">
      <c r="A910" s="1">
        <v>45313</v>
      </c>
      <c r="B910" s="2" t="s">
        <v>20</v>
      </c>
      <c r="C910" s="2" t="s">
        <v>12</v>
      </c>
      <c r="D910" s="2" t="s">
        <v>18</v>
      </c>
      <c r="E910">
        <v>21.9</v>
      </c>
      <c r="F910">
        <v>38.590000000000003</v>
      </c>
      <c r="G910">
        <v>2</v>
      </c>
      <c r="H910">
        <f t="shared" si="14"/>
        <v>61207.979999999989</v>
      </c>
      <c r="I910" t="str">
        <f>IF(Sheet1[[#This Row],[Month_Revenue]] &lt; AVERAGE(Sheet1[Month_Revenue]), "Off-Peak", "Peak")</f>
        <v>Peak</v>
      </c>
      <c r="J910">
        <f xml:space="preserve"> IF(Sheet1[[#This Row],[Ad Spend]] &gt; 0, (Sheet1[[#This Row],[Profit]] / Sheet1[[#This Row],[Ad Spend]]), 0)</f>
        <v>-0.43249546514641107</v>
      </c>
      <c r="K910">
        <f>Sheet1[[#This Row],[Revenue]]-Sheet1[[#This Row],[Ad Spend]]</f>
        <v>-16.690000000000005</v>
      </c>
      <c r="L910" s="2" t="s">
        <v>22</v>
      </c>
      <c r="M910">
        <v>1</v>
      </c>
      <c r="N910" s="2" t="s">
        <v>15</v>
      </c>
      <c r="O910">
        <v>10.95</v>
      </c>
    </row>
    <row r="911" spans="1:15" x14ac:dyDescent="0.3">
      <c r="A911" s="1">
        <v>45310</v>
      </c>
      <c r="B911" s="2" t="s">
        <v>20</v>
      </c>
      <c r="C911" s="2" t="s">
        <v>12</v>
      </c>
      <c r="D911" s="2" t="s">
        <v>18</v>
      </c>
      <c r="E911">
        <v>109.62</v>
      </c>
      <c r="F911">
        <v>44.6</v>
      </c>
      <c r="G911">
        <v>0</v>
      </c>
      <c r="H911">
        <f t="shared" si="14"/>
        <v>61207.979999999989</v>
      </c>
      <c r="I911" t="str">
        <f>IF(Sheet1[[#This Row],[Month_Revenue]] &lt; AVERAGE(Sheet1[Month_Revenue]), "Off-Peak", "Peak")</f>
        <v>Peak</v>
      </c>
      <c r="J911">
        <f xml:space="preserve"> IF(Sheet1[[#This Row],[Ad Spend]] &gt; 0, (Sheet1[[#This Row],[Profit]] / Sheet1[[#This Row],[Ad Spend]]), 0)</f>
        <v>1.4578475336322871</v>
      </c>
      <c r="K911">
        <f>Sheet1[[#This Row],[Revenue]]-Sheet1[[#This Row],[Ad Spend]]</f>
        <v>65.02000000000001</v>
      </c>
      <c r="L911" s="2" t="s">
        <v>14</v>
      </c>
      <c r="M911">
        <v>1</v>
      </c>
      <c r="N911" s="2" t="s">
        <v>15</v>
      </c>
      <c r="O911">
        <v>0</v>
      </c>
    </row>
    <row r="912" spans="1:15" x14ac:dyDescent="0.3">
      <c r="A912" s="1">
        <v>45368</v>
      </c>
      <c r="B912" s="2" t="s">
        <v>16</v>
      </c>
      <c r="C912" s="2" t="s">
        <v>21</v>
      </c>
      <c r="D912" s="2" t="s">
        <v>13</v>
      </c>
      <c r="E912">
        <v>102.47</v>
      </c>
      <c r="F912">
        <v>4.13</v>
      </c>
      <c r="G912">
        <v>1</v>
      </c>
      <c r="H912">
        <f t="shared" si="14"/>
        <v>54735.250000000029</v>
      </c>
      <c r="I912" t="str">
        <f>IF(Sheet1[[#This Row],[Month_Revenue]] &lt; AVERAGE(Sheet1[Month_Revenue]), "Off-Peak", "Peak")</f>
        <v>Off-Peak</v>
      </c>
      <c r="J912">
        <f xml:space="preserve"> IF(Sheet1[[#This Row],[Ad Spend]] &gt; 0, (Sheet1[[#This Row],[Profit]] / Sheet1[[#This Row],[Ad Spend]]), 0)</f>
        <v>23.811138014527845</v>
      </c>
      <c r="K912">
        <f>Sheet1[[#This Row],[Revenue]]-Sheet1[[#This Row],[Ad Spend]]</f>
        <v>98.34</v>
      </c>
      <c r="L912" s="2" t="s">
        <v>22</v>
      </c>
      <c r="M912">
        <v>3</v>
      </c>
      <c r="N912" s="2" t="s">
        <v>19</v>
      </c>
      <c r="O912">
        <v>102.47</v>
      </c>
    </row>
    <row r="913" spans="1:15" x14ac:dyDescent="0.3">
      <c r="A913" s="1">
        <v>45386</v>
      </c>
      <c r="B913" s="2" t="s">
        <v>24</v>
      </c>
      <c r="C913" s="2" t="s">
        <v>12</v>
      </c>
      <c r="D913" s="2" t="s">
        <v>18</v>
      </c>
      <c r="E913">
        <v>59.13</v>
      </c>
      <c r="F913">
        <v>10.58</v>
      </c>
      <c r="G913">
        <v>1</v>
      </c>
      <c r="H913">
        <f t="shared" si="14"/>
        <v>58562.910000000018</v>
      </c>
      <c r="I913" t="str">
        <f>IF(Sheet1[[#This Row],[Month_Revenue]] &lt; AVERAGE(Sheet1[Month_Revenue]), "Off-Peak", "Peak")</f>
        <v>Peak</v>
      </c>
      <c r="J913">
        <f xml:space="preserve"> IF(Sheet1[[#This Row],[Ad Spend]] &gt; 0, (Sheet1[[#This Row],[Profit]] / Sheet1[[#This Row],[Ad Spend]]), 0)</f>
        <v>4.588846880907373</v>
      </c>
      <c r="K913">
        <f>Sheet1[[#This Row],[Revenue]]-Sheet1[[#This Row],[Ad Spend]]</f>
        <v>48.550000000000004</v>
      </c>
      <c r="L913" s="2" t="s">
        <v>22</v>
      </c>
      <c r="M913">
        <v>4</v>
      </c>
      <c r="N913" s="2" t="s">
        <v>19</v>
      </c>
      <c r="O913">
        <v>59.13</v>
      </c>
    </row>
    <row r="914" spans="1:15" x14ac:dyDescent="0.3">
      <c r="A914" s="1">
        <v>45306</v>
      </c>
      <c r="B914" s="2" t="s">
        <v>23</v>
      </c>
      <c r="C914" s="2" t="s">
        <v>21</v>
      </c>
      <c r="D914" s="2" t="s">
        <v>13</v>
      </c>
      <c r="E914">
        <v>126.99</v>
      </c>
      <c r="F914">
        <v>12.85</v>
      </c>
      <c r="G914">
        <v>2</v>
      </c>
      <c r="H914">
        <f t="shared" si="14"/>
        <v>61207.979999999989</v>
      </c>
      <c r="I914" t="str">
        <f>IF(Sheet1[[#This Row],[Month_Revenue]] &lt; AVERAGE(Sheet1[Month_Revenue]), "Off-Peak", "Peak")</f>
        <v>Peak</v>
      </c>
      <c r="J914">
        <f xml:space="preserve"> IF(Sheet1[[#This Row],[Ad Spend]] &gt; 0, (Sheet1[[#This Row],[Profit]] / Sheet1[[#This Row],[Ad Spend]]), 0)</f>
        <v>8.8824902723735413</v>
      </c>
      <c r="K914">
        <f>Sheet1[[#This Row],[Revenue]]-Sheet1[[#This Row],[Ad Spend]]</f>
        <v>114.14</v>
      </c>
      <c r="L914" s="2" t="s">
        <v>14</v>
      </c>
      <c r="M914">
        <v>1</v>
      </c>
      <c r="N914" s="2" t="s">
        <v>15</v>
      </c>
      <c r="O914">
        <v>63.494999999999997</v>
      </c>
    </row>
    <row r="915" spans="1:15" x14ac:dyDescent="0.3">
      <c r="A915" s="1">
        <v>45390</v>
      </c>
      <c r="B915" s="2" t="s">
        <v>23</v>
      </c>
      <c r="C915" s="2" t="s">
        <v>21</v>
      </c>
      <c r="D915" s="2" t="s">
        <v>13</v>
      </c>
      <c r="E915">
        <v>129.74</v>
      </c>
      <c r="F915">
        <v>38.18</v>
      </c>
      <c r="G915">
        <v>0</v>
      </c>
      <c r="H915">
        <f t="shared" si="14"/>
        <v>58562.910000000018</v>
      </c>
      <c r="I915" t="str">
        <f>IF(Sheet1[[#This Row],[Month_Revenue]] &lt; AVERAGE(Sheet1[Month_Revenue]), "Off-Peak", "Peak")</f>
        <v>Peak</v>
      </c>
      <c r="J915">
        <f xml:space="preserve"> IF(Sheet1[[#This Row],[Ad Spend]] &gt; 0, (Sheet1[[#This Row],[Profit]] / Sheet1[[#This Row],[Ad Spend]]), 0)</f>
        <v>2.3981141959140913</v>
      </c>
      <c r="K915">
        <f>Sheet1[[#This Row],[Revenue]]-Sheet1[[#This Row],[Ad Spend]]</f>
        <v>91.56</v>
      </c>
      <c r="L915" s="2" t="s">
        <v>22</v>
      </c>
      <c r="M915">
        <v>4</v>
      </c>
      <c r="N915" s="2" t="s">
        <v>19</v>
      </c>
      <c r="O915">
        <v>0</v>
      </c>
    </row>
    <row r="916" spans="1:15" x14ac:dyDescent="0.3">
      <c r="A916" s="1">
        <v>45382</v>
      </c>
      <c r="B916" s="2" t="s">
        <v>20</v>
      </c>
      <c r="C916" s="2" t="s">
        <v>21</v>
      </c>
      <c r="D916" s="2" t="s">
        <v>13</v>
      </c>
      <c r="E916">
        <v>179.51</v>
      </c>
      <c r="F916">
        <v>0.46</v>
      </c>
      <c r="G916">
        <v>1</v>
      </c>
      <c r="H916">
        <f t="shared" si="14"/>
        <v>54735.250000000029</v>
      </c>
      <c r="I916" t="str">
        <f>IF(Sheet1[[#This Row],[Month_Revenue]] &lt; AVERAGE(Sheet1[Month_Revenue]), "Off-Peak", "Peak")</f>
        <v>Off-Peak</v>
      </c>
      <c r="J916">
        <f xml:space="preserve"> IF(Sheet1[[#This Row],[Ad Spend]] &gt; 0, (Sheet1[[#This Row],[Profit]] / Sheet1[[#This Row],[Ad Spend]]), 0)</f>
        <v>389.23913043478257</v>
      </c>
      <c r="K916">
        <f>Sheet1[[#This Row],[Revenue]]-Sheet1[[#This Row],[Ad Spend]]</f>
        <v>179.04999999999998</v>
      </c>
      <c r="L916" s="2" t="s">
        <v>22</v>
      </c>
      <c r="M916">
        <v>3</v>
      </c>
      <c r="N916" s="2" t="s">
        <v>19</v>
      </c>
      <c r="O916">
        <v>179.51</v>
      </c>
    </row>
    <row r="917" spans="1:15" x14ac:dyDescent="0.3">
      <c r="A917" s="1">
        <v>45388</v>
      </c>
      <c r="B917" s="2" t="s">
        <v>20</v>
      </c>
      <c r="C917" s="2" t="s">
        <v>21</v>
      </c>
      <c r="D917" s="2" t="s">
        <v>18</v>
      </c>
      <c r="E917">
        <v>135.54</v>
      </c>
      <c r="F917">
        <v>1.42</v>
      </c>
      <c r="G917">
        <v>1</v>
      </c>
      <c r="H917">
        <f t="shared" si="14"/>
        <v>58562.910000000018</v>
      </c>
      <c r="I917" t="str">
        <f>IF(Sheet1[[#This Row],[Month_Revenue]] &lt; AVERAGE(Sheet1[Month_Revenue]), "Off-Peak", "Peak")</f>
        <v>Peak</v>
      </c>
      <c r="J917">
        <f xml:space="preserve"> IF(Sheet1[[#This Row],[Ad Spend]] &gt; 0, (Sheet1[[#This Row],[Profit]] / Sheet1[[#This Row],[Ad Spend]]), 0)</f>
        <v>94.450704225352126</v>
      </c>
      <c r="K917">
        <f>Sheet1[[#This Row],[Revenue]]-Sheet1[[#This Row],[Ad Spend]]</f>
        <v>134.12</v>
      </c>
      <c r="L917" s="2" t="s">
        <v>14</v>
      </c>
      <c r="M917">
        <v>4</v>
      </c>
      <c r="N917" s="2" t="s">
        <v>19</v>
      </c>
      <c r="O917">
        <v>135.54</v>
      </c>
    </row>
    <row r="918" spans="1:15" x14ac:dyDescent="0.3">
      <c r="A918" s="1">
        <v>45393</v>
      </c>
      <c r="B918" s="2" t="s">
        <v>23</v>
      </c>
      <c r="C918" s="2" t="s">
        <v>21</v>
      </c>
      <c r="D918" s="2" t="s">
        <v>13</v>
      </c>
      <c r="E918">
        <v>98.8</v>
      </c>
      <c r="F918">
        <v>9.34</v>
      </c>
      <c r="G918">
        <v>0</v>
      </c>
      <c r="H918">
        <f t="shared" si="14"/>
        <v>58562.910000000018</v>
      </c>
      <c r="I918" t="str">
        <f>IF(Sheet1[[#This Row],[Month_Revenue]] &lt; AVERAGE(Sheet1[Month_Revenue]), "Off-Peak", "Peak")</f>
        <v>Peak</v>
      </c>
      <c r="J918">
        <f xml:space="preserve"> IF(Sheet1[[#This Row],[Ad Spend]] &gt; 0, (Sheet1[[#This Row],[Profit]] / Sheet1[[#This Row],[Ad Spend]]), 0)</f>
        <v>9.5781584582441113</v>
      </c>
      <c r="K918">
        <f>Sheet1[[#This Row],[Revenue]]-Sheet1[[#This Row],[Ad Spend]]</f>
        <v>89.46</v>
      </c>
      <c r="L918" s="2" t="s">
        <v>14</v>
      </c>
      <c r="M918">
        <v>4</v>
      </c>
      <c r="N918" s="2" t="s">
        <v>19</v>
      </c>
      <c r="O918">
        <v>0</v>
      </c>
    </row>
    <row r="919" spans="1:15" x14ac:dyDescent="0.3">
      <c r="A919" s="1">
        <v>45305</v>
      </c>
      <c r="B919" s="2" t="s">
        <v>16</v>
      </c>
      <c r="C919" s="2" t="s">
        <v>12</v>
      </c>
      <c r="D919" s="2" t="s">
        <v>13</v>
      </c>
      <c r="E919">
        <v>20.99</v>
      </c>
      <c r="F919">
        <v>28.27</v>
      </c>
      <c r="G919">
        <v>1</v>
      </c>
      <c r="H919">
        <f t="shared" si="14"/>
        <v>61207.979999999989</v>
      </c>
      <c r="I919" t="str">
        <f>IF(Sheet1[[#This Row],[Month_Revenue]] &lt; AVERAGE(Sheet1[Month_Revenue]), "Off-Peak", "Peak")</f>
        <v>Peak</v>
      </c>
      <c r="J919">
        <f xml:space="preserve"> IF(Sheet1[[#This Row],[Ad Spend]] &gt; 0, (Sheet1[[#This Row],[Profit]] / Sheet1[[#This Row],[Ad Spend]]), 0)</f>
        <v>-0.25751680226388401</v>
      </c>
      <c r="K919">
        <f>Sheet1[[#This Row],[Revenue]]-Sheet1[[#This Row],[Ad Spend]]</f>
        <v>-7.2800000000000011</v>
      </c>
      <c r="L919" s="2" t="s">
        <v>14</v>
      </c>
      <c r="M919">
        <v>1</v>
      </c>
      <c r="N919" s="2" t="s">
        <v>15</v>
      </c>
      <c r="O919">
        <v>20.99</v>
      </c>
    </row>
    <row r="920" spans="1:15" x14ac:dyDescent="0.3">
      <c r="A920" s="1">
        <v>45332</v>
      </c>
      <c r="B920" s="2" t="s">
        <v>24</v>
      </c>
      <c r="C920" s="2" t="s">
        <v>17</v>
      </c>
      <c r="D920" s="2" t="s">
        <v>18</v>
      </c>
      <c r="E920">
        <v>155.02000000000001</v>
      </c>
      <c r="F920">
        <v>3.82</v>
      </c>
      <c r="G920">
        <v>1</v>
      </c>
      <c r="H920">
        <f t="shared" si="14"/>
        <v>48675.899999999936</v>
      </c>
      <c r="I920" t="str">
        <f>IF(Sheet1[[#This Row],[Month_Revenue]] &lt; AVERAGE(Sheet1[Month_Revenue]), "Off-Peak", "Peak")</f>
        <v>Off-Peak</v>
      </c>
      <c r="J920">
        <f xml:space="preserve"> IF(Sheet1[[#This Row],[Ad Spend]] &gt; 0, (Sheet1[[#This Row],[Profit]] / Sheet1[[#This Row],[Ad Spend]]), 0)</f>
        <v>39.581151832460741</v>
      </c>
      <c r="K920">
        <f>Sheet1[[#This Row],[Revenue]]-Sheet1[[#This Row],[Ad Spend]]</f>
        <v>151.20000000000002</v>
      </c>
      <c r="L920" s="2" t="s">
        <v>22</v>
      </c>
      <c r="M920">
        <v>2</v>
      </c>
      <c r="N920" s="2" t="s">
        <v>15</v>
      </c>
      <c r="O920">
        <v>155.02000000000001</v>
      </c>
    </row>
    <row r="921" spans="1:15" x14ac:dyDescent="0.3">
      <c r="A921" s="1">
        <v>45408</v>
      </c>
      <c r="B921" s="2" t="s">
        <v>16</v>
      </c>
      <c r="C921" s="2" t="s">
        <v>12</v>
      </c>
      <c r="D921" s="2" t="s">
        <v>13</v>
      </c>
      <c r="E921">
        <v>104.72</v>
      </c>
      <c r="F921">
        <v>21.54</v>
      </c>
      <c r="G921">
        <v>0</v>
      </c>
      <c r="H921">
        <f t="shared" si="14"/>
        <v>58562.910000000018</v>
      </c>
      <c r="I921" t="str">
        <f>IF(Sheet1[[#This Row],[Month_Revenue]] &lt; AVERAGE(Sheet1[Month_Revenue]), "Off-Peak", "Peak")</f>
        <v>Peak</v>
      </c>
      <c r="J921">
        <f xml:space="preserve"> IF(Sheet1[[#This Row],[Ad Spend]] &gt; 0, (Sheet1[[#This Row],[Profit]] / Sheet1[[#This Row],[Ad Spend]]), 0)</f>
        <v>3.8616527390900655</v>
      </c>
      <c r="K921">
        <f>Sheet1[[#This Row],[Revenue]]-Sheet1[[#This Row],[Ad Spend]]</f>
        <v>83.18</v>
      </c>
      <c r="L921" s="2" t="s">
        <v>22</v>
      </c>
      <c r="M921">
        <v>4</v>
      </c>
      <c r="N921" s="2" t="s">
        <v>19</v>
      </c>
      <c r="O921">
        <v>0</v>
      </c>
    </row>
    <row r="922" spans="1:15" x14ac:dyDescent="0.3">
      <c r="A922" s="1">
        <v>45317</v>
      </c>
      <c r="B922" s="2" t="s">
        <v>11</v>
      </c>
      <c r="C922" s="2" t="s">
        <v>17</v>
      </c>
      <c r="D922" s="2" t="s">
        <v>18</v>
      </c>
      <c r="E922">
        <v>102.08</v>
      </c>
      <c r="F922">
        <v>39.19</v>
      </c>
      <c r="G922">
        <v>3</v>
      </c>
      <c r="H922">
        <f t="shared" si="14"/>
        <v>61207.979999999989</v>
      </c>
      <c r="I922" t="str">
        <f>IF(Sheet1[[#This Row],[Month_Revenue]] &lt; AVERAGE(Sheet1[Month_Revenue]), "Off-Peak", "Peak")</f>
        <v>Peak</v>
      </c>
      <c r="J922">
        <f xml:space="preserve"> IF(Sheet1[[#This Row],[Ad Spend]] &gt; 0, (Sheet1[[#This Row],[Profit]] / Sheet1[[#This Row],[Ad Spend]]), 0)</f>
        <v>1.6047461087011994</v>
      </c>
      <c r="K922">
        <f>Sheet1[[#This Row],[Revenue]]-Sheet1[[#This Row],[Ad Spend]]</f>
        <v>62.89</v>
      </c>
      <c r="L922" s="2" t="s">
        <v>14</v>
      </c>
      <c r="M922">
        <v>1</v>
      </c>
      <c r="N922" s="2" t="s">
        <v>15</v>
      </c>
      <c r="O922">
        <v>34.026666666666664</v>
      </c>
    </row>
    <row r="923" spans="1:15" x14ac:dyDescent="0.3">
      <c r="A923" s="1">
        <v>45292</v>
      </c>
      <c r="B923" s="2" t="s">
        <v>20</v>
      </c>
      <c r="C923" s="2" t="s">
        <v>17</v>
      </c>
      <c r="D923" s="2" t="s">
        <v>13</v>
      </c>
      <c r="E923">
        <v>165.52</v>
      </c>
      <c r="F923">
        <v>32.479999999999997</v>
      </c>
      <c r="G923">
        <v>0</v>
      </c>
      <c r="H923">
        <f t="shared" si="14"/>
        <v>61207.979999999989</v>
      </c>
      <c r="I923" t="str">
        <f>IF(Sheet1[[#This Row],[Month_Revenue]] &lt; AVERAGE(Sheet1[Month_Revenue]), "Off-Peak", "Peak")</f>
        <v>Peak</v>
      </c>
      <c r="J923">
        <f xml:space="preserve"> IF(Sheet1[[#This Row],[Ad Spend]] &gt; 0, (Sheet1[[#This Row],[Profit]] / Sheet1[[#This Row],[Ad Spend]]), 0)</f>
        <v>4.0960591133004938</v>
      </c>
      <c r="K923">
        <f>Sheet1[[#This Row],[Revenue]]-Sheet1[[#This Row],[Ad Spend]]</f>
        <v>133.04000000000002</v>
      </c>
      <c r="L923" s="2" t="s">
        <v>14</v>
      </c>
      <c r="M923">
        <v>1</v>
      </c>
      <c r="N923" s="2" t="s">
        <v>15</v>
      </c>
      <c r="O923">
        <v>0</v>
      </c>
    </row>
    <row r="924" spans="1:15" x14ac:dyDescent="0.3">
      <c r="A924" s="1">
        <v>45340</v>
      </c>
      <c r="B924" s="2" t="s">
        <v>24</v>
      </c>
      <c r="C924" s="2" t="s">
        <v>17</v>
      </c>
      <c r="D924" s="2" t="s">
        <v>18</v>
      </c>
      <c r="E924">
        <v>165.06</v>
      </c>
      <c r="F924">
        <v>20.23</v>
      </c>
      <c r="G924">
        <v>3</v>
      </c>
      <c r="H924">
        <f t="shared" si="14"/>
        <v>48675.899999999936</v>
      </c>
      <c r="I924" t="str">
        <f>IF(Sheet1[[#This Row],[Month_Revenue]] &lt; AVERAGE(Sheet1[Month_Revenue]), "Off-Peak", "Peak")</f>
        <v>Off-Peak</v>
      </c>
      <c r="J924">
        <f xml:space="preserve"> IF(Sheet1[[#This Row],[Ad Spend]] &gt; 0, (Sheet1[[#This Row],[Profit]] / Sheet1[[#This Row],[Ad Spend]]), 0)</f>
        <v>7.1591695501730106</v>
      </c>
      <c r="K924">
        <f>Sheet1[[#This Row],[Revenue]]-Sheet1[[#This Row],[Ad Spend]]</f>
        <v>144.83000000000001</v>
      </c>
      <c r="L924" s="2" t="s">
        <v>14</v>
      </c>
      <c r="M924">
        <v>2</v>
      </c>
      <c r="N924" s="2" t="s">
        <v>15</v>
      </c>
      <c r="O924">
        <v>55.02</v>
      </c>
    </row>
    <row r="925" spans="1:15" x14ac:dyDescent="0.3">
      <c r="A925" s="1">
        <v>45321</v>
      </c>
      <c r="B925" s="2" t="s">
        <v>11</v>
      </c>
      <c r="C925" s="2" t="s">
        <v>21</v>
      </c>
      <c r="D925" s="2" t="s">
        <v>13</v>
      </c>
      <c r="E925">
        <v>138.75</v>
      </c>
      <c r="F925">
        <v>5.95</v>
      </c>
      <c r="G925">
        <v>1</v>
      </c>
      <c r="H925">
        <f t="shared" si="14"/>
        <v>61207.979999999989</v>
      </c>
      <c r="I925" t="str">
        <f>IF(Sheet1[[#This Row],[Month_Revenue]] &lt; AVERAGE(Sheet1[Month_Revenue]), "Off-Peak", "Peak")</f>
        <v>Peak</v>
      </c>
      <c r="J925">
        <f xml:space="preserve"> IF(Sheet1[[#This Row],[Ad Spend]] &gt; 0, (Sheet1[[#This Row],[Profit]] / Sheet1[[#This Row],[Ad Spend]]), 0)</f>
        <v>22.319327731092439</v>
      </c>
      <c r="K925">
        <f>Sheet1[[#This Row],[Revenue]]-Sheet1[[#This Row],[Ad Spend]]</f>
        <v>132.80000000000001</v>
      </c>
      <c r="L925" s="2" t="s">
        <v>22</v>
      </c>
      <c r="M925">
        <v>1</v>
      </c>
      <c r="N925" s="2" t="s">
        <v>15</v>
      </c>
      <c r="O925">
        <v>138.75</v>
      </c>
    </row>
    <row r="926" spans="1:15" x14ac:dyDescent="0.3">
      <c r="A926" s="1">
        <v>45303</v>
      </c>
      <c r="B926" s="2" t="s">
        <v>16</v>
      </c>
      <c r="C926" s="2" t="s">
        <v>12</v>
      </c>
      <c r="D926" s="2" t="s">
        <v>13</v>
      </c>
      <c r="E926">
        <v>152.74</v>
      </c>
      <c r="F926">
        <v>11.98</v>
      </c>
      <c r="G926">
        <v>3</v>
      </c>
      <c r="H926">
        <f t="shared" si="14"/>
        <v>61207.979999999989</v>
      </c>
      <c r="I926" t="str">
        <f>IF(Sheet1[[#This Row],[Month_Revenue]] &lt; AVERAGE(Sheet1[Month_Revenue]), "Off-Peak", "Peak")</f>
        <v>Peak</v>
      </c>
      <c r="J926">
        <f xml:space="preserve"> IF(Sheet1[[#This Row],[Ad Spend]] &gt; 0, (Sheet1[[#This Row],[Profit]] / Sheet1[[#This Row],[Ad Spend]]), 0)</f>
        <v>11.749582637729551</v>
      </c>
      <c r="K926">
        <f>Sheet1[[#This Row],[Revenue]]-Sheet1[[#This Row],[Ad Spend]]</f>
        <v>140.76000000000002</v>
      </c>
      <c r="L926" s="2" t="s">
        <v>14</v>
      </c>
      <c r="M926">
        <v>1</v>
      </c>
      <c r="N926" s="2" t="s">
        <v>15</v>
      </c>
      <c r="O926">
        <v>50.913333333333334</v>
      </c>
    </row>
    <row r="927" spans="1:15" x14ac:dyDescent="0.3">
      <c r="A927" s="1">
        <v>45332</v>
      </c>
      <c r="B927" s="2" t="s">
        <v>20</v>
      </c>
      <c r="C927" s="2" t="s">
        <v>12</v>
      </c>
      <c r="D927" s="2" t="s">
        <v>13</v>
      </c>
      <c r="E927">
        <v>85.16</v>
      </c>
      <c r="F927">
        <v>11.32</v>
      </c>
      <c r="G927">
        <v>3</v>
      </c>
      <c r="H927">
        <f t="shared" si="14"/>
        <v>48675.899999999936</v>
      </c>
      <c r="I927" t="str">
        <f>IF(Sheet1[[#This Row],[Month_Revenue]] &lt; AVERAGE(Sheet1[Month_Revenue]), "Off-Peak", "Peak")</f>
        <v>Off-Peak</v>
      </c>
      <c r="J927">
        <f xml:space="preserve"> IF(Sheet1[[#This Row],[Ad Spend]] &gt; 0, (Sheet1[[#This Row],[Profit]] / Sheet1[[#This Row],[Ad Spend]]), 0)</f>
        <v>6.5229681978798588</v>
      </c>
      <c r="K927">
        <f>Sheet1[[#This Row],[Revenue]]-Sheet1[[#This Row],[Ad Spend]]</f>
        <v>73.84</v>
      </c>
      <c r="L927" s="2" t="s">
        <v>22</v>
      </c>
      <c r="M927">
        <v>2</v>
      </c>
      <c r="N927" s="2" t="s">
        <v>15</v>
      </c>
      <c r="O927">
        <v>28.386666666666667</v>
      </c>
    </row>
    <row r="928" spans="1:15" x14ac:dyDescent="0.3">
      <c r="A928" s="1">
        <v>45381</v>
      </c>
      <c r="B928" s="2" t="s">
        <v>11</v>
      </c>
      <c r="C928" s="2" t="s">
        <v>12</v>
      </c>
      <c r="D928" s="2" t="s">
        <v>13</v>
      </c>
      <c r="E928">
        <v>163.59</v>
      </c>
      <c r="F928">
        <v>19.03</v>
      </c>
      <c r="G928">
        <v>3</v>
      </c>
      <c r="H928">
        <f t="shared" si="14"/>
        <v>54735.250000000029</v>
      </c>
      <c r="I928" t="str">
        <f>IF(Sheet1[[#This Row],[Month_Revenue]] &lt; AVERAGE(Sheet1[Month_Revenue]), "Off-Peak", "Peak")</f>
        <v>Off-Peak</v>
      </c>
      <c r="J928">
        <f xml:space="preserve"> IF(Sheet1[[#This Row],[Ad Spend]] &gt; 0, (Sheet1[[#This Row],[Profit]] / Sheet1[[#This Row],[Ad Spend]]), 0)</f>
        <v>7.5964266946925907</v>
      </c>
      <c r="K928">
        <f>Sheet1[[#This Row],[Revenue]]-Sheet1[[#This Row],[Ad Spend]]</f>
        <v>144.56</v>
      </c>
      <c r="L928" s="2" t="s">
        <v>22</v>
      </c>
      <c r="M928">
        <v>3</v>
      </c>
      <c r="N928" s="2" t="s">
        <v>19</v>
      </c>
      <c r="O928">
        <v>54.53</v>
      </c>
    </row>
    <row r="929" spans="1:15" x14ac:dyDescent="0.3">
      <c r="A929" s="1">
        <v>45393</v>
      </c>
      <c r="B929" s="2" t="s">
        <v>11</v>
      </c>
      <c r="C929" s="2" t="s">
        <v>12</v>
      </c>
      <c r="D929" s="2" t="s">
        <v>18</v>
      </c>
      <c r="E929">
        <v>28.44</v>
      </c>
      <c r="F929">
        <v>49.38</v>
      </c>
      <c r="G929">
        <v>1</v>
      </c>
      <c r="H929">
        <f t="shared" si="14"/>
        <v>58562.910000000018</v>
      </c>
      <c r="I929" t="str">
        <f>IF(Sheet1[[#This Row],[Month_Revenue]] &lt; AVERAGE(Sheet1[Month_Revenue]), "Off-Peak", "Peak")</f>
        <v>Peak</v>
      </c>
      <c r="J929">
        <f xml:space="preserve"> IF(Sheet1[[#This Row],[Ad Spend]] &gt; 0, (Sheet1[[#This Row],[Profit]] / Sheet1[[#This Row],[Ad Spend]]), 0)</f>
        <v>-0.42405832320777642</v>
      </c>
      <c r="K929">
        <f>Sheet1[[#This Row],[Revenue]]-Sheet1[[#This Row],[Ad Spend]]</f>
        <v>-20.94</v>
      </c>
      <c r="L929" s="2" t="s">
        <v>22</v>
      </c>
      <c r="M929">
        <v>4</v>
      </c>
      <c r="N929" s="2" t="s">
        <v>19</v>
      </c>
      <c r="O929">
        <v>28.44</v>
      </c>
    </row>
    <row r="930" spans="1:15" x14ac:dyDescent="0.3">
      <c r="A930" s="1">
        <v>45301</v>
      </c>
      <c r="B930" s="2" t="s">
        <v>11</v>
      </c>
      <c r="C930" s="2" t="s">
        <v>17</v>
      </c>
      <c r="D930" s="2" t="s">
        <v>18</v>
      </c>
      <c r="E930">
        <v>58.89</v>
      </c>
      <c r="F930">
        <v>4.37</v>
      </c>
      <c r="G930">
        <v>0</v>
      </c>
      <c r="H930">
        <f t="shared" si="14"/>
        <v>61207.979999999989</v>
      </c>
      <c r="I930" t="str">
        <f>IF(Sheet1[[#This Row],[Month_Revenue]] &lt; AVERAGE(Sheet1[Month_Revenue]), "Off-Peak", "Peak")</f>
        <v>Peak</v>
      </c>
      <c r="J930">
        <f xml:space="preserve"> IF(Sheet1[[#This Row],[Ad Spend]] &gt; 0, (Sheet1[[#This Row],[Profit]] / Sheet1[[#This Row],[Ad Spend]]), 0)</f>
        <v>12.475972540045767</v>
      </c>
      <c r="K930">
        <f>Sheet1[[#This Row],[Revenue]]-Sheet1[[#This Row],[Ad Spend]]</f>
        <v>54.52</v>
      </c>
      <c r="L930" s="2" t="s">
        <v>14</v>
      </c>
      <c r="M930">
        <v>1</v>
      </c>
      <c r="N930" s="2" t="s">
        <v>15</v>
      </c>
      <c r="O930">
        <v>0</v>
      </c>
    </row>
    <row r="931" spans="1:15" x14ac:dyDescent="0.3">
      <c r="A931" s="1">
        <v>45357</v>
      </c>
      <c r="B931" s="2" t="s">
        <v>16</v>
      </c>
      <c r="C931" s="2" t="s">
        <v>12</v>
      </c>
      <c r="D931" s="2" t="s">
        <v>13</v>
      </c>
      <c r="E931">
        <v>83.63</v>
      </c>
      <c r="F931">
        <v>11.65</v>
      </c>
      <c r="G931">
        <v>3</v>
      </c>
      <c r="H931">
        <f t="shared" si="14"/>
        <v>54735.250000000029</v>
      </c>
      <c r="I931" t="str">
        <f>IF(Sheet1[[#This Row],[Month_Revenue]] &lt; AVERAGE(Sheet1[Month_Revenue]), "Off-Peak", "Peak")</f>
        <v>Off-Peak</v>
      </c>
      <c r="J931">
        <f xml:space="preserve"> IF(Sheet1[[#This Row],[Ad Spend]] &gt; 0, (Sheet1[[#This Row],[Profit]] / Sheet1[[#This Row],[Ad Spend]]), 0)</f>
        <v>6.1785407725321875</v>
      </c>
      <c r="K931">
        <f>Sheet1[[#This Row],[Revenue]]-Sheet1[[#This Row],[Ad Spend]]</f>
        <v>71.97999999999999</v>
      </c>
      <c r="L931" s="2" t="s">
        <v>14</v>
      </c>
      <c r="M931">
        <v>3</v>
      </c>
      <c r="N931" s="2" t="s">
        <v>19</v>
      </c>
      <c r="O931">
        <v>27.876666666666665</v>
      </c>
    </row>
    <row r="932" spans="1:15" x14ac:dyDescent="0.3">
      <c r="A932" s="1">
        <v>45330</v>
      </c>
      <c r="B932" s="2" t="s">
        <v>24</v>
      </c>
      <c r="C932" s="2" t="s">
        <v>12</v>
      </c>
      <c r="D932" s="2" t="s">
        <v>18</v>
      </c>
      <c r="E932">
        <v>81.87</v>
      </c>
      <c r="F932">
        <v>40.409999999999997</v>
      </c>
      <c r="G932">
        <v>0</v>
      </c>
      <c r="H932">
        <f t="shared" si="14"/>
        <v>48675.899999999936</v>
      </c>
      <c r="I932" t="str">
        <f>IF(Sheet1[[#This Row],[Month_Revenue]] &lt; AVERAGE(Sheet1[Month_Revenue]), "Off-Peak", "Peak")</f>
        <v>Off-Peak</v>
      </c>
      <c r="J932">
        <f xml:space="preserve"> IF(Sheet1[[#This Row],[Ad Spend]] &gt; 0, (Sheet1[[#This Row],[Profit]] / Sheet1[[#This Row],[Ad Spend]]), 0)</f>
        <v>1.0259836674090574</v>
      </c>
      <c r="K932">
        <f>Sheet1[[#This Row],[Revenue]]-Sheet1[[#This Row],[Ad Spend]]</f>
        <v>41.460000000000008</v>
      </c>
      <c r="L932" s="2" t="s">
        <v>22</v>
      </c>
      <c r="M932">
        <v>2</v>
      </c>
      <c r="N932" s="2" t="s">
        <v>15</v>
      </c>
      <c r="O932">
        <v>0</v>
      </c>
    </row>
    <row r="933" spans="1:15" x14ac:dyDescent="0.3">
      <c r="A933" s="1">
        <v>45306</v>
      </c>
      <c r="B933" s="2" t="s">
        <v>16</v>
      </c>
      <c r="C933" s="2" t="s">
        <v>12</v>
      </c>
      <c r="D933" s="2" t="s">
        <v>13</v>
      </c>
      <c r="E933">
        <v>39.950000000000003</v>
      </c>
      <c r="F933">
        <v>40.51</v>
      </c>
      <c r="G933">
        <v>3</v>
      </c>
      <c r="H933">
        <f t="shared" si="14"/>
        <v>61207.979999999989</v>
      </c>
      <c r="I933" t="str">
        <f>IF(Sheet1[[#This Row],[Month_Revenue]] &lt; AVERAGE(Sheet1[Month_Revenue]), "Off-Peak", "Peak")</f>
        <v>Peak</v>
      </c>
      <c r="J933">
        <f xml:space="preserve"> IF(Sheet1[[#This Row],[Ad Spend]] &gt; 0, (Sheet1[[#This Row],[Profit]] / Sheet1[[#This Row],[Ad Spend]]), 0)</f>
        <v>-1.3823747222907806E-2</v>
      </c>
      <c r="K933">
        <f>Sheet1[[#This Row],[Revenue]]-Sheet1[[#This Row],[Ad Spend]]</f>
        <v>-0.55999999999999517</v>
      </c>
      <c r="L933" s="2" t="s">
        <v>14</v>
      </c>
      <c r="M933">
        <v>1</v>
      </c>
      <c r="N933" s="2" t="s">
        <v>15</v>
      </c>
      <c r="O933">
        <v>13.316666666666668</v>
      </c>
    </row>
    <row r="934" spans="1:15" x14ac:dyDescent="0.3">
      <c r="A934" s="1">
        <v>45347</v>
      </c>
      <c r="B934" s="2" t="s">
        <v>20</v>
      </c>
      <c r="C934" s="2" t="s">
        <v>17</v>
      </c>
      <c r="D934" s="2" t="s">
        <v>18</v>
      </c>
      <c r="E934">
        <v>132.66999999999999</v>
      </c>
      <c r="F934">
        <v>49.43</v>
      </c>
      <c r="G934">
        <v>0</v>
      </c>
      <c r="H934">
        <f t="shared" si="14"/>
        <v>48675.899999999936</v>
      </c>
      <c r="I934" t="str">
        <f>IF(Sheet1[[#This Row],[Month_Revenue]] &lt; AVERAGE(Sheet1[Month_Revenue]), "Off-Peak", "Peak")</f>
        <v>Off-Peak</v>
      </c>
      <c r="J934">
        <f xml:space="preserve"> IF(Sheet1[[#This Row],[Ad Spend]] &gt; 0, (Sheet1[[#This Row],[Profit]] / Sheet1[[#This Row],[Ad Spend]]), 0)</f>
        <v>1.6839975723244989</v>
      </c>
      <c r="K934">
        <f>Sheet1[[#This Row],[Revenue]]-Sheet1[[#This Row],[Ad Spend]]</f>
        <v>83.239999999999981</v>
      </c>
      <c r="L934" s="2" t="s">
        <v>22</v>
      </c>
      <c r="M934">
        <v>2</v>
      </c>
      <c r="N934" s="2" t="s">
        <v>15</v>
      </c>
      <c r="O934">
        <v>0</v>
      </c>
    </row>
    <row r="935" spans="1:15" x14ac:dyDescent="0.3">
      <c r="A935" s="1">
        <v>45348</v>
      </c>
      <c r="B935" s="2" t="s">
        <v>16</v>
      </c>
      <c r="C935" s="2" t="s">
        <v>12</v>
      </c>
      <c r="D935" s="2" t="s">
        <v>18</v>
      </c>
      <c r="E935">
        <v>69.260000000000005</v>
      </c>
      <c r="F935">
        <v>47.98</v>
      </c>
      <c r="G935">
        <v>3</v>
      </c>
      <c r="H935">
        <f t="shared" si="14"/>
        <v>48675.899999999936</v>
      </c>
      <c r="I935" t="str">
        <f>IF(Sheet1[[#This Row],[Month_Revenue]] &lt; AVERAGE(Sheet1[Month_Revenue]), "Off-Peak", "Peak")</f>
        <v>Off-Peak</v>
      </c>
      <c r="J935">
        <f xml:space="preserve"> IF(Sheet1[[#This Row],[Ad Spend]] &gt; 0, (Sheet1[[#This Row],[Profit]] / Sheet1[[#This Row],[Ad Spend]]), 0)</f>
        <v>0.44351813255523154</v>
      </c>
      <c r="K935">
        <f>Sheet1[[#This Row],[Revenue]]-Sheet1[[#This Row],[Ad Spend]]</f>
        <v>21.280000000000008</v>
      </c>
      <c r="L935" s="2" t="s">
        <v>22</v>
      </c>
      <c r="M935">
        <v>2</v>
      </c>
      <c r="N935" s="2" t="s">
        <v>15</v>
      </c>
      <c r="O935">
        <v>23.08666666666667</v>
      </c>
    </row>
    <row r="936" spans="1:15" x14ac:dyDescent="0.3">
      <c r="A936" s="1">
        <v>45306</v>
      </c>
      <c r="B936" s="2" t="s">
        <v>24</v>
      </c>
      <c r="C936" s="2" t="s">
        <v>17</v>
      </c>
      <c r="D936" s="2" t="s">
        <v>13</v>
      </c>
      <c r="E936">
        <v>127.86</v>
      </c>
      <c r="F936">
        <v>39.85</v>
      </c>
      <c r="G936">
        <v>3</v>
      </c>
      <c r="H936">
        <f t="shared" si="14"/>
        <v>61207.979999999989</v>
      </c>
      <c r="I936" t="str">
        <f>IF(Sheet1[[#This Row],[Month_Revenue]] &lt; AVERAGE(Sheet1[Month_Revenue]), "Off-Peak", "Peak")</f>
        <v>Peak</v>
      </c>
      <c r="J936">
        <f xml:space="preserve"> IF(Sheet1[[#This Row],[Ad Spend]] &gt; 0, (Sheet1[[#This Row],[Profit]] / Sheet1[[#This Row],[Ad Spend]]), 0)</f>
        <v>2.208531994981179</v>
      </c>
      <c r="K936">
        <f>Sheet1[[#This Row],[Revenue]]-Sheet1[[#This Row],[Ad Spend]]</f>
        <v>88.009999999999991</v>
      </c>
      <c r="L936" s="2" t="s">
        <v>14</v>
      </c>
      <c r="M936">
        <v>1</v>
      </c>
      <c r="N936" s="2" t="s">
        <v>15</v>
      </c>
      <c r="O936">
        <v>42.62</v>
      </c>
    </row>
    <row r="937" spans="1:15" x14ac:dyDescent="0.3">
      <c r="A937" s="1">
        <v>45384</v>
      </c>
      <c r="B937" s="2" t="s">
        <v>23</v>
      </c>
      <c r="C937" s="2" t="s">
        <v>21</v>
      </c>
      <c r="D937" s="2" t="s">
        <v>18</v>
      </c>
      <c r="E937">
        <v>157.19999999999999</v>
      </c>
      <c r="F937">
        <v>28.01</v>
      </c>
      <c r="G937">
        <v>3</v>
      </c>
      <c r="H937">
        <f t="shared" si="14"/>
        <v>58562.910000000018</v>
      </c>
      <c r="I937" t="str">
        <f>IF(Sheet1[[#This Row],[Month_Revenue]] &lt; AVERAGE(Sheet1[Month_Revenue]), "Off-Peak", "Peak")</f>
        <v>Peak</v>
      </c>
      <c r="J937">
        <f xml:space="preserve"> IF(Sheet1[[#This Row],[Ad Spend]] &gt; 0, (Sheet1[[#This Row],[Profit]] / Sheet1[[#This Row],[Ad Spend]]), 0)</f>
        <v>4.612281328097108</v>
      </c>
      <c r="K937">
        <f>Sheet1[[#This Row],[Revenue]]-Sheet1[[#This Row],[Ad Spend]]</f>
        <v>129.19</v>
      </c>
      <c r="L937" s="2" t="s">
        <v>22</v>
      </c>
      <c r="M937">
        <v>4</v>
      </c>
      <c r="N937" s="2" t="s">
        <v>19</v>
      </c>
      <c r="O937">
        <v>52.4</v>
      </c>
    </row>
    <row r="938" spans="1:15" x14ac:dyDescent="0.3">
      <c r="A938" s="1">
        <v>45399</v>
      </c>
      <c r="B938" s="2" t="s">
        <v>23</v>
      </c>
      <c r="C938" s="2" t="s">
        <v>21</v>
      </c>
      <c r="D938" s="2" t="s">
        <v>18</v>
      </c>
      <c r="E938">
        <v>137.09</v>
      </c>
      <c r="F938">
        <v>22.21</v>
      </c>
      <c r="G938">
        <v>1</v>
      </c>
      <c r="H938">
        <f t="shared" si="14"/>
        <v>58562.910000000018</v>
      </c>
      <c r="I938" t="str">
        <f>IF(Sheet1[[#This Row],[Month_Revenue]] &lt; AVERAGE(Sheet1[Month_Revenue]), "Off-Peak", "Peak")</f>
        <v>Peak</v>
      </c>
      <c r="J938">
        <f xml:space="preserve"> IF(Sheet1[[#This Row],[Ad Spend]] &gt; 0, (Sheet1[[#This Row],[Profit]] / Sheet1[[#This Row],[Ad Spend]]), 0)</f>
        <v>5.1724448446645654</v>
      </c>
      <c r="K938">
        <f>Sheet1[[#This Row],[Revenue]]-Sheet1[[#This Row],[Ad Spend]]</f>
        <v>114.88</v>
      </c>
      <c r="L938" s="2" t="s">
        <v>22</v>
      </c>
      <c r="M938">
        <v>4</v>
      </c>
      <c r="N938" s="2" t="s">
        <v>19</v>
      </c>
      <c r="O938">
        <v>137.09</v>
      </c>
    </row>
    <row r="939" spans="1:15" x14ac:dyDescent="0.3">
      <c r="A939" s="1">
        <v>45392</v>
      </c>
      <c r="B939" s="2" t="s">
        <v>24</v>
      </c>
      <c r="C939" s="2" t="s">
        <v>21</v>
      </c>
      <c r="D939" s="2" t="s">
        <v>13</v>
      </c>
      <c r="E939">
        <v>122.26</v>
      </c>
      <c r="F939">
        <v>20.96</v>
      </c>
      <c r="G939">
        <v>1</v>
      </c>
      <c r="H939">
        <f t="shared" si="14"/>
        <v>58562.910000000018</v>
      </c>
      <c r="I939" t="str">
        <f>IF(Sheet1[[#This Row],[Month_Revenue]] &lt; AVERAGE(Sheet1[Month_Revenue]), "Off-Peak", "Peak")</f>
        <v>Peak</v>
      </c>
      <c r="J939">
        <f xml:space="preserve"> IF(Sheet1[[#This Row],[Ad Spend]] &gt; 0, (Sheet1[[#This Row],[Profit]] / Sheet1[[#This Row],[Ad Spend]]), 0)</f>
        <v>4.8330152671755728</v>
      </c>
      <c r="K939">
        <f>Sheet1[[#This Row],[Revenue]]-Sheet1[[#This Row],[Ad Spend]]</f>
        <v>101.30000000000001</v>
      </c>
      <c r="L939" s="2" t="s">
        <v>14</v>
      </c>
      <c r="M939">
        <v>4</v>
      </c>
      <c r="N939" s="2" t="s">
        <v>19</v>
      </c>
      <c r="O939">
        <v>122.26</v>
      </c>
    </row>
    <row r="940" spans="1:15" x14ac:dyDescent="0.3">
      <c r="A940" s="1">
        <v>45334</v>
      </c>
      <c r="B940" s="2" t="s">
        <v>20</v>
      </c>
      <c r="C940" s="2" t="s">
        <v>17</v>
      </c>
      <c r="D940" s="2" t="s">
        <v>13</v>
      </c>
      <c r="E940">
        <v>112.12</v>
      </c>
      <c r="F940">
        <v>46.57</v>
      </c>
      <c r="G940">
        <v>2</v>
      </c>
      <c r="H940">
        <f t="shared" si="14"/>
        <v>48675.899999999936</v>
      </c>
      <c r="I940" t="str">
        <f>IF(Sheet1[[#This Row],[Month_Revenue]] &lt; AVERAGE(Sheet1[Month_Revenue]), "Off-Peak", "Peak")</f>
        <v>Off-Peak</v>
      </c>
      <c r="J940">
        <f xml:space="preserve"> IF(Sheet1[[#This Row],[Ad Spend]] &gt; 0, (Sheet1[[#This Row],[Profit]] / Sheet1[[#This Row],[Ad Spend]]), 0)</f>
        <v>1.4075585140648488</v>
      </c>
      <c r="K940">
        <f>Sheet1[[#This Row],[Revenue]]-Sheet1[[#This Row],[Ad Spend]]</f>
        <v>65.550000000000011</v>
      </c>
      <c r="L940" s="2" t="s">
        <v>14</v>
      </c>
      <c r="M940">
        <v>2</v>
      </c>
      <c r="N940" s="2" t="s">
        <v>15</v>
      </c>
      <c r="O940">
        <v>56.06</v>
      </c>
    </row>
    <row r="941" spans="1:15" x14ac:dyDescent="0.3">
      <c r="A941" s="1">
        <v>45325</v>
      </c>
      <c r="B941" s="2" t="s">
        <v>23</v>
      </c>
      <c r="C941" s="2" t="s">
        <v>21</v>
      </c>
      <c r="D941" s="2" t="s">
        <v>18</v>
      </c>
      <c r="E941">
        <v>24.15</v>
      </c>
      <c r="F941">
        <v>6.72</v>
      </c>
      <c r="G941">
        <v>0</v>
      </c>
      <c r="H941">
        <f t="shared" si="14"/>
        <v>48675.899999999936</v>
      </c>
      <c r="I941" t="str">
        <f>IF(Sheet1[[#This Row],[Month_Revenue]] &lt; AVERAGE(Sheet1[Month_Revenue]), "Off-Peak", "Peak")</f>
        <v>Off-Peak</v>
      </c>
      <c r="J941">
        <f xml:space="preserve"> IF(Sheet1[[#This Row],[Ad Spend]] &gt; 0, (Sheet1[[#This Row],[Profit]] / Sheet1[[#This Row],[Ad Spend]]), 0)</f>
        <v>2.59375</v>
      </c>
      <c r="K941">
        <f>Sheet1[[#This Row],[Revenue]]-Sheet1[[#This Row],[Ad Spend]]</f>
        <v>17.43</v>
      </c>
      <c r="L941" s="2" t="s">
        <v>14</v>
      </c>
      <c r="M941">
        <v>2</v>
      </c>
      <c r="N941" s="2" t="s">
        <v>15</v>
      </c>
      <c r="O941">
        <v>0</v>
      </c>
    </row>
    <row r="942" spans="1:15" x14ac:dyDescent="0.3">
      <c r="A942" s="1">
        <v>45327</v>
      </c>
      <c r="B942" s="2" t="s">
        <v>23</v>
      </c>
      <c r="C942" s="2" t="s">
        <v>17</v>
      </c>
      <c r="D942" s="2" t="s">
        <v>18</v>
      </c>
      <c r="E942">
        <v>107.82</v>
      </c>
      <c r="F942">
        <v>8.0399999999999991</v>
      </c>
      <c r="G942">
        <v>1</v>
      </c>
      <c r="H942">
        <f t="shared" si="14"/>
        <v>48675.899999999936</v>
      </c>
      <c r="I942" t="str">
        <f>IF(Sheet1[[#This Row],[Month_Revenue]] &lt; AVERAGE(Sheet1[Month_Revenue]), "Off-Peak", "Peak")</f>
        <v>Off-Peak</v>
      </c>
      <c r="J942">
        <f xml:space="preserve"> IF(Sheet1[[#This Row],[Ad Spend]] &gt; 0, (Sheet1[[#This Row],[Profit]] / Sheet1[[#This Row],[Ad Spend]]), 0)</f>
        <v>12.410447761194032</v>
      </c>
      <c r="K942">
        <f>Sheet1[[#This Row],[Revenue]]-Sheet1[[#This Row],[Ad Spend]]</f>
        <v>99.78</v>
      </c>
      <c r="L942" s="2" t="s">
        <v>14</v>
      </c>
      <c r="M942">
        <v>2</v>
      </c>
      <c r="N942" s="2" t="s">
        <v>15</v>
      </c>
      <c r="O942">
        <v>107.82</v>
      </c>
    </row>
    <row r="943" spans="1:15" x14ac:dyDescent="0.3">
      <c r="A943" s="1">
        <v>45336</v>
      </c>
      <c r="B943" s="2" t="s">
        <v>24</v>
      </c>
      <c r="C943" s="2" t="s">
        <v>17</v>
      </c>
      <c r="D943" s="2" t="s">
        <v>13</v>
      </c>
      <c r="E943">
        <v>91.89</v>
      </c>
      <c r="F943">
        <v>1.35</v>
      </c>
      <c r="G943">
        <v>1</v>
      </c>
      <c r="H943">
        <f t="shared" si="14"/>
        <v>48675.899999999936</v>
      </c>
      <c r="I943" t="str">
        <f>IF(Sheet1[[#This Row],[Month_Revenue]] &lt; AVERAGE(Sheet1[Month_Revenue]), "Off-Peak", "Peak")</f>
        <v>Off-Peak</v>
      </c>
      <c r="J943">
        <f xml:space="preserve"> IF(Sheet1[[#This Row],[Ad Spend]] &gt; 0, (Sheet1[[#This Row],[Profit]] / Sheet1[[#This Row],[Ad Spend]]), 0)</f>
        <v>67.066666666666663</v>
      </c>
      <c r="K943">
        <f>Sheet1[[#This Row],[Revenue]]-Sheet1[[#This Row],[Ad Spend]]</f>
        <v>90.54</v>
      </c>
      <c r="L943" s="2" t="s">
        <v>14</v>
      </c>
      <c r="M943">
        <v>2</v>
      </c>
      <c r="N943" s="2" t="s">
        <v>15</v>
      </c>
      <c r="O943">
        <v>91.89</v>
      </c>
    </row>
    <row r="944" spans="1:15" x14ac:dyDescent="0.3">
      <c r="A944" s="1">
        <v>45362</v>
      </c>
      <c r="B944" s="2" t="s">
        <v>20</v>
      </c>
      <c r="C944" s="2" t="s">
        <v>17</v>
      </c>
      <c r="D944" s="2" t="s">
        <v>18</v>
      </c>
      <c r="E944">
        <v>79.099999999999994</v>
      </c>
      <c r="F944">
        <v>42.54</v>
      </c>
      <c r="G944">
        <v>2</v>
      </c>
      <c r="H944">
        <f t="shared" si="14"/>
        <v>54735.250000000029</v>
      </c>
      <c r="I944" t="str">
        <f>IF(Sheet1[[#This Row],[Month_Revenue]] &lt; AVERAGE(Sheet1[Month_Revenue]), "Off-Peak", "Peak")</f>
        <v>Off-Peak</v>
      </c>
      <c r="J944">
        <f xml:space="preserve"> IF(Sheet1[[#This Row],[Ad Spend]] &gt; 0, (Sheet1[[#This Row],[Profit]] / Sheet1[[#This Row],[Ad Spend]]), 0)</f>
        <v>0.85942642219087906</v>
      </c>
      <c r="K944">
        <f>Sheet1[[#This Row],[Revenue]]-Sheet1[[#This Row],[Ad Spend]]</f>
        <v>36.559999999999995</v>
      </c>
      <c r="L944" s="2" t="s">
        <v>22</v>
      </c>
      <c r="M944">
        <v>3</v>
      </c>
      <c r="N944" s="2" t="s">
        <v>19</v>
      </c>
      <c r="O944">
        <v>39.549999999999997</v>
      </c>
    </row>
    <row r="945" spans="1:15" x14ac:dyDescent="0.3">
      <c r="A945" s="1">
        <v>45403</v>
      </c>
      <c r="B945" s="2" t="s">
        <v>20</v>
      </c>
      <c r="C945" s="2" t="s">
        <v>17</v>
      </c>
      <c r="D945" s="2" t="s">
        <v>13</v>
      </c>
      <c r="E945">
        <v>108.75</v>
      </c>
      <c r="F945">
        <v>9</v>
      </c>
      <c r="G945">
        <v>3</v>
      </c>
      <c r="H945">
        <f t="shared" si="14"/>
        <v>58562.910000000018</v>
      </c>
      <c r="I945" t="str">
        <f>IF(Sheet1[[#This Row],[Month_Revenue]] &lt; AVERAGE(Sheet1[Month_Revenue]), "Off-Peak", "Peak")</f>
        <v>Peak</v>
      </c>
      <c r="J945">
        <f xml:space="preserve"> IF(Sheet1[[#This Row],[Ad Spend]] &gt; 0, (Sheet1[[#This Row],[Profit]] / Sheet1[[#This Row],[Ad Spend]]), 0)</f>
        <v>11.083333333333334</v>
      </c>
      <c r="K945">
        <f>Sheet1[[#This Row],[Revenue]]-Sheet1[[#This Row],[Ad Spend]]</f>
        <v>99.75</v>
      </c>
      <c r="L945" s="2" t="s">
        <v>14</v>
      </c>
      <c r="M945">
        <v>4</v>
      </c>
      <c r="N945" s="2" t="s">
        <v>19</v>
      </c>
      <c r="O945">
        <v>36.25</v>
      </c>
    </row>
    <row r="946" spans="1:15" x14ac:dyDescent="0.3">
      <c r="A946" s="1">
        <v>45344</v>
      </c>
      <c r="B946" s="2" t="s">
        <v>20</v>
      </c>
      <c r="C946" s="2" t="s">
        <v>12</v>
      </c>
      <c r="D946" s="2" t="s">
        <v>18</v>
      </c>
      <c r="E946">
        <v>193.08</v>
      </c>
      <c r="F946">
        <v>31.77</v>
      </c>
      <c r="G946">
        <v>3</v>
      </c>
      <c r="H946">
        <f t="shared" si="14"/>
        <v>48675.899999999936</v>
      </c>
      <c r="I946" t="str">
        <f>IF(Sheet1[[#This Row],[Month_Revenue]] &lt; AVERAGE(Sheet1[Month_Revenue]), "Off-Peak", "Peak")</f>
        <v>Off-Peak</v>
      </c>
      <c r="J946">
        <f xml:space="preserve"> IF(Sheet1[[#This Row],[Ad Spend]] &gt; 0, (Sheet1[[#This Row],[Profit]] / Sheet1[[#This Row],[Ad Spend]]), 0)</f>
        <v>5.0774315391879137</v>
      </c>
      <c r="K946">
        <f>Sheet1[[#This Row],[Revenue]]-Sheet1[[#This Row],[Ad Spend]]</f>
        <v>161.31</v>
      </c>
      <c r="L946" s="2" t="s">
        <v>22</v>
      </c>
      <c r="M946">
        <v>2</v>
      </c>
      <c r="N946" s="2" t="s">
        <v>15</v>
      </c>
      <c r="O946">
        <v>64.36</v>
      </c>
    </row>
    <row r="947" spans="1:15" x14ac:dyDescent="0.3">
      <c r="A947" s="1">
        <v>45369</v>
      </c>
      <c r="B947" s="2" t="s">
        <v>11</v>
      </c>
      <c r="C947" s="2" t="s">
        <v>17</v>
      </c>
      <c r="D947" s="2" t="s">
        <v>13</v>
      </c>
      <c r="E947">
        <v>188.04</v>
      </c>
      <c r="F947">
        <v>34.5</v>
      </c>
      <c r="G947">
        <v>0</v>
      </c>
      <c r="H947">
        <f t="shared" si="14"/>
        <v>54735.250000000029</v>
      </c>
      <c r="I947" t="str">
        <f>IF(Sheet1[[#This Row],[Month_Revenue]] &lt; AVERAGE(Sheet1[Month_Revenue]), "Off-Peak", "Peak")</f>
        <v>Off-Peak</v>
      </c>
      <c r="J947">
        <f xml:space="preserve"> IF(Sheet1[[#This Row],[Ad Spend]] &gt; 0, (Sheet1[[#This Row],[Profit]] / Sheet1[[#This Row],[Ad Spend]]), 0)</f>
        <v>4.4504347826086956</v>
      </c>
      <c r="K947">
        <f>Sheet1[[#This Row],[Revenue]]-Sheet1[[#This Row],[Ad Spend]]</f>
        <v>153.54</v>
      </c>
      <c r="L947" s="2" t="s">
        <v>14</v>
      </c>
      <c r="M947">
        <v>3</v>
      </c>
      <c r="N947" s="2" t="s">
        <v>19</v>
      </c>
      <c r="O947">
        <v>0</v>
      </c>
    </row>
    <row r="948" spans="1:15" x14ac:dyDescent="0.3">
      <c r="A948" s="1">
        <v>45347</v>
      </c>
      <c r="B948" s="2" t="s">
        <v>23</v>
      </c>
      <c r="C948" s="2" t="s">
        <v>17</v>
      </c>
      <c r="D948" s="2" t="s">
        <v>13</v>
      </c>
      <c r="E948">
        <v>24.46</v>
      </c>
      <c r="F948">
        <v>41.45</v>
      </c>
      <c r="G948">
        <v>0</v>
      </c>
      <c r="H948">
        <f t="shared" si="14"/>
        <v>48675.899999999936</v>
      </c>
      <c r="I948" t="str">
        <f>IF(Sheet1[[#This Row],[Month_Revenue]] &lt; AVERAGE(Sheet1[Month_Revenue]), "Off-Peak", "Peak")</f>
        <v>Off-Peak</v>
      </c>
      <c r="J948">
        <f xml:space="preserve"> IF(Sheet1[[#This Row],[Ad Spend]] &gt; 0, (Sheet1[[#This Row],[Profit]] / Sheet1[[#This Row],[Ad Spend]]), 0)</f>
        <v>-0.40989143546441498</v>
      </c>
      <c r="K948">
        <f>Sheet1[[#This Row],[Revenue]]-Sheet1[[#This Row],[Ad Spend]]</f>
        <v>-16.990000000000002</v>
      </c>
      <c r="L948" s="2" t="s">
        <v>14</v>
      </c>
      <c r="M948">
        <v>2</v>
      </c>
      <c r="N948" s="2" t="s">
        <v>15</v>
      </c>
      <c r="O948">
        <v>0</v>
      </c>
    </row>
    <row r="949" spans="1:15" x14ac:dyDescent="0.3">
      <c r="A949" s="1">
        <v>45362</v>
      </c>
      <c r="B949" s="2" t="s">
        <v>24</v>
      </c>
      <c r="C949" s="2" t="s">
        <v>17</v>
      </c>
      <c r="D949" s="2" t="s">
        <v>18</v>
      </c>
      <c r="E949">
        <v>162.91</v>
      </c>
      <c r="F949">
        <v>15.9</v>
      </c>
      <c r="G949">
        <v>2</v>
      </c>
      <c r="H949">
        <f t="shared" si="14"/>
        <v>54735.250000000029</v>
      </c>
      <c r="I949" t="str">
        <f>IF(Sheet1[[#This Row],[Month_Revenue]] &lt; AVERAGE(Sheet1[Month_Revenue]), "Off-Peak", "Peak")</f>
        <v>Off-Peak</v>
      </c>
      <c r="J949">
        <f xml:space="preserve"> IF(Sheet1[[#This Row],[Ad Spend]] &gt; 0, (Sheet1[[#This Row],[Profit]] / Sheet1[[#This Row],[Ad Spend]]), 0)</f>
        <v>9.2459119496855333</v>
      </c>
      <c r="K949">
        <f>Sheet1[[#This Row],[Revenue]]-Sheet1[[#This Row],[Ad Spend]]</f>
        <v>147.01</v>
      </c>
      <c r="L949" s="2" t="s">
        <v>14</v>
      </c>
      <c r="M949">
        <v>3</v>
      </c>
      <c r="N949" s="2" t="s">
        <v>19</v>
      </c>
      <c r="O949">
        <v>81.454999999999998</v>
      </c>
    </row>
    <row r="950" spans="1:15" x14ac:dyDescent="0.3">
      <c r="A950" s="1">
        <v>45355</v>
      </c>
      <c r="B950" s="2" t="s">
        <v>23</v>
      </c>
      <c r="C950" s="2" t="s">
        <v>12</v>
      </c>
      <c r="D950" s="2" t="s">
        <v>13</v>
      </c>
      <c r="E950">
        <v>100.29</v>
      </c>
      <c r="F950">
        <v>27.65</v>
      </c>
      <c r="G950">
        <v>1</v>
      </c>
      <c r="H950">
        <f t="shared" si="14"/>
        <v>54735.250000000029</v>
      </c>
      <c r="I950" t="str">
        <f>IF(Sheet1[[#This Row],[Month_Revenue]] &lt; AVERAGE(Sheet1[Month_Revenue]), "Off-Peak", "Peak")</f>
        <v>Off-Peak</v>
      </c>
      <c r="J950">
        <f xml:space="preserve"> IF(Sheet1[[#This Row],[Ad Spend]] &gt; 0, (Sheet1[[#This Row],[Profit]] / Sheet1[[#This Row],[Ad Spend]]), 0)</f>
        <v>2.6271247739602175</v>
      </c>
      <c r="K950">
        <f>Sheet1[[#This Row],[Revenue]]-Sheet1[[#This Row],[Ad Spend]]</f>
        <v>72.640000000000015</v>
      </c>
      <c r="L950" s="2" t="s">
        <v>14</v>
      </c>
      <c r="M950">
        <v>3</v>
      </c>
      <c r="N950" s="2" t="s">
        <v>19</v>
      </c>
      <c r="O950">
        <v>100.29</v>
      </c>
    </row>
    <row r="951" spans="1:15" x14ac:dyDescent="0.3">
      <c r="A951" s="1">
        <v>45366</v>
      </c>
      <c r="B951" s="2" t="s">
        <v>24</v>
      </c>
      <c r="C951" s="2" t="s">
        <v>17</v>
      </c>
      <c r="D951" s="2" t="s">
        <v>18</v>
      </c>
      <c r="E951">
        <v>73.14</v>
      </c>
      <c r="F951">
        <v>42.49</v>
      </c>
      <c r="G951">
        <v>2</v>
      </c>
      <c r="H951">
        <f t="shared" si="14"/>
        <v>54735.250000000029</v>
      </c>
      <c r="I951" t="str">
        <f>IF(Sheet1[[#This Row],[Month_Revenue]] &lt; AVERAGE(Sheet1[Month_Revenue]), "Off-Peak", "Peak")</f>
        <v>Off-Peak</v>
      </c>
      <c r="J951">
        <f xml:space="preserve"> IF(Sheet1[[#This Row],[Ad Spend]] &gt; 0, (Sheet1[[#This Row],[Profit]] / Sheet1[[#This Row],[Ad Spend]]), 0)</f>
        <v>0.72134619910567188</v>
      </c>
      <c r="K951">
        <f>Sheet1[[#This Row],[Revenue]]-Sheet1[[#This Row],[Ad Spend]]</f>
        <v>30.65</v>
      </c>
      <c r="L951" s="2" t="s">
        <v>22</v>
      </c>
      <c r="M951">
        <v>3</v>
      </c>
      <c r="N951" s="2" t="s">
        <v>19</v>
      </c>
      <c r="O951">
        <v>36.57</v>
      </c>
    </row>
    <row r="952" spans="1:15" x14ac:dyDescent="0.3">
      <c r="A952" s="1">
        <v>45405</v>
      </c>
      <c r="B952" s="2" t="s">
        <v>24</v>
      </c>
      <c r="C952" s="2" t="s">
        <v>17</v>
      </c>
      <c r="D952" s="2" t="s">
        <v>18</v>
      </c>
      <c r="E952">
        <v>90.23</v>
      </c>
      <c r="F952">
        <v>46.49</v>
      </c>
      <c r="G952">
        <v>2</v>
      </c>
      <c r="H952">
        <f t="shared" si="14"/>
        <v>58562.910000000018</v>
      </c>
      <c r="I952" t="str">
        <f>IF(Sheet1[[#This Row],[Month_Revenue]] &lt; AVERAGE(Sheet1[Month_Revenue]), "Off-Peak", "Peak")</f>
        <v>Peak</v>
      </c>
      <c r="J952">
        <f xml:space="preserve"> IF(Sheet1[[#This Row],[Ad Spend]] &gt; 0, (Sheet1[[#This Row],[Profit]] / Sheet1[[#This Row],[Ad Spend]]), 0)</f>
        <v>0.94084749408474944</v>
      </c>
      <c r="K952">
        <f>Sheet1[[#This Row],[Revenue]]-Sheet1[[#This Row],[Ad Spend]]</f>
        <v>43.74</v>
      </c>
      <c r="L952" s="2" t="s">
        <v>14</v>
      </c>
      <c r="M952">
        <v>4</v>
      </c>
      <c r="N952" s="2" t="s">
        <v>19</v>
      </c>
      <c r="O952">
        <v>45.115000000000002</v>
      </c>
    </row>
    <row r="953" spans="1:15" x14ac:dyDescent="0.3">
      <c r="A953" s="1">
        <v>45309</v>
      </c>
      <c r="B953" s="2" t="s">
        <v>16</v>
      </c>
      <c r="C953" s="2" t="s">
        <v>21</v>
      </c>
      <c r="D953" s="2" t="s">
        <v>18</v>
      </c>
      <c r="E953">
        <v>86.98</v>
      </c>
      <c r="F953">
        <v>2.1800000000000002</v>
      </c>
      <c r="G953">
        <v>1</v>
      </c>
      <c r="H953">
        <f t="shared" si="14"/>
        <v>61207.979999999989</v>
      </c>
      <c r="I953" t="str">
        <f>IF(Sheet1[[#This Row],[Month_Revenue]] &lt; AVERAGE(Sheet1[Month_Revenue]), "Off-Peak", "Peak")</f>
        <v>Peak</v>
      </c>
      <c r="J953">
        <f xml:space="preserve"> IF(Sheet1[[#This Row],[Ad Spend]] &gt; 0, (Sheet1[[#This Row],[Profit]] / Sheet1[[#This Row],[Ad Spend]]), 0)</f>
        <v>38.899082568807337</v>
      </c>
      <c r="K953">
        <f>Sheet1[[#This Row],[Revenue]]-Sheet1[[#This Row],[Ad Spend]]</f>
        <v>84.8</v>
      </c>
      <c r="L953" s="2" t="s">
        <v>22</v>
      </c>
      <c r="M953">
        <v>1</v>
      </c>
      <c r="N953" s="2" t="s">
        <v>15</v>
      </c>
      <c r="O953">
        <v>86.98</v>
      </c>
    </row>
    <row r="954" spans="1:15" x14ac:dyDescent="0.3">
      <c r="A954" s="1">
        <v>45316</v>
      </c>
      <c r="B954" s="2" t="s">
        <v>16</v>
      </c>
      <c r="C954" s="2" t="s">
        <v>12</v>
      </c>
      <c r="D954" s="2" t="s">
        <v>18</v>
      </c>
      <c r="E954">
        <v>177.08</v>
      </c>
      <c r="F954">
        <v>8.06</v>
      </c>
      <c r="G954">
        <v>1</v>
      </c>
      <c r="H954">
        <f t="shared" si="14"/>
        <v>61207.979999999989</v>
      </c>
      <c r="I954" t="str">
        <f>IF(Sheet1[[#This Row],[Month_Revenue]] &lt; AVERAGE(Sheet1[Month_Revenue]), "Off-Peak", "Peak")</f>
        <v>Peak</v>
      </c>
      <c r="J954">
        <f xml:space="preserve"> IF(Sheet1[[#This Row],[Ad Spend]] &gt; 0, (Sheet1[[#This Row],[Profit]] / Sheet1[[#This Row],[Ad Spend]]), 0)</f>
        <v>20.970223325062033</v>
      </c>
      <c r="K954">
        <f>Sheet1[[#This Row],[Revenue]]-Sheet1[[#This Row],[Ad Spend]]</f>
        <v>169.02</v>
      </c>
      <c r="L954" s="2" t="s">
        <v>22</v>
      </c>
      <c r="M954">
        <v>1</v>
      </c>
      <c r="N954" s="2" t="s">
        <v>15</v>
      </c>
      <c r="O954">
        <v>177.08</v>
      </c>
    </row>
    <row r="955" spans="1:15" x14ac:dyDescent="0.3">
      <c r="A955" s="1">
        <v>45316</v>
      </c>
      <c r="B955" s="2" t="s">
        <v>11</v>
      </c>
      <c r="C955" s="2" t="s">
        <v>12</v>
      </c>
      <c r="D955" s="2" t="s">
        <v>18</v>
      </c>
      <c r="E955">
        <v>93.51</v>
      </c>
      <c r="F955">
        <v>13.05</v>
      </c>
      <c r="G955">
        <v>2</v>
      </c>
      <c r="H955">
        <f t="shared" si="14"/>
        <v>61207.979999999989</v>
      </c>
      <c r="I955" t="str">
        <f>IF(Sheet1[[#This Row],[Month_Revenue]] &lt; AVERAGE(Sheet1[Month_Revenue]), "Off-Peak", "Peak")</f>
        <v>Peak</v>
      </c>
      <c r="J955">
        <f xml:space="preserve"> IF(Sheet1[[#This Row],[Ad Spend]] &gt; 0, (Sheet1[[#This Row],[Profit]] / Sheet1[[#This Row],[Ad Spend]]), 0)</f>
        <v>6.1655172413793107</v>
      </c>
      <c r="K955">
        <f>Sheet1[[#This Row],[Revenue]]-Sheet1[[#This Row],[Ad Spend]]</f>
        <v>80.460000000000008</v>
      </c>
      <c r="L955" s="2" t="s">
        <v>14</v>
      </c>
      <c r="M955">
        <v>1</v>
      </c>
      <c r="N955" s="2" t="s">
        <v>15</v>
      </c>
      <c r="O955">
        <v>46.755000000000003</v>
      </c>
    </row>
    <row r="956" spans="1:15" x14ac:dyDescent="0.3">
      <c r="A956" s="1">
        <v>45318</v>
      </c>
      <c r="B956" s="2" t="s">
        <v>16</v>
      </c>
      <c r="C956" s="2" t="s">
        <v>17</v>
      </c>
      <c r="D956" s="2" t="s">
        <v>18</v>
      </c>
      <c r="E956">
        <v>86.73</v>
      </c>
      <c r="F956">
        <v>25</v>
      </c>
      <c r="G956">
        <v>1</v>
      </c>
      <c r="H956">
        <f t="shared" si="14"/>
        <v>61207.979999999989</v>
      </c>
      <c r="I956" t="str">
        <f>IF(Sheet1[[#This Row],[Month_Revenue]] &lt; AVERAGE(Sheet1[Month_Revenue]), "Off-Peak", "Peak")</f>
        <v>Peak</v>
      </c>
      <c r="J956">
        <f xml:space="preserve"> IF(Sheet1[[#This Row],[Ad Spend]] &gt; 0, (Sheet1[[#This Row],[Profit]] / Sheet1[[#This Row],[Ad Spend]]), 0)</f>
        <v>2.4692000000000003</v>
      </c>
      <c r="K956">
        <f>Sheet1[[#This Row],[Revenue]]-Sheet1[[#This Row],[Ad Spend]]</f>
        <v>61.730000000000004</v>
      </c>
      <c r="L956" s="2" t="s">
        <v>22</v>
      </c>
      <c r="M956">
        <v>1</v>
      </c>
      <c r="N956" s="2" t="s">
        <v>15</v>
      </c>
      <c r="O956">
        <v>86.73</v>
      </c>
    </row>
    <row r="957" spans="1:15" x14ac:dyDescent="0.3">
      <c r="A957" s="1">
        <v>45381</v>
      </c>
      <c r="B957" s="2" t="s">
        <v>16</v>
      </c>
      <c r="C957" s="2" t="s">
        <v>12</v>
      </c>
      <c r="D957" s="2" t="s">
        <v>13</v>
      </c>
      <c r="E957">
        <v>128.62</v>
      </c>
      <c r="F957">
        <v>24.48</v>
      </c>
      <c r="G957">
        <v>0</v>
      </c>
      <c r="H957">
        <f t="shared" si="14"/>
        <v>54735.250000000029</v>
      </c>
      <c r="I957" t="str">
        <f>IF(Sheet1[[#This Row],[Month_Revenue]] &lt; AVERAGE(Sheet1[Month_Revenue]), "Off-Peak", "Peak")</f>
        <v>Off-Peak</v>
      </c>
      <c r="J957">
        <f xml:space="preserve"> IF(Sheet1[[#This Row],[Ad Spend]] &gt; 0, (Sheet1[[#This Row],[Profit]] / Sheet1[[#This Row],[Ad Spend]]), 0)</f>
        <v>4.254084967320261</v>
      </c>
      <c r="K957">
        <f>Sheet1[[#This Row],[Revenue]]-Sheet1[[#This Row],[Ad Spend]]</f>
        <v>104.14</v>
      </c>
      <c r="L957" s="2" t="s">
        <v>22</v>
      </c>
      <c r="M957">
        <v>3</v>
      </c>
      <c r="N957" s="2" t="s">
        <v>19</v>
      </c>
      <c r="O957">
        <v>0</v>
      </c>
    </row>
    <row r="958" spans="1:15" x14ac:dyDescent="0.3">
      <c r="A958" s="1">
        <v>45296</v>
      </c>
      <c r="B958" s="2" t="s">
        <v>24</v>
      </c>
      <c r="C958" s="2" t="s">
        <v>21</v>
      </c>
      <c r="D958" s="2" t="s">
        <v>18</v>
      </c>
      <c r="E958">
        <v>39.99</v>
      </c>
      <c r="F958">
        <v>22.68</v>
      </c>
      <c r="G958">
        <v>0</v>
      </c>
      <c r="H958">
        <f t="shared" si="14"/>
        <v>61207.979999999989</v>
      </c>
      <c r="I958" t="str">
        <f>IF(Sheet1[[#This Row],[Month_Revenue]] &lt; AVERAGE(Sheet1[Month_Revenue]), "Off-Peak", "Peak")</f>
        <v>Peak</v>
      </c>
      <c r="J958">
        <f xml:space="preserve"> IF(Sheet1[[#This Row],[Ad Spend]] &gt; 0, (Sheet1[[#This Row],[Profit]] / Sheet1[[#This Row],[Ad Spend]]), 0)</f>
        <v>0.76322751322751337</v>
      </c>
      <c r="K958">
        <f>Sheet1[[#This Row],[Revenue]]-Sheet1[[#This Row],[Ad Spend]]</f>
        <v>17.310000000000002</v>
      </c>
      <c r="L958" s="2" t="s">
        <v>22</v>
      </c>
      <c r="M958">
        <v>1</v>
      </c>
      <c r="N958" s="2" t="s">
        <v>15</v>
      </c>
      <c r="O958">
        <v>0</v>
      </c>
    </row>
    <row r="959" spans="1:15" x14ac:dyDescent="0.3">
      <c r="A959" s="1">
        <v>45307</v>
      </c>
      <c r="B959" s="2" t="s">
        <v>16</v>
      </c>
      <c r="C959" s="2" t="s">
        <v>17</v>
      </c>
      <c r="D959" s="2" t="s">
        <v>18</v>
      </c>
      <c r="E959">
        <v>77.61</v>
      </c>
      <c r="F959">
        <v>28.9</v>
      </c>
      <c r="G959">
        <v>2</v>
      </c>
      <c r="H959">
        <f t="shared" si="14"/>
        <v>61207.979999999989</v>
      </c>
      <c r="I959" t="str">
        <f>IF(Sheet1[[#This Row],[Month_Revenue]] &lt; AVERAGE(Sheet1[Month_Revenue]), "Off-Peak", "Peak")</f>
        <v>Peak</v>
      </c>
      <c r="J959">
        <f xml:space="preserve"> IF(Sheet1[[#This Row],[Ad Spend]] &gt; 0, (Sheet1[[#This Row],[Profit]] / Sheet1[[#This Row],[Ad Spend]]), 0)</f>
        <v>1.6854671280276818</v>
      </c>
      <c r="K959">
        <f>Sheet1[[#This Row],[Revenue]]-Sheet1[[#This Row],[Ad Spend]]</f>
        <v>48.71</v>
      </c>
      <c r="L959" s="2" t="s">
        <v>22</v>
      </c>
      <c r="M959">
        <v>1</v>
      </c>
      <c r="N959" s="2" t="s">
        <v>15</v>
      </c>
      <c r="O959">
        <v>38.805</v>
      </c>
    </row>
    <row r="960" spans="1:15" x14ac:dyDescent="0.3">
      <c r="A960" s="1">
        <v>45364</v>
      </c>
      <c r="B960" s="2" t="s">
        <v>20</v>
      </c>
      <c r="C960" s="2" t="s">
        <v>21</v>
      </c>
      <c r="D960" s="2" t="s">
        <v>18</v>
      </c>
      <c r="E960">
        <v>99.51</v>
      </c>
      <c r="F960">
        <v>18.2</v>
      </c>
      <c r="G960">
        <v>3</v>
      </c>
      <c r="H960">
        <f t="shared" si="14"/>
        <v>54735.250000000029</v>
      </c>
      <c r="I960" t="str">
        <f>IF(Sheet1[[#This Row],[Month_Revenue]] &lt; AVERAGE(Sheet1[Month_Revenue]), "Off-Peak", "Peak")</f>
        <v>Off-Peak</v>
      </c>
      <c r="J960">
        <f xml:space="preserve"> IF(Sheet1[[#This Row],[Ad Spend]] &gt; 0, (Sheet1[[#This Row],[Profit]] / Sheet1[[#This Row],[Ad Spend]]), 0)</f>
        <v>4.4675824175824177</v>
      </c>
      <c r="K960">
        <f>Sheet1[[#This Row],[Revenue]]-Sheet1[[#This Row],[Ad Spend]]</f>
        <v>81.31</v>
      </c>
      <c r="L960" s="2" t="s">
        <v>22</v>
      </c>
      <c r="M960">
        <v>3</v>
      </c>
      <c r="N960" s="2" t="s">
        <v>19</v>
      </c>
      <c r="O960">
        <v>33.17</v>
      </c>
    </row>
    <row r="961" spans="1:15" x14ac:dyDescent="0.3">
      <c r="A961" s="1">
        <v>45338</v>
      </c>
      <c r="B961" s="2" t="s">
        <v>24</v>
      </c>
      <c r="C961" s="2" t="s">
        <v>17</v>
      </c>
      <c r="D961" s="2" t="s">
        <v>18</v>
      </c>
      <c r="E961">
        <v>48.2</v>
      </c>
      <c r="F961">
        <v>30.84</v>
      </c>
      <c r="G961">
        <v>1</v>
      </c>
      <c r="H961">
        <f t="shared" si="14"/>
        <v>48675.899999999936</v>
      </c>
      <c r="I961" t="str">
        <f>IF(Sheet1[[#This Row],[Month_Revenue]] &lt; AVERAGE(Sheet1[Month_Revenue]), "Off-Peak", "Peak")</f>
        <v>Off-Peak</v>
      </c>
      <c r="J961">
        <f xml:space="preserve"> IF(Sheet1[[#This Row],[Ad Spend]] &gt; 0, (Sheet1[[#This Row],[Profit]] / Sheet1[[#This Row],[Ad Spend]]), 0)</f>
        <v>0.56290531776913111</v>
      </c>
      <c r="K961">
        <f>Sheet1[[#This Row],[Revenue]]-Sheet1[[#This Row],[Ad Spend]]</f>
        <v>17.360000000000003</v>
      </c>
      <c r="L961" s="2" t="s">
        <v>14</v>
      </c>
      <c r="M961">
        <v>2</v>
      </c>
      <c r="N961" s="2" t="s">
        <v>15</v>
      </c>
      <c r="O961">
        <v>48.2</v>
      </c>
    </row>
    <row r="962" spans="1:15" x14ac:dyDescent="0.3">
      <c r="A962" s="1">
        <v>45299</v>
      </c>
      <c r="B962" s="2" t="s">
        <v>24</v>
      </c>
      <c r="C962" s="2" t="s">
        <v>12</v>
      </c>
      <c r="D962" s="2" t="s">
        <v>13</v>
      </c>
      <c r="E962">
        <v>109.58</v>
      </c>
      <c r="F962">
        <v>4.1900000000000004</v>
      </c>
      <c r="G962">
        <v>3</v>
      </c>
      <c r="H962">
        <f t="shared" ref="H962:H1025" si="15">SUMIFS($E$2:$E$2001, $M$2:$M$2001, M962)</f>
        <v>61207.979999999989</v>
      </c>
      <c r="I962" t="str">
        <f>IF(Sheet1[[#This Row],[Month_Revenue]] &lt; AVERAGE(Sheet1[Month_Revenue]), "Off-Peak", "Peak")</f>
        <v>Peak</v>
      </c>
      <c r="J962">
        <f xml:space="preserve"> IF(Sheet1[[#This Row],[Ad Spend]] &gt; 0, (Sheet1[[#This Row],[Profit]] / Sheet1[[#This Row],[Ad Spend]]), 0)</f>
        <v>25.152744630071595</v>
      </c>
      <c r="K962">
        <f>Sheet1[[#This Row],[Revenue]]-Sheet1[[#This Row],[Ad Spend]]</f>
        <v>105.39</v>
      </c>
      <c r="L962" s="2" t="s">
        <v>22</v>
      </c>
      <c r="M962">
        <v>1</v>
      </c>
      <c r="N962" s="2" t="s">
        <v>15</v>
      </c>
      <c r="O962">
        <v>36.526666666666664</v>
      </c>
    </row>
    <row r="963" spans="1:15" x14ac:dyDescent="0.3">
      <c r="A963" s="1">
        <v>45308</v>
      </c>
      <c r="B963" s="2" t="s">
        <v>11</v>
      </c>
      <c r="C963" s="2" t="s">
        <v>12</v>
      </c>
      <c r="D963" s="2" t="s">
        <v>13</v>
      </c>
      <c r="E963">
        <v>73.430000000000007</v>
      </c>
      <c r="F963">
        <v>47.03</v>
      </c>
      <c r="G963">
        <v>2</v>
      </c>
      <c r="H963">
        <f t="shared" si="15"/>
        <v>61207.979999999989</v>
      </c>
      <c r="I963" t="str">
        <f>IF(Sheet1[[#This Row],[Month_Revenue]] &lt; AVERAGE(Sheet1[Month_Revenue]), "Off-Peak", "Peak")</f>
        <v>Peak</v>
      </c>
      <c r="J963">
        <f xml:space="preserve"> IF(Sheet1[[#This Row],[Ad Spend]] &gt; 0, (Sheet1[[#This Row],[Profit]] / Sheet1[[#This Row],[Ad Spend]]), 0)</f>
        <v>0.56134382309164377</v>
      </c>
      <c r="K963">
        <f>Sheet1[[#This Row],[Revenue]]-Sheet1[[#This Row],[Ad Spend]]</f>
        <v>26.400000000000006</v>
      </c>
      <c r="L963" s="2" t="s">
        <v>14</v>
      </c>
      <c r="M963">
        <v>1</v>
      </c>
      <c r="N963" s="2" t="s">
        <v>15</v>
      </c>
      <c r="O963">
        <v>36.715000000000003</v>
      </c>
    </row>
    <row r="964" spans="1:15" x14ac:dyDescent="0.3">
      <c r="A964" s="1">
        <v>45346</v>
      </c>
      <c r="B964" s="2" t="s">
        <v>20</v>
      </c>
      <c r="C964" s="2" t="s">
        <v>12</v>
      </c>
      <c r="D964" s="2" t="s">
        <v>13</v>
      </c>
      <c r="E964">
        <v>37.880000000000003</v>
      </c>
      <c r="F964">
        <v>9.16</v>
      </c>
      <c r="G964">
        <v>2</v>
      </c>
      <c r="H964">
        <f t="shared" si="15"/>
        <v>48675.899999999936</v>
      </c>
      <c r="I964" t="str">
        <f>IF(Sheet1[[#This Row],[Month_Revenue]] &lt; AVERAGE(Sheet1[Month_Revenue]), "Off-Peak", "Peak")</f>
        <v>Off-Peak</v>
      </c>
      <c r="J964">
        <f xml:space="preserve"> IF(Sheet1[[#This Row],[Ad Spend]] &gt; 0, (Sheet1[[#This Row],[Profit]] / Sheet1[[#This Row],[Ad Spend]]), 0)</f>
        <v>3.1353711790393017</v>
      </c>
      <c r="K964">
        <f>Sheet1[[#This Row],[Revenue]]-Sheet1[[#This Row],[Ad Spend]]</f>
        <v>28.720000000000002</v>
      </c>
      <c r="L964" s="2" t="s">
        <v>22</v>
      </c>
      <c r="M964">
        <v>2</v>
      </c>
      <c r="N964" s="2" t="s">
        <v>15</v>
      </c>
      <c r="O964">
        <v>18.940000000000001</v>
      </c>
    </row>
    <row r="965" spans="1:15" x14ac:dyDescent="0.3">
      <c r="A965" s="1">
        <v>45402</v>
      </c>
      <c r="B965" s="2" t="s">
        <v>20</v>
      </c>
      <c r="C965" s="2" t="s">
        <v>21</v>
      </c>
      <c r="D965" s="2" t="s">
        <v>18</v>
      </c>
      <c r="E965">
        <v>153.4</v>
      </c>
      <c r="F965">
        <v>25.05</v>
      </c>
      <c r="G965">
        <v>0</v>
      </c>
      <c r="H965">
        <f t="shared" si="15"/>
        <v>58562.910000000018</v>
      </c>
      <c r="I965" t="str">
        <f>IF(Sheet1[[#This Row],[Month_Revenue]] &lt; AVERAGE(Sheet1[Month_Revenue]), "Off-Peak", "Peak")</f>
        <v>Peak</v>
      </c>
      <c r="J965">
        <f xml:space="preserve"> IF(Sheet1[[#This Row],[Ad Spend]] &gt; 0, (Sheet1[[#This Row],[Profit]] / Sheet1[[#This Row],[Ad Spend]]), 0)</f>
        <v>5.1237524950099793</v>
      </c>
      <c r="K965">
        <f>Sheet1[[#This Row],[Revenue]]-Sheet1[[#This Row],[Ad Spend]]</f>
        <v>128.35</v>
      </c>
      <c r="L965" s="2" t="s">
        <v>14</v>
      </c>
      <c r="M965">
        <v>4</v>
      </c>
      <c r="N965" s="2" t="s">
        <v>19</v>
      </c>
      <c r="O965">
        <v>0</v>
      </c>
    </row>
    <row r="966" spans="1:15" x14ac:dyDescent="0.3">
      <c r="A966" s="1">
        <v>45333</v>
      </c>
      <c r="B966" s="2" t="s">
        <v>20</v>
      </c>
      <c r="C966" s="2" t="s">
        <v>12</v>
      </c>
      <c r="D966" s="2" t="s">
        <v>13</v>
      </c>
      <c r="E966">
        <v>93.8</v>
      </c>
      <c r="F966">
        <v>38.94</v>
      </c>
      <c r="G966">
        <v>3</v>
      </c>
      <c r="H966">
        <f t="shared" si="15"/>
        <v>48675.899999999936</v>
      </c>
      <c r="I966" t="str">
        <f>IF(Sheet1[[#This Row],[Month_Revenue]] &lt; AVERAGE(Sheet1[Month_Revenue]), "Off-Peak", "Peak")</f>
        <v>Off-Peak</v>
      </c>
      <c r="J966">
        <f xml:space="preserve"> IF(Sheet1[[#This Row],[Ad Spend]] &gt; 0, (Sheet1[[#This Row],[Profit]] / Sheet1[[#This Row],[Ad Spend]]), 0)</f>
        <v>1.4088341037493581</v>
      </c>
      <c r="K966">
        <f>Sheet1[[#This Row],[Revenue]]-Sheet1[[#This Row],[Ad Spend]]</f>
        <v>54.86</v>
      </c>
      <c r="L966" s="2" t="s">
        <v>22</v>
      </c>
      <c r="M966">
        <v>2</v>
      </c>
      <c r="N966" s="2" t="s">
        <v>15</v>
      </c>
      <c r="O966">
        <v>31.266666666666666</v>
      </c>
    </row>
    <row r="967" spans="1:15" x14ac:dyDescent="0.3">
      <c r="A967" s="1">
        <v>45327</v>
      </c>
      <c r="B967" s="2" t="s">
        <v>11</v>
      </c>
      <c r="C967" s="2" t="s">
        <v>17</v>
      </c>
      <c r="D967" s="2" t="s">
        <v>18</v>
      </c>
      <c r="E967">
        <v>170.47</v>
      </c>
      <c r="F967">
        <v>14.56</v>
      </c>
      <c r="G967">
        <v>3</v>
      </c>
      <c r="H967">
        <f t="shared" si="15"/>
        <v>48675.899999999936</v>
      </c>
      <c r="I967" t="str">
        <f>IF(Sheet1[[#This Row],[Month_Revenue]] &lt; AVERAGE(Sheet1[Month_Revenue]), "Off-Peak", "Peak")</f>
        <v>Off-Peak</v>
      </c>
      <c r="J967">
        <f xml:space="preserve"> IF(Sheet1[[#This Row],[Ad Spend]] &gt; 0, (Sheet1[[#This Row],[Profit]] / Sheet1[[#This Row],[Ad Spend]]), 0)</f>
        <v>10.708104395604394</v>
      </c>
      <c r="K967">
        <f>Sheet1[[#This Row],[Revenue]]-Sheet1[[#This Row],[Ad Spend]]</f>
        <v>155.91</v>
      </c>
      <c r="L967" s="2" t="s">
        <v>22</v>
      </c>
      <c r="M967">
        <v>2</v>
      </c>
      <c r="N967" s="2" t="s">
        <v>15</v>
      </c>
      <c r="O967">
        <v>56.823333333333331</v>
      </c>
    </row>
    <row r="968" spans="1:15" x14ac:dyDescent="0.3">
      <c r="A968" s="1">
        <v>45382</v>
      </c>
      <c r="B968" s="2" t="s">
        <v>23</v>
      </c>
      <c r="C968" s="2" t="s">
        <v>21</v>
      </c>
      <c r="D968" s="2" t="s">
        <v>13</v>
      </c>
      <c r="E968">
        <v>151.52000000000001</v>
      </c>
      <c r="F968">
        <v>41.58</v>
      </c>
      <c r="G968">
        <v>0</v>
      </c>
      <c r="H968">
        <f t="shared" si="15"/>
        <v>54735.250000000029</v>
      </c>
      <c r="I968" t="str">
        <f>IF(Sheet1[[#This Row],[Month_Revenue]] &lt; AVERAGE(Sheet1[Month_Revenue]), "Off-Peak", "Peak")</f>
        <v>Off-Peak</v>
      </c>
      <c r="J968">
        <f xml:space="preserve"> IF(Sheet1[[#This Row],[Ad Spend]] &gt; 0, (Sheet1[[#This Row],[Profit]] / Sheet1[[#This Row],[Ad Spend]]), 0)</f>
        <v>2.6440596440596447</v>
      </c>
      <c r="K968">
        <f>Sheet1[[#This Row],[Revenue]]-Sheet1[[#This Row],[Ad Spend]]</f>
        <v>109.94000000000001</v>
      </c>
      <c r="L968" s="2" t="s">
        <v>14</v>
      </c>
      <c r="M968">
        <v>3</v>
      </c>
      <c r="N968" s="2" t="s">
        <v>19</v>
      </c>
      <c r="O968">
        <v>0</v>
      </c>
    </row>
    <row r="969" spans="1:15" x14ac:dyDescent="0.3">
      <c r="A969" s="1">
        <v>45367</v>
      </c>
      <c r="B969" s="2" t="s">
        <v>24</v>
      </c>
      <c r="C969" s="2" t="s">
        <v>21</v>
      </c>
      <c r="D969" s="2" t="s">
        <v>18</v>
      </c>
      <c r="E969">
        <v>161.08000000000001</v>
      </c>
      <c r="F969">
        <v>45.18</v>
      </c>
      <c r="G969">
        <v>3</v>
      </c>
      <c r="H969">
        <f t="shared" si="15"/>
        <v>54735.250000000029</v>
      </c>
      <c r="I969" t="str">
        <f>IF(Sheet1[[#This Row],[Month_Revenue]] &lt; AVERAGE(Sheet1[Month_Revenue]), "Off-Peak", "Peak")</f>
        <v>Off-Peak</v>
      </c>
      <c r="J969">
        <f xml:space="preserve"> IF(Sheet1[[#This Row],[Ad Spend]] &gt; 0, (Sheet1[[#This Row],[Profit]] / Sheet1[[#This Row],[Ad Spend]]), 0)</f>
        <v>2.5652943780433821</v>
      </c>
      <c r="K969">
        <f>Sheet1[[#This Row],[Revenue]]-Sheet1[[#This Row],[Ad Spend]]</f>
        <v>115.9</v>
      </c>
      <c r="L969" s="2" t="s">
        <v>22</v>
      </c>
      <c r="M969">
        <v>3</v>
      </c>
      <c r="N969" s="2" t="s">
        <v>19</v>
      </c>
      <c r="O969">
        <v>53.693333333333335</v>
      </c>
    </row>
    <row r="970" spans="1:15" x14ac:dyDescent="0.3">
      <c r="A970" s="1">
        <v>45313</v>
      </c>
      <c r="B970" s="2" t="s">
        <v>20</v>
      </c>
      <c r="C970" s="2" t="s">
        <v>17</v>
      </c>
      <c r="D970" s="2" t="s">
        <v>13</v>
      </c>
      <c r="E970">
        <v>110.18</v>
      </c>
      <c r="F970">
        <v>34.75</v>
      </c>
      <c r="G970">
        <v>2</v>
      </c>
      <c r="H970">
        <f t="shared" si="15"/>
        <v>61207.979999999989</v>
      </c>
      <c r="I970" t="str">
        <f>IF(Sheet1[[#This Row],[Month_Revenue]] &lt; AVERAGE(Sheet1[Month_Revenue]), "Off-Peak", "Peak")</f>
        <v>Peak</v>
      </c>
      <c r="J970">
        <f xml:space="preserve"> IF(Sheet1[[#This Row],[Ad Spend]] &gt; 0, (Sheet1[[#This Row],[Profit]] / Sheet1[[#This Row],[Ad Spend]]), 0)</f>
        <v>2.1706474820143886</v>
      </c>
      <c r="K970">
        <f>Sheet1[[#This Row],[Revenue]]-Sheet1[[#This Row],[Ad Spend]]</f>
        <v>75.430000000000007</v>
      </c>
      <c r="L970" s="2" t="s">
        <v>14</v>
      </c>
      <c r="M970">
        <v>1</v>
      </c>
      <c r="N970" s="2" t="s">
        <v>15</v>
      </c>
      <c r="O970">
        <v>55.09</v>
      </c>
    </row>
    <row r="971" spans="1:15" x14ac:dyDescent="0.3">
      <c r="A971" s="1">
        <v>45300</v>
      </c>
      <c r="B971" s="2" t="s">
        <v>11</v>
      </c>
      <c r="C971" s="2" t="s">
        <v>21</v>
      </c>
      <c r="D971" s="2" t="s">
        <v>18</v>
      </c>
      <c r="E971">
        <v>183.38</v>
      </c>
      <c r="F971">
        <v>49.35</v>
      </c>
      <c r="G971">
        <v>3</v>
      </c>
      <c r="H971">
        <f t="shared" si="15"/>
        <v>61207.979999999989</v>
      </c>
      <c r="I971" t="str">
        <f>IF(Sheet1[[#This Row],[Month_Revenue]] &lt; AVERAGE(Sheet1[Month_Revenue]), "Off-Peak", "Peak")</f>
        <v>Peak</v>
      </c>
      <c r="J971">
        <f xml:space="preserve"> IF(Sheet1[[#This Row],[Ad Spend]] &gt; 0, (Sheet1[[#This Row],[Profit]] / Sheet1[[#This Row],[Ad Spend]]), 0)</f>
        <v>2.7159067882472137</v>
      </c>
      <c r="K971">
        <f>Sheet1[[#This Row],[Revenue]]-Sheet1[[#This Row],[Ad Spend]]</f>
        <v>134.03</v>
      </c>
      <c r="L971" s="2" t="s">
        <v>14</v>
      </c>
      <c r="M971">
        <v>1</v>
      </c>
      <c r="N971" s="2" t="s">
        <v>15</v>
      </c>
      <c r="O971">
        <v>61.126666666666665</v>
      </c>
    </row>
    <row r="972" spans="1:15" x14ac:dyDescent="0.3">
      <c r="A972" s="1">
        <v>45396</v>
      </c>
      <c r="B972" s="2" t="s">
        <v>16</v>
      </c>
      <c r="C972" s="2" t="s">
        <v>17</v>
      </c>
      <c r="D972" s="2" t="s">
        <v>13</v>
      </c>
      <c r="E972">
        <v>38</v>
      </c>
      <c r="F972">
        <v>29.63</v>
      </c>
      <c r="G972">
        <v>3</v>
      </c>
      <c r="H972">
        <f t="shared" si="15"/>
        <v>58562.910000000018</v>
      </c>
      <c r="I972" t="str">
        <f>IF(Sheet1[[#This Row],[Month_Revenue]] &lt; AVERAGE(Sheet1[Month_Revenue]), "Off-Peak", "Peak")</f>
        <v>Peak</v>
      </c>
      <c r="J972">
        <f xml:space="preserve"> IF(Sheet1[[#This Row],[Ad Spend]] &gt; 0, (Sheet1[[#This Row],[Profit]] / Sheet1[[#This Row],[Ad Spend]]), 0)</f>
        <v>0.28248396895038819</v>
      </c>
      <c r="K972">
        <f>Sheet1[[#This Row],[Revenue]]-Sheet1[[#This Row],[Ad Spend]]</f>
        <v>8.370000000000001</v>
      </c>
      <c r="L972" s="2" t="s">
        <v>22</v>
      </c>
      <c r="M972">
        <v>4</v>
      </c>
      <c r="N972" s="2" t="s">
        <v>19</v>
      </c>
      <c r="O972">
        <v>12.666666666666666</v>
      </c>
    </row>
    <row r="973" spans="1:15" x14ac:dyDescent="0.3">
      <c r="A973" s="1">
        <v>45379</v>
      </c>
      <c r="B973" s="2" t="s">
        <v>20</v>
      </c>
      <c r="C973" s="2" t="s">
        <v>21</v>
      </c>
      <c r="D973" s="2" t="s">
        <v>13</v>
      </c>
      <c r="E973">
        <v>162.91</v>
      </c>
      <c r="F973">
        <v>32.6</v>
      </c>
      <c r="G973">
        <v>1</v>
      </c>
      <c r="H973">
        <f t="shared" si="15"/>
        <v>54735.250000000029</v>
      </c>
      <c r="I973" t="str">
        <f>IF(Sheet1[[#This Row],[Month_Revenue]] &lt; AVERAGE(Sheet1[Month_Revenue]), "Off-Peak", "Peak")</f>
        <v>Off-Peak</v>
      </c>
      <c r="J973">
        <f xml:space="preserve"> IF(Sheet1[[#This Row],[Ad Spend]] &gt; 0, (Sheet1[[#This Row],[Profit]] / Sheet1[[#This Row],[Ad Spend]]), 0)</f>
        <v>3.9972392638036807</v>
      </c>
      <c r="K973">
        <f>Sheet1[[#This Row],[Revenue]]-Sheet1[[#This Row],[Ad Spend]]</f>
        <v>130.31</v>
      </c>
      <c r="L973" s="2" t="s">
        <v>22</v>
      </c>
      <c r="M973">
        <v>3</v>
      </c>
      <c r="N973" s="2" t="s">
        <v>19</v>
      </c>
      <c r="O973">
        <v>162.91</v>
      </c>
    </row>
    <row r="974" spans="1:15" x14ac:dyDescent="0.3">
      <c r="A974" s="1">
        <v>45351</v>
      </c>
      <c r="B974" s="2" t="s">
        <v>16</v>
      </c>
      <c r="C974" s="2" t="s">
        <v>17</v>
      </c>
      <c r="D974" s="2" t="s">
        <v>13</v>
      </c>
      <c r="E974">
        <v>143.43</v>
      </c>
      <c r="F974">
        <v>7.46</v>
      </c>
      <c r="G974">
        <v>3</v>
      </c>
      <c r="H974">
        <f t="shared" si="15"/>
        <v>48675.899999999936</v>
      </c>
      <c r="I974" t="str">
        <f>IF(Sheet1[[#This Row],[Month_Revenue]] &lt; AVERAGE(Sheet1[Month_Revenue]), "Off-Peak", "Peak")</f>
        <v>Off-Peak</v>
      </c>
      <c r="J974">
        <f xml:space="preserve"> IF(Sheet1[[#This Row],[Ad Spend]] &gt; 0, (Sheet1[[#This Row],[Profit]] / Sheet1[[#This Row],[Ad Spend]]), 0)</f>
        <v>18.226541554959784</v>
      </c>
      <c r="K974">
        <f>Sheet1[[#This Row],[Revenue]]-Sheet1[[#This Row],[Ad Spend]]</f>
        <v>135.97</v>
      </c>
      <c r="L974" s="2" t="s">
        <v>22</v>
      </c>
      <c r="M974">
        <v>2</v>
      </c>
      <c r="N974" s="2" t="s">
        <v>15</v>
      </c>
      <c r="O974">
        <v>47.81</v>
      </c>
    </row>
    <row r="975" spans="1:15" x14ac:dyDescent="0.3">
      <c r="A975" s="1">
        <v>45379</v>
      </c>
      <c r="B975" s="2" t="s">
        <v>24</v>
      </c>
      <c r="C975" s="2" t="s">
        <v>17</v>
      </c>
      <c r="D975" s="2" t="s">
        <v>18</v>
      </c>
      <c r="E975">
        <v>149.69999999999999</v>
      </c>
      <c r="F975">
        <v>7.84</v>
      </c>
      <c r="G975">
        <v>3</v>
      </c>
      <c r="H975">
        <f t="shared" si="15"/>
        <v>54735.250000000029</v>
      </c>
      <c r="I975" t="str">
        <f>IF(Sheet1[[#This Row],[Month_Revenue]] &lt; AVERAGE(Sheet1[Month_Revenue]), "Off-Peak", "Peak")</f>
        <v>Off-Peak</v>
      </c>
      <c r="J975">
        <f xml:space="preserve"> IF(Sheet1[[#This Row],[Ad Spend]] &gt; 0, (Sheet1[[#This Row],[Profit]] / Sheet1[[#This Row],[Ad Spend]]), 0)</f>
        <v>18.094387755102041</v>
      </c>
      <c r="K975">
        <f>Sheet1[[#This Row],[Revenue]]-Sheet1[[#This Row],[Ad Spend]]</f>
        <v>141.85999999999999</v>
      </c>
      <c r="L975" s="2" t="s">
        <v>22</v>
      </c>
      <c r="M975">
        <v>3</v>
      </c>
      <c r="N975" s="2" t="s">
        <v>19</v>
      </c>
      <c r="O975">
        <v>49.9</v>
      </c>
    </row>
    <row r="976" spans="1:15" x14ac:dyDescent="0.3">
      <c r="A976" s="1">
        <v>45299</v>
      </c>
      <c r="B976" s="2" t="s">
        <v>24</v>
      </c>
      <c r="C976" s="2" t="s">
        <v>12</v>
      </c>
      <c r="D976" s="2" t="s">
        <v>13</v>
      </c>
      <c r="E976">
        <v>89.91</v>
      </c>
      <c r="F976">
        <v>6.35</v>
      </c>
      <c r="G976">
        <v>3</v>
      </c>
      <c r="H976">
        <f t="shared" si="15"/>
        <v>61207.979999999989</v>
      </c>
      <c r="I976" t="str">
        <f>IF(Sheet1[[#This Row],[Month_Revenue]] &lt; AVERAGE(Sheet1[Month_Revenue]), "Off-Peak", "Peak")</f>
        <v>Peak</v>
      </c>
      <c r="J976">
        <f xml:space="preserve"> IF(Sheet1[[#This Row],[Ad Spend]] &gt; 0, (Sheet1[[#This Row],[Profit]] / Sheet1[[#This Row],[Ad Spend]]), 0)</f>
        <v>13.159055118110237</v>
      </c>
      <c r="K976">
        <f>Sheet1[[#This Row],[Revenue]]-Sheet1[[#This Row],[Ad Spend]]</f>
        <v>83.56</v>
      </c>
      <c r="L976" s="2" t="s">
        <v>22</v>
      </c>
      <c r="M976">
        <v>1</v>
      </c>
      <c r="N976" s="2" t="s">
        <v>15</v>
      </c>
      <c r="O976">
        <v>29.97</v>
      </c>
    </row>
    <row r="977" spans="1:15" x14ac:dyDescent="0.3">
      <c r="A977" s="1">
        <v>45371</v>
      </c>
      <c r="B977" s="2" t="s">
        <v>16</v>
      </c>
      <c r="C977" s="2" t="s">
        <v>12</v>
      </c>
      <c r="D977" s="2" t="s">
        <v>13</v>
      </c>
      <c r="E977">
        <v>97.69</v>
      </c>
      <c r="F977">
        <v>10.49</v>
      </c>
      <c r="G977">
        <v>0</v>
      </c>
      <c r="H977">
        <f t="shared" si="15"/>
        <v>54735.250000000029</v>
      </c>
      <c r="I977" t="str">
        <f>IF(Sheet1[[#This Row],[Month_Revenue]] &lt; AVERAGE(Sheet1[Month_Revenue]), "Off-Peak", "Peak")</f>
        <v>Off-Peak</v>
      </c>
      <c r="J977">
        <f xml:space="preserve"> IF(Sheet1[[#This Row],[Ad Spend]] &gt; 0, (Sheet1[[#This Row],[Profit]] / Sheet1[[#This Row],[Ad Spend]]), 0)</f>
        <v>8.312678741658722</v>
      </c>
      <c r="K977">
        <f>Sheet1[[#This Row],[Revenue]]-Sheet1[[#This Row],[Ad Spend]]</f>
        <v>87.2</v>
      </c>
      <c r="L977" s="2" t="s">
        <v>14</v>
      </c>
      <c r="M977">
        <v>3</v>
      </c>
      <c r="N977" s="2" t="s">
        <v>19</v>
      </c>
      <c r="O977">
        <v>0</v>
      </c>
    </row>
    <row r="978" spans="1:15" x14ac:dyDescent="0.3">
      <c r="A978" s="1">
        <v>45308</v>
      </c>
      <c r="B978" s="2" t="s">
        <v>24</v>
      </c>
      <c r="C978" s="2" t="s">
        <v>12</v>
      </c>
      <c r="D978" s="2" t="s">
        <v>18</v>
      </c>
      <c r="E978">
        <v>126.98</v>
      </c>
      <c r="F978">
        <v>23.91</v>
      </c>
      <c r="G978">
        <v>0</v>
      </c>
      <c r="H978">
        <f t="shared" si="15"/>
        <v>61207.979999999989</v>
      </c>
      <c r="I978" t="str">
        <f>IF(Sheet1[[#This Row],[Month_Revenue]] &lt; AVERAGE(Sheet1[Month_Revenue]), "Off-Peak", "Peak")</f>
        <v>Peak</v>
      </c>
      <c r="J978">
        <f xml:space="preserve"> IF(Sheet1[[#This Row],[Ad Spend]] &gt; 0, (Sheet1[[#This Row],[Profit]] / Sheet1[[#This Row],[Ad Spend]]), 0)</f>
        <v>4.3107486407360938</v>
      </c>
      <c r="K978">
        <f>Sheet1[[#This Row],[Revenue]]-Sheet1[[#This Row],[Ad Spend]]</f>
        <v>103.07000000000001</v>
      </c>
      <c r="L978" s="2" t="s">
        <v>14</v>
      </c>
      <c r="M978">
        <v>1</v>
      </c>
      <c r="N978" s="2" t="s">
        <v>15</v>
      </c>
      <c r="O978">
        <v>0</v>
      </c>
    </row>
    <row r="979" spans="1:15" x14ac:dyDescent="0.3">
      <c r="A979" s="1">
        <v>45369</v>
      </c>
      <c r="B979" s="2" t="s">
        <v>24</v>
      </c>
      <c r="C979" s="2" t="s">
        <v>21</v>
      </c>
      <c r="D979" s="2" t="s">
        <v>13</v>
      </c>
      <c r="E979">
        <v>114.1</v>
      </c>
      <c r="F979">
        <v>19.309999999999999</v>
      </c>
      <c r="G979">
        <v>3</v>
      </c>
      <c r="H979">
        <f t="shared" si="15"/>
        <v>54735.250000000029</v>
      </c>
      <c r="I979" t="str">
        <f>IF(Sheet1[[#This Row],[Month_Revenue]] &lt; AVERAGE(Sheet1[Month_Revenue]), "Off-Peak", "Peak")</f>
        <v>Off-Peak</v>
      </c>
      <c r="J979">
        <f xml:space="preserve"> IF(Sheet1[[#This Row],[Ad Spend]] &gt; 0, (Sheet1[[#This Row],[Profit]] / Sheet1[[#This Row],[Ad Spend]]), 0)</f>
        <v>4.9088555152770583</v>
      </c>
      <c r="K979">
        <f>Sheet1[[#This Row],[Revenue]]-Sheet1[[#This Row],[Ad Spend]]</f>
        <v>94.789999999999992</v>
      </c>
      <c r="L979" s="2" t="s">
        <v>22</v>
      </c>
      <c r="M979">
        <v>3</v>
      </c>
      <c r="N979" s="2" t="s">
        <v>19</v>
      </c>
      <c r="O979">
        <v>38.033333333333331</v>
      </c>
    </row>
    <row r="980" spans="1:15" x14ac:dyDescent="0.3">
      <c r="A980" s="1">
        <v>45372</v>
      </c>
      <c r="B980" s="2" t="s">
        <v>24</v>
      </c>
      <c r="C980" s="2" t="s">
        <v>21</v>
      </c>
      <c r="D980" s="2" t="s">
        <v>13</v>
      </c>
      <c r="E980">
        <v>45.78</v>
      </c>
      <c r="F980">
        <v>25.7</v>
      </c>
      <c r="G980">
        <v>0</v>
      </c>
      <c r="H980">
        <f t="shared" si="15"/>
        <v>54735.250000000029</v>
      </c>
      <c r="I980" t="str">
        <f>IF(Sheet1[[#This Row],[Month_Revenue]] &lt; AVERAGE(Sheet1[Month_Revenue]), "Off-Peak", "Peak")</f>
        <v>Off-Peak</v>
      </c>
      <c r="J980">
        <f xml:space="preserve"> IF(Sheet1[[#This Row],[Ad Spend]] &gt; 0, (Sheet1[[#This Row],[Profit]] / Sheet1[[#This Row],[Ad Spend]]), 0)</f>
        <v>0.78132295719844369</v>
      </c>
      <c r="K980">
        <f>Sheet1[[#This Row],[Revenue]]-Sheet1[[#This Row],[Ad Spend]]</f>
        <v>20.080000000000002</v>
      </c>
      <c r="L980" s="2" t="s">
        <v>22</v>
      </c>
      <c r="M980">
        <v>3</v>
      </c>
      <c r="N980" s="2" t="s">
        <v>19</v>
      </c>
      <c r="O980">
        <v>0</v>
      </c>
    </row>
    <row r="981" spans="1:15" x14ac:dyDescent="0.3">
      <c r="A981" s="1">
        <v>45350</v>
      </c>
      <c r="B981" s="2" t="s">
        <v>23</v>
      </c>
      <c r="C981" s="2" t="s">
        <v>12</v>
      </c>
      <c r="D981" s="2" t="s">
        <v>18</v>
      </c>
      <c r="E981">
        <v>53.87</v>
      </c>
      <c r="F981">
        <v>35.46</v>
      </c>
      <c r="G981">
        <v>0</v>
      </c>
      <c r="H981">
        <f t="shared" si="15"/>
        <v>48675.899999999936</v>
      </c>
      <c r="I981" t="str">
        <f>IF(Sheet1[[#This Row],[Month_Revenue]] &lt; AVERAGE(Sheet1[Month_Revenue]), "Off-Peak", "Peak")</f>
        <v>Off-Peak</v>
      </c>
      <c r="J981">
        <f xml:space="preserve"> IF(Sheet1[[#This Row],[Ad Spend]] &gt; 0, (Sheet1[[#This Row],[Profit]] / Sheet1[[#This Row],[Ad Spend]]), 0)</f>
        <v>0.51917653694303434</v>
      </c>
      <c r="K981">
        <f>Sheet1[[#This Row],[Revenue]]-Sheet1[[#This Row],[Ad Spend]]</f>
        <v>18.409999999999997</v>
      </c>
      <c r="L981" s="2" t="s">
        <v>14</v>
      </c>
      <c r="M981">
        <v>2</v>
      </c>
      <c r="N981" s="2" t="s">
        <v>15</v>
      </c>
      <c r="O981">
        <v>0</v>
      </c>
    </row>
    <row r="982" spans="1:15" x14ac:dyDescent="0.3">
      <c r="A982" s="1">
        <v>45306</v>
      </c>
      <c r="B982" s="2" t="s">
        <v>16</v>
      </c>
      <c r="C982" s="2" t="s">
        <v>12</v>
      </c>
      <c r="D982" s="2" t="s">
        <v>18</v>
      </c>
      <c r="E982">
        <v>175.52</v>
      </c>
      <c r="F982">
        <v>38.369999999999997</v>
      </c>
      <c r="G982">
        <v>3</v>
      </c>
      <c r="H982">
        <f t="shared" si="15"/>
        <v>61207.979999999989</v>
      </c>
      <c r="I982" t="str">
        <f>IF(Sheet1[[#This Row],[Month_Revenue]] &lt; AVERAGE(Sheet1[Month_Revenue]), "Off-Peak", "Peak")</f>
        <v>Peak</v>
      </c>
      <c r="J982">
        <f xml:space="preserve"> IF(Sheet1[[#This Row],[Ad Spend]] &gt; 0, (Sheet1[[#This Row],[Profit]] / Sheet1[[#This Row],[Ad Spend]]), 0)</f>
        <v>3.5744070888715145</v>
      </c>
      <c r="K982">
        <f>Sheet1[[#This Row],[Revenue]]-Sheet1[[#This Row],[Ad Spend]]</f>
        <v>137.15</v>
      </c>
      <c r="L982" s="2" t="s">
        <v>14</v>
      </c>
      <c r="M982">
        <v>1</v>
      </c>
      <c r="N982" s="2" t="s">
        <v>15</v>
      </c>
      <c r="O982">
        <v>58.506666666666668</v>
      </c>
    </row>
    <row r="983" spans="1:15" x14ac:dyDescent="0.3">
      <c r="A983" s="1">
        <v>45353</v>
      </c>
      <c r="B983" s="2" t="s">
        <v>24</v>
      </c>
      <c r="C983" s="2" t="s">
        <v>12</v>
      </c>
      <c r="D983" s="2" t="s">
        <v>13</v>
      </c>
      <c r="E983">
        <v>177.33</v>
      </c>
      <c r="F983">
        <v>43.17</v>
      </c>
      <c r="G983">
        <v>0</v>
      </c>
      <c r="H983">
        <f t="shared" si="15"/>
        <v>54735.250000000029</v>
      </c>
      <c r="I983" t="str">
        <f>IF(Sheet1[[#This Row],[Month_Revenue]] &lt; AVERAGE(Sheet1[Month_Revenue]), "Off-Peak", "Peak")</f>
        <v>Off-Peak</v>
      </c>
      <c r="J983">
        <f xml:space="preserve"> IF(Sheet1[[#This Row],[Ad Spend]] &gt; 0, (Sheet1[[#This Row],[Profit]] / Sheet1[[#This Row],[Ad Spend]]), 0)</f>
        <v>3.1077136900625439</v>
      </c>
      <c r="K983">
        <f>Sheet1[[#This Row],[Revenue]]-Sheet1[[#This Row],[Ad Spend]]</f>
        <v>134.16000000000003</v>
      </c>
      <c r="L983" s="2" t="s">
        <v>22</v>
      </c>
      <c r="M983">
        <v>3</v>
      </c>
      <c r="N983" s="2" t="s">
        <v>19</v>
      </c>
      <c r="O983">
        <v>0</v>
      </c>
    </row>
    <row r="984" spans="1:15" x14ac:dyDescent="0.3">
      <c r="A984" s="1">
        <v>45376</v>
      </c>
      <c r="B984" s="2" t="s">
        <v>16</v>
      </c>
      <c r="C984" s="2" t="s">
        <v>12</v>
      </c>
      <c r="D984" s="2" t="s">
        <v>13</v>
      </c>
      <c r="E984">
        <v>50.18</v>
      </c>
      <c r="F984">
        <v>1.75</v>
      </c>
      <c r="G984">
        <v>1</v>
      </c>
      <c r="H984">
        <f t="shared" si="15"/>
        <v>54735.250000000029</v>
      </c>
      <c r="I984" t="str">
        <f>IF(Sheet1[[#This Row],[Month_Revenue]] &lt; AVERAGE(Sheet1[Month_Revenue]), "Off-Peak", "Peak")</f>
        <v>Off-Peak</v>
      </c>
      <c r="J984">
        <f xml:space="preserve"> IF(Sheet1[[#This Row],[Ad Spend]] &gt; 0, (Sheet1[[#This Row],[Profit]] / Sheet1[[#This Row],[Ad Spend]]), 0)</f>
        <v>27.674285714285713</v>
      </c>
      <c r="K984">
        <f>Sheet1[[#This Row],[Revenue]]-Sheet1[[#This Row],[Ad Spend]]</f>
        <v>48.43</v>
      </c>
      <c r="L984" s="2" t="s">
        <v>14</v>
      </c>
      <c r="M984">
        <v>3</v>
      </c>
      <c r="N984" s="2" t="s">
        <v>19</v>
      </c>
      <c r="O984">
        <v>50.18</v>
      </c>
    </row>
    <row r="985" spans="1:15" x14ac:dyDescent="0.3">
      <c r="A985" s="1">
        <v>45410</v>
      </c>
      <c r="B985" s="2" t="s">
        <v>16</v>
      </c>
      <c r="C985" s="2" t="s">
        <v>21</v>
      </c>
      <c r="D985" s="2" t="s">
        <v>13</v>
      </c>
      <c r="E985">
        <v>121.62</v>
      </c>
      <c r="F985">
        <v>44.82</v>
      </c>
      <c r="G985">
        <v>2</v>
      </c>
      <c r="H985">
        <f t="shared" si="15"/>
        <v>58562.910000000018</v>
      </c>
      <c r="I985" t="str">
        <f>IF(Sheet1[[#This Row],[Month_Revenue]] &lt; AVERAGE(Sheet1[Month_Revenue]), "Off-Peak", "Peak")</f>
        <v>Peak</v>
      </c>
      <c r="J985">
        <f xml:space="preserve"> IF(Sheet1[[#This Row],[Ad Spend]] &gt; 0, (Sheet1[[#This Row],[Profit]] / Sheet1[[#This Row],[Ad Spend]]), 0)</f>
        <v>1.7135207496653282</v>
      </c>
      <c r="K985">
        <f>Sheet1[[#This Row],[Revenue]]-Sheet1[[#This Row],[Ad Spend]]</f>
        <v>76.800000000000011</v>
      </c>
      <c r="L985" s="2" t="s">
        <v>14</v>
      </c>
      <c r="M985">
        <v>4</v>
      </c>
      <c r="N985" s="2" t="s">
        <v>19</v>
      </c>
      <c r="O985">
        <v>60.81</v>
      </c>
    </row>
    <row r="986" spans="1:15" x14ac:dyDescent="0.3">
      <c r="A986" s="1">
        <v>45370</v>
      </c>
      <c r="B986" s="2" t="s">
        <v>16</v>
      </c>
      <c r="C986" s="2" t="s">
        <v>17</v>
      </c>
      <c r="D986" s="2" t="s">
        <v>18</v>
      </c>
      <c r="E986">
        <v>160.74</v>
      </c>
      <c r="F986">
        <v>35.56</v>
      </c>
      <c r="G986">
        <v>0</v>
      </c>
      <c r="H986">
        <f t="shared" si="15"/>
        <v>54735.250000000029</v>
      </c>
      <c r="I986" t="str">
        <f>IF(Sheet1[[#This Row],[Month_Revenue]] &lt; AVERAGE(Sheet1[Month_Revenue]), "Off-Peak", "Peak")</f>
        <v>Off-Peak</v>
      </c>
      <c r="J986">
        <f xml:space="preserve"> IF(Sheet1[[#This Row],[Ad Spend]] &gt; 0, (Sheet1[[#This Row],[Profit]] / Sheet1[[#This Row],[Ad Spend]]), 0)</f>
        <v>3.5202474690663665</v>
      </c>
      <c r="K986">
        <f>Sheet1[[#This Row],[Revenue]]-Sheet1[[#This Row],[Ad Spend]]</f>
        <v>125.18</v>
      </c>
      <c r="L986" s="2" t="s">
        <v>14</v>
      </c>
      <c r="M986">
        <v>3</v>
      </c>
      <c r="N986" s="2" t="s">
        <v>19</v>
      </c>
      <c r="O986">
        <v>0</v>
      </c>
    </row>
    <row r="987" spans="1:15" x14ac:dyDescent="0.3">
      <c r="A987" s="1">
        <v>45352</v>
      </c>
      <c r="B987" s="2" t="s">
        <v>16</v>
      </c>
      <c r="C987" s="2" t="s">
        <v>17</v>
      </c>
      <c r="D987" s="2" t="s">
        <v>13</v>
      </c>
      <c r="E987">
        <v>93.95</v>
      </c>
      <c r="F987">
        <v>37.869999999999997</v>
      </c>
      <c r="G987">
        <v>3</v>
      </c>
      <c r="H987">
        <f t="shared" si="15"/>
        <v>54735.250000000029</v>
      </c>
      <c r="I987" t="str">
        <f>IF(Sheet1[[#This Row],[Month_Revenue]] &lt; AVERAGE(Sheet1[Month_Revenue]), "Off-Peak", "Peak")</f>
        <v>Off-Peak</v>
      </c>
      <c r="J987">
        <f xml:space="preserve"> IF(Sheet1[[#This Row],[Ad Spend]] &gt; 0, (Sheet1[[#This Row],[Profit]] / Sheet1[[#This Row],[Ad Spend]]), 0)</f>
        <v>1.4808555584895697</v>
      </c>
      <c r="K987">
        <f>Sheet1[[#This Row],[Revenue]]-Sheet1[[#This Row],[Ad Spend]]</f>
        <v>56.080000000000005</v>
      </c>
      <c r="L987" s="2" t="s">
        <v>22</v>
      </c>
      <c r="M987">
        <v>3</v>
      </c>
      <c r="N987" s="2" t="s">
        <v>19</v>
      </c>
      <c r="O987">
        <v>31.316666666666666</v>
      </c>
    </row>
    <row r="988" spans="1:15" x14ac:dyDescent="0.3">
      <c r="A988" s="1">
        <v>45412</v>
      </c>
      <c r="B988" s="2" t="s">
        <v>16</v>
      </c>
      <c r="C988" s="2" t="s">
        <v>17</v>
      </c>
      <c r="D988" s="2" t="s">
        <v>13</v>
      </c>
      <c r="E988">
        <v>78.260000000000005</v>
      </c>
      <c r="F988">
        <v>35.58</v>
      </c>
      <c r="G988">
        <v>0</v>
      </c>
      <c r="H988">
        <f t="shared" si="15"/>
        <v>58562.910000000018</v>
      </c>
      <c r="I988" t="str">
        <f>IF(Sheet1[[#This Row],[Month_Revenue]] &lt; AVERAGE(Sheet1[Month_Revenue]), "Off-Peak", "Peak")</f>
        <v>Peak</v>
      </c>
      <c r="J988">
        <f xml:space="preserve"> IF(Sheet1[[#This Row],[Ad Spend]] &gt; 0, (Sheet1[[#This Row],[Profit]] / Sheet1[[#This Row],[Ad Spend]]), 0)</f>
        <v>1.1995503091624511</v>
      </c>
      <c r="K988">
        <f>Sheet1[[#This Row],[Revenue]]-Sheet1[[#This Row],[Ad Spend]]</f>
        <v>42.680000000000007</v>
      </c>
      <c r="L988" s="2" t="s">
        <v>14</v>
      </c>
      <c r="M988">
        <v>4</v>
      </c>
      <c r="N988" s="2" t="s">
        <v>19</v>
      </c>
      <c r="O988">
        <v>0</v>
      </c>
    </row>
    <row r="989" spans="1:15" x14ac:dyDescent="0.3">
      <c r="A989" s="1">
        <v>45332</v>
      </c>
      <c r="B989" s="2" t="s">
        <v>24</v>
      </c>
      <c r="C989" s="2" t="s">
        <v>21</v>
      </c>
      <c r="D989" s="2" t="s">
        <v>18</v>
      </c>
      <c r="E989">
        <v>86.6</v>
      </c>
      <c r="F989">
        <v>39.43</v>
      </c>
      <c r="G989">
        <v>1</v>
      </c>
      <c r="H989">
        <f t="shared" si="15"/>
        <v>48675.899999999936</v>
      </c>
      <c r="I989" t="str">
        <f>IF(Sheet1[[#This Row],[Month_Revenue]] &lt; AVERAGE(Sheet1[Month_Revenue]), "Off-Peak", "Peak")</f>
        <v>Off-Peak</v>
      </c>
      <c r="J989">
        <f xml:space="preserve"> IF(Sheet1[[#This Row],[Ad Spend]] &gt; 0, (Sheet1[[#This Row],[Profit]] / Sheet1[[#This Row],[Ad Spend]]), 0)</f>
        <v>1.1962972356074053</v>
      </c>
      <c r="K989">
        <f>Sheet1[[#This Row],[Revenue]]-Sheet1[[#This Row],[Ad Spend]]</f>
        <v>47.169999999999995</v>
      </c>
      <c r="L989" s="2" t="s">
        <v>22</v>
      </c>
      <c r="M989">
        <v>2</v>
      </c>
      <c r="N989" s="2" t="s">
        <v>15</v>
      </c>
      <c r="O989">
        <v>86.6</v>
      </c>
    </row>
    <row r="990" spans="1:15" x14ac:dyDescent="0.3">
      <c r="A990" s="1">
        <v>45372</v>
      </c>
      <c r="B990" s="2" t="s">
        <v>23</v>
      </c>
      <c r="C990" s="2" t="s">
        <v>12</v>
      </c>
      <c r="D990" s="2" t="s">
        <v>13</v>
      </c>
      <c r="E990">
        <v>156.87</v>
      </c>
      <c r="F990">
        <v>38.29</v>
      </c>
      <c r="G990">
        <v>2</v>
      </c>
      <c r="H990">
        <f t="shared" si="15"/>
        <v>54735.250000000029</v>
      </c>
      <c r="I990" t="str">
        <f>IF(Sheet1[[#This Row],[Month_Revenue]] &lt; AVERAGE(Sheet1[Month_Revenue]), "Off-Peak", "Peak")</f>
        <v>Off-Peak</v>
      </c>
      <c r="J990">
        <f xml:space="preserve"> IF(Sheet1[[#This Row],[Ad Spend]] &gt; 0, (Sheet1[[#This Row],[Profit]] / Sheet1[[#This Row],[Ad Spend]]), 0)</f>
        <v>3.0968921389396713</v>
      </c>
      <c r="K990">
        <f>Sheet1[[#This Row],[Revenue]]-Sheet1[[#This Row],[Ad Spend]]</f>
        <v>118.58000000000001</v>
      </c>
      <c r="L990" s="2" t="s">
        <v>14</v>
      </c>
      <c r="M990">
        <v>3</v>
      </c>
      <c r="N990" s="2" t="s">
        <v>19</v>
      </c>
      <c r="O990">
        <v>78.435000000000002</v>
      </c>
    </row>
    <row r="991" spans="1:15" x14ac:dyDescent="0.3">
      <c r="A991" s="1">
        <v>45333</v>
      </c>
      <c r="B991" s="2" t="s">
        <v>24</v>
      </c>
      <c r="C991" s="2" t="s">
        <v>17</v>
      </c>
      <c r="D991" s="2" t="s">
        <v>13</v>
      </c>
      <c r="E991">
        <v>27.1</v>
      </c>
      <c r="F991">
        <v>44.88</v>
      </c>
      <c r="G991">
        <v>1</v>
      </c>
      <c r="H991">
        <f t="shared" si="15"/>
        <v>48675.899999999936</v>
      </c>
      <c r="I991" t="str">
        <f>IF(Sheet1[[#This Row],[Month_Revenue]] &lt; AVERAGE(Sheet1[Month_Revenue]), "Off-Peak", "Peak")</f>
        <v>Off-Peak</v>
      </c>
      <c r="J991">
        <f xml:space="preserve"> IF(Sheet1[[#This Row],[Ad Spend]] &gt; 0, (Sheet1[[#This Row],[Profit]] / Sheet1[[#This Row],[Ad Spend]]), 0)</f>
        <v>-0.39616755793226383</v>
      </c>
      <c r="K991">
        <f>Sheet1[[#This Row],[Revenue]]-Sheet1[[#This Row],[Ad Spend]]</f>
        <v>-17.78</v>
      </c>
      <c r="L991" s="2" t="s">
        <v>14</v>
      </c>
      <c r="M991">
        <v>2</v>
      </c>
      <c r="N991" s="2" t="s">
        <v>15</v>
      </c>
      <c r="O991">
        <v>27.1</v>
      </c>
    </row>
    <row r="992" spans="1:15" x14ac:dyDescent="0.3">
      <c r="A992" s="1">
        <v>45327</v>
      </c>
      <c r="B992" s="2" t="s">
        <v>23</v>
      </c>
      <c r="C992" s="2" t="s">
        <v>17</v>
      </c>
      <c r="D992" s="2" t="s">
        <v>13</v>
      </c>
      <c r="E992">
        <v>188.35</v>
      </c>
      <c r="F992">
        <v>16.489999999999998</v>
      </c>
      <c r="G992">
        <v>0</v>
      </c>
      <c r="H992">
        <f t="shared" si="15"/>
        <v>48675.899999999936</v>
      </c>
      <c r="I992" t="str">
        <f>IF(Sheet1[[#This Row],[Month_Revenue]] &lt; AVERAGE(Sheet1[Month_Revenue]), "Off-Peak", "Peak")</f>
        <v>Off-Peak</v>
      </c>
      <c r="J992">
        <f xml:space="preserve"> IF(Sheet1[[#This Row],[Ad Spend]] &gt; 0, (Sheet1[[#This Row],[Profit]] / Sheet1[[#This Row],[Ad Spend]]), 0)</f>
        <v>10.422073984232869</v>
      </c>
      <c r="K992">
        <f>Sheet1[[#This Row],[Revenue]]-Sheet1[[#This Row],[Ad Spend]]</f>
        <v>171.85999999999999</v>
      </c>
      <c r="L992" s="2" t="s">
        <v>22</v>
      </c>
      <c r="M992">
        <v>2</v>
      </c>
      <c r="N992" s="2" t="s">
        <v>15</v>
      </c>
      <c r="O992">
        <v>0</v>
      </c>
    </row>
    <row r="993" spans="1:15" x14ac:dyDescent="0.3">
      <c r="A993" s="1">
        <v>45407</v>
      </c>
      <c r="B993" s="2" t="s">
        <v>16</v>
      </c>
      <c r="C993" s="2" t="s">
        <v>21</v>
      </c>
      <c r="D993" s="2" t="s">
        <v>18</v>
      </c>
      <c r="E993">
        <v>154</v>
      </c>
      <c r="F993">
        <v>1.93</v>
      </c>
      <c r="G993">
        <v>1</v>
      </c>
      <c r="H993">
        <f t="shared" si="15"/>
        <v>58562.910000000018</v>
      </c>
      <c r="I993" t="str">
        <f>IF(Sheet1[[#This Row],[Month_Revenue]] &lt; AVERAGE(Sheet1[Month_Revenue]), "Off-Peak", "Peak")</f>
        <v>Peak</v>
      </c>
      <c r="J993">
        <f xml:space="preserve"> IF(Sheet1[[#This Row],[Ad Spend]] &gt; 0, (Sheet1[[#This Row],[Profit]] / Sheet1[[#This Row],[Ad Spend]]), 0)</f>
        <v>78.792746113989637</v>
      </c>
      <c r="K993">
        <f>Sheet1[[#This Row],[Revenue]]-Sheet1[[#This Row],[Ad Spend]]</f>
        <v>152.07</v>
      </c>
      <c r="L993" s="2" t="s">
        <v>14</v>
      </c>
      <c r="M993">
        <v>4</v>
      </c>
      <c r="N993" s="2" t="s">
        <v>19</v>
      </c>
      <c r="O993">
        <v>154</v>
      </c>
    </row>
    <row r="994" spans="1:15" x14ac:dyDescent="0.3">
      <c r="A994" s="1">
        <v>45380</v>
      </c>
      <c r="B994" s="2" t="s">
        <v>20</v>
      </c>
      <c r="C994" s="2" t="s">
        <v>12</v>
      </c>
      <c r="D994" s="2" t="s">
        <v>18</v>
      </c>
      <c r="E994">
        <v>111.95</v>
      </c>
      <c r="F994">
        <v>34.54</v>
      </c>
      <c r="G994">
        <v>0</v>
      </c>
      <c r="H994">
        <f t="shared" si="15"/>
        <v>54735.250000000029</v>
      </c>
      <c r="I994" t="str">
        <f>IF(Sheet1[[#This Row],[Month_Revenue]] &lt; AVERAGE(Sheet1[Month_Revenue]), "Off-Peak", "Peak")</f>
        <v>Off-Peak</v>
      </c>
      <c r="J994">
        <f xml:space="preserve"> IF(Sheet1[[#This Row],[Ad Spend]] &gt; 0, (Sheet1[[#This Row],[Profit]] / Sheet1[[#This Row],[Ad Spend]]), 0)</f>
        <v>2.2411696583671104</v>
      </c>
      <c r="K994">
        <f>Sheet1[[#This Row],[Revenue]]-Sheet1[[#This Row],[Ad Spend]]</f>
        <v>77.41</v>
      </c>
      <c r="L994" s="2" t="s">
        <v>22</v>
      </c>
      <c r="M994">
        <v>3</v>
      </c>
      <c r="N994" s="2" t="s">
        <v>19</v>
      </c>
      <c r="O994">
        <v>0</v>
      </c>
    </row>
    <row r="995" spans="1:15" x14ac:dyDescent="0.3">
      <c r="A995" s="1">
        <v>45380</v>
      </c>
      <c r="B995" s="2" t="s">
        <v>16</v>
      </c>
      <c r="C995" s="2" t="s">
        <v>12</v>
      </c>
      <c r="D995" s="2" t="s">
        <v>13</v>
      </c>
      <c r="E995">
        <v>42.65</v>
      </c>
      <c r="F995">
        <v>23.49</v>
      </c>
      <c r="G995">
        <v>2</v>
      </c>
      <c r="H995">
        <f t="shared" si="15"/>
        <v>54735.250000000029</v>
      </c>
      <c r="I995" t="str">
        <f>IF(Sheet1[[#This Row],[Month_Revenue]] &lt; AVERAGE(Sheet1[Month_Revenue]), "Off-Peak", "Peak")</f>
        <v>Off-Peak</v>
      </c>
      <c r="J995">
        <f xml:space="preserve"> IF(Sheet1[[#This Row],[Ad Spend]] &gt; 0, (Sheet1[[#This Row],[Profit]] / Sheet1[[#This Row],[Ad Spend]]), 0)</f>
        <v>0.8156662409535973</v>
      </c>
      <c r="K995">
        <f>Sheet1[[#This Row],[Revenue]]-Sheet1[[#This Row],[Ad Spend]]</f>
        <v>19.16</v>
      </c>
      <c r="L995" s="2" t="s">
        <v>22</v>
      </c>
      <c r="M995">
        <v>3</v>
      </c>
      <c r="N995" s="2" t="s">
        <v>19</v>
      </c>
      <c r="O995">
        <v>21.324999999999999</v>
      </c>
    </row>
    <row r="996" spans="1:15" x14ac:dyDescent="0.3">
      <c r="A996" s="1">
        <v>45347</v>
      </c>
      <c r="B996" s="2" t="s">
        <v>24</v>
      </c>
      <c r="C996" s="2" t="s">
        <v>17</v>
      </c>
      <c r="D996" s="2" t="s">
        <v>18</v>
      </c>
      <c r="E996">
        <v>33.86</v>
      </c>
      <c r="F996">
        <v>10.55</v>
      </c>
      <c r="G996">
        <v>1</v>
      </c>
      <c r="H996">
        <f t="shared" si="15"/>
        <v>48675.899999999936</v>
      </c>
      <c r="I996" t="str">
        <f>IF(Sheet1[[#This Row],[Month_Revenue]] &lt; AVERAGE(Sheet1[Month_Revenue]), "Off-Peak", "Peak")</f>
        <v>Off-Peak</v>
      </c>
      <c r="J996">
        <f xml:space="preserve"> IF(Sheet1[[#This Row],[Ad Spend]] &gt; 0, (Sheet1[[#This Row],[Profit]] / Sheet1[[#This Row],[Ad Spend]]), 0)</f>
        <v>2.2094786729857816</v>
      </c>
      <c r="K996">
        <f>Sheet1[[#This Row],[Revenue]]-Sheet1[[#This Row],[Ad Spend]]</f>
        <v>23.31</v>
      </c>
      <c r="L996" s="2" t="s">
        <v>22</v>
      </c>
      <c r="M996">
        <v>2</v>
      </c>
      <c r="N996" s="2" t="s">
        <v>15</v>
      </c>
      <c r="O996">
        <v>33.86</v>
      </c>
    </row>
    <row r="997" spans="1:15" x14ac:dyDescent="0.3">
      <c r="A997" s="1">
        <v>45347</v>
      </c>
      <c r="B997" s="2" t="s">
        <v>23</v>
      </c>
      <c r="C997" s="2" t="s">
        <v>21</v>
      </c>
      <c r="D997" s="2" t="s">
        <v>13</v>
      </c>
      <c r="E997">
        <v>147.6</v>
      </c>
      <c r="F997">
        <v>33.17</v>
      </c>
      <c r="G997">
        <v>2</v>
      </c>
      <c r="H997">
        <f t="shared" si="15"/>
        <v>48675.899999999936</v>
      </c>
      <c r="I997" t="str">
        <f>IF(Sheet1[[#This Row],[Month_Revenue]] &lt; AVERAGE(Sheet1[Month_Revenue]), "Off-Peak", "Peak")</f>
        <v>Off-Peak</v>
      </c>
      <c r="J997">
        <f xml:space="preserve"> IF(Sheet1[[#This Row],[Ad Spend]] &gt; 0, (Sheet1[[#This Row],[Profit]] / Sheet1[[#This Row],[Ad Spend]]), 0)</f>
        <v>3.4498040397949952</v>
      </c>
      <c r="K997">
        <f>Sheet1[[#This Row],[Revenue]]-Sheet1[[#This Row],[Ad Spend]]</f>
        <v>114.42999999999999</v>
      </c>
      <c r="L997" s="2" t="s">
        <v>14</v>
      </c>
      <c r="M997">
        <v>2</v>
      </c>
      <c r="N997" s="2" t="s">
        <v>15</v>
      </c>
      <c r="O997">
        <v>73.8</v>
      </c>
    </row>
    <row r="998" spans="1:15" x14ac:dyDescent="0.3">
      <c r="A998" s="1">
        <v>45305</v>
      </c>
      <c r="B998" s="2" t="s">
        <v>24</v>
      </c>
      <c r="C998" s="2" t="s">
        <v>21</v>
      </c>
      <c r="D998" s="2" t="s">
        <v>13</v>
      </c>
      <c r="E998">
        <v>78.14</v>
      </c>
      <c r="F998">
        <v>20.98</v>
      </c>
      <c r="G998">
        <v>3</v>
      </c>
      <c r="H998">
        <f t="shared" si="15"/>
        <v>61207.979999999989</v>
      </c>
      <c r="I998" t="str">
        <f>IF(Sheet1[[#This Row],[Month_Revenue]] &lt; AVERAGE(Sheet1[Month_Revenue]), "Off-Peak", "Peak")</f>
        <v>Peak</v>
      </c>
      <c r="J998">
        <f xml:space="preserve"> IF(Sheet1[[#This Row],[Ad Spend]] &gt; 0, (Sheet1[[#This Row],[Profit]] / Sheet1[[#This Row],[Ad Spend]]), 0)</f>
        <v>2.7244995233555764</v>
      </c>
      <c r="K998">
        <f>Sheet1[[#This Row],[Revenue]]-Sheet1[[#This Row],[Ad Spend]]</f>
        <v>57.16</v>
      </c>
      <c r="L998" s="2" t="s">
        <v>22</v>
      </c>
      <c r="M998">
        <v>1</v>
      </c>
      <c r="N998" s="2" t="s">
        <v>15</v>
      </c>
      <c r="O998">
        <v>26.046666666666667</v>
      </c>
    </row>
    <row r="999" spans="1:15" x14ac:dyDescent="0.3">
      <c r="A999" s="1">
        <v>45399</v>
      </c>
      <c r="B999" s="2" t="s">
        <v>24</v>
      </c>
      <c r="C999" s="2" t="s">
        <v>17</v>
      </c>
      <c r="D999" s="2" t="s">
        <v>13</v>
      </c>
      <c r="E999">
        <v>78.06</v>
      </c>
      <c r="F999">
        <v>44.81</v>
      </c>
      <c r="G999">
        <v>2</v>
      </c>
      <c r="H999">
        <f t="shared" si="15"/>
        <v>58562.910000000018</v>
      </c>
      <c r="I999" t="str">
        <f>IF(Sheet1[[#This Row],[Month_Revenue]] &lt; AVERAGE(Sheet1[Month_Revenue]), "Off-Peak", "Peak")</f>
        <v>Peak</v>
      </c>
      <c r="J999">
        <f xml:space="preserve"> IF(Sheet1[[#This Row],[Ad Spend]] &gt; 0, (Sheet1[[#This Row],[Profit]] / Sheet1[[#This Row],[Ad Spend]]), 0)</f>
        <v>0.74202187011827714</v>
      </c>
      <c r="K999">
        <f>Sheet1[[#This Row],[Revenue]]-Sheet1[[#This Row],[Ad Spend]]</f>
        <v>33.25</v>
      </c>
      <c r="L999" s="2" t="s">
        <v>14</v>
      </c>
      <c r="M999">
        <v>4</v>
      </c>
      <c r="N999" s="2" t="s">
        <v>19</v>
      </c>
      <c r="O999">
        <v>39.03</v>
      </c>
    </row>
    <row r="1000" spans="1:15" x14ac:dyDescent="0.3">
      <c r="A1000" s="1">
        <v>45382</v>
      </c>
      <c r="B1000" s="2" t="s">
        <v>23</v>
      </c>
      <c r="C1000" s="2" t="s">
        <v>17</v>
      </c>
      <c r="D1000" s="2" t="s">
        <v>13</v>
      </c>
      <c r="E1000">
        <v>117.45</v>
      </c>
      <c r="F1000">
        <v>16.21</v>
      </c>
      <c r="G1000">
        <v>3</v>
      </c>
      <c r="H1000">
        <f t="shared" si="15"/>
        <v>54735.250000000029</v>
      </c>
      <c r="I1000" t="str">
        <f>IF(Sheet1[[#This Row],[Month_Revenue]] &lt; AVERAGE(Sheet1[Month_Revenue]), "Off-Peak", "Peak")</f>
        <v>Off-Peak</v>
      </c>
      <c r="J1000">
        <f xml:space="preserve"> IF(Sheet1[[#This Row],[Ad Spend]] &gt; 0, (Sheet1[[#This Row],[Profit]] / Sheet1[[#This Row],[Ad Spend]]), 0)</f>
        <v>6.2455274521900064</v>
      </c>
      <c r="K1000">
        <f>Sheet1[[#This Row],[Revenue]]-Sheet1[[#This Row],[Ad Spend]]</f>
        <v>101.24000000000001</v>
      </c>
      <c r="L1000" s="2" t="s">
        <v>14</v>
      </c>
      <c r="M1000">
        <v>3</v>
      </c>
      <c r="N1000" s="2" t="s">
        <v>19</v>
      </c>
      <c r="O1000">
        <v>39.15</v>
      </c>
    </row>
    <row r="1001" spans="1:15" x14ac:dyDescent="0.3">
      <c r="A1001" s="1">
        <v>45376</v>
      </c>
      <c r="B1001" s="2" t="s">
        <v>20</v>
      </c>
      <c r="C1001" s="2" t="s">
        <v>21</v>
      </c>
      <c r="D1001" s="2" t="s">
        <v>18</v>
      </c>
      <c r="E1001">
        <v>96.11</v>
      </c>
      <c r="F1001">
        <v>16.93</v>
      </c>
      <c r="G1001">
        <v>1</v>
      </c>
      <c r="H1001">
        <f t="shared" si="15"/>
        <v>54735.250000000029</v>
      </c>
      <c r="I1001" t="str">
        <f>IF(Sheet1[[#This Row],[Month_Revenue]] &lt; AVERAGE(Sheet1[Month_Revenue]), "Off-Peak", "Peak")</f>
        <v>Off-Peak</v>
      </c>
      <c r="J1001">
        <f xml:space="preserve"> IF(Sheet1[[#This Row],[Ad Spend]] &gt; 0, (Sheet1[[#This Row],[Profit]] / Sheet1[[#This Row],[Ad Spend]]), 0)</f>
        <v>4.6769049025398708</v>
      </c>
      <c r="K1001">
        <f>Sheet1[[#This Row],[Revenue]]-Sheet1[[#This Row],[Ad Spend]]</f>
        <v>79.180000000000007</v>
      </c>
      <c r="L1001" s="2" t="s">
        <v>22</v>
      </c>
      <c r="M1001">
        <v>3</v>
      </c>
      <c r="N1001" s="2" t="s">
        <v>19</v>
      </c>
      <c r="O1001">
        <v>96.11</v>
      </c>
    </row>
    <row r="1002" spans="1:15" x14ac:dyDescent="0.3">
      <c r="A1002" s="1">
        <v>45401</v>
      </c>
      <c r="B1002" s="2" t="s">
        <v>11</v>
      </c>
      <c r="C1002" s="2" t="s">
        <v>21</v>
      </c>
      <c r="D1002" s="2" t="s">
        <v>13</v>
      </c>
      <c r="E1002">
        <v>113.12</v>
      </c>
      <c r="F1002">
        <v>20.93</v>
      </c>
      <c r="G1002">
        <v>3</v>
      </c>
      <c r="H1002">
        <f t="shared" si="15"/>
        <v>58562.910000000018</v>
      </c>
      <c r="I1002" t="str">
        <f>IF(Sheet1[[#This Row],[Month_Revenue]] &lt; AVERAGE(Sheet1[Month_Revenue]), "Off-Peak", "Peak")</f>
        <v>Peak</v>
      </c>
      <c r="J1002">
        <f xml:space="preserve"> IF(Sheet1[[#This Row],[Ad Spend]] &gt; 0, (Sheet1[[#This Row],[Profit]] / Sheet1[[#This Row],[Ad Spend]]), 0)</f>
        <v>4.4046822742474916</v>
      </c>
      <c r="K1002">
        <f>Sheet1[[#This Row],[Revenue]]-Sheet1[[#This Row],[Ad Spend]]</f>
        <v>92.19</v>
      </c>
      <c r="L1002" s="2" t="s">
        <v>14</v>
      </c>
      <c r="M1002">
        <v>4</v>
      </c>
      <c r="N1002" s="2" t="s">
        <v>19</v>
      </c>
      <c r="O1002">
        <v>37.706666666666671</v>
      </c>
    </row>
    <row r="1003" spans="1:15" x14ac:dyDescent="0.3">
      <c r="A1003" s="1">
        <v>45408</v>
      </c>
      <c r="B1003" s="2" t="s">
        <v>20</v>
      </c>
      <c r="C1003" s="2" t="s">
        <v>17</v>
      </c>
      <c r="D1003" s="2" t="s">
        <v>13</v>
      </c>
      <c r="E1003">
        <v>34.700000000000003</v>
      </c>
      <c r="F1003">
        <v>19.420000000000002</v>
      </c>
      <c r="G1003">
        <v>0</v>
      </c>
      <c r="H1003">
        <f t="shared" si="15"/>
        <v>58562.910000000018</v>
      </c>
      <c r="I1003" t="str">
        <f>IF(Sheet1[[#This Row],[Month_Revenue]] &lt; AVERAGE(Sheet1[Month_Revenue]), "Off-Peak", "Peak")</f>
        <v>Peak</v>
      </c>
      <c r="J1003">
        <f xml:space="preserve"> IF(Sheet1[[#This Row],[Ad Spend]] &gt; 0, (Sheet1[[#This Row],[Profit]] / Sheet1[[#This Row],[Ad Spend]]), 0)</f>
        <v>0.78681771369721931</v>
      </c>
      <c r="K1003">
        <f>Sheet1[[#This Row],[Revenue]]-Sheet1[[#This Row],[Ad Spend]]</f>
        <v>15.280000000000001</v>
      </c>
      <c r="L1003" s="2" t="s">
        <v>14</v>
      </c>
      <c r="M1003">
        <v>4</v>
      </c>
      <c r="N1003" s="2" t="s">
        <v>19</v>
      </c>
      <c r="O1003">
        <v>0</v>
      </c>
    </row>
    <row r="1004" spans="1:15" x14ac:dyDescent="0.3">
      <c r="A1004" s="1">
        <v>45381</v>
      </c>
      <c r="B1004" s="2" t="s">
        <v>20</v>
      </c>
      <c r="C1004" s="2" t="s">
        <v>12</v>
      </c>
      <c r="D1004" s="2" t="s">
        <v>13</v>
      </c>
      <c r="E1004">
        <v>127.14</v>
      </c>
      <c r="F1004">
        <v>31.33</v>
      </c>
      <c r="G1004">
        <v>0</v>
      </c>
      <c r="H1004">
        <f t="shared" si="15"/>
        <v>54735.250000000029</v>
      </c>
      <c r="I1004" t="str">
        <f>IF(Sheet1[[#This Row],[Month_Revenue]] &lt; AVERAGE(Sheet1[Month_Revenue]), "Off-Peak", "Peak")</f>
        <v>Off-Peak</v>
      </c>
      <c r="J1004">
        <f xml:space="preserve"> IF(Sheet1[[#This Row],[Ad Spend]] &gt; 0, (Sheet1[[#This Row],[Profit]] / Sheet1[[#This Row],[Ad Spend]]), 0)</f>
        <v>3.0580912863070542</v>
      </c>
      <c r="K1004">
        <f>Sheet1[[#This Row],[Revenue]]-Sheet1[[#This Row],[Ad Spend]]</f>
        <v>95.81</v>
      </c>
      <c r="L1004" s="2" t="s">
        <v>22</v>
      </c>
      <c r="M1004">
        <v>3</v>
      </c>
      <c r="N1004" s="2" t="s">
        <v>19</v>
      </c>
      <c r="O1004">
        <v>0</v>
      </c>
    </row>
    <row r="1005" spans="1:15" x14ac:dyDescent="0.3">
      <c r="A1005" s="1">
        <v>45302</v>
      </c>
      <c r="B1005" s="2" t="s">
        <v>16</v>
      </c>
      <c r="C1005" s="2" t="s">
        <v>21</v>
      </c>
      <c r="D1005" s="2" t="s">
        <v>18</v>
      </c>
      <c r="E1005">
        <v>155.35</v>
      </c>
      <c r="F1005">
        <v>22.89</v>
      </c>
      <c r="G1005">
        <v>1</v>
      </c>
      <c r="H1005">
        <f t="shared" si="15"/>
        <v>61207.979999999989</v>
      </c>
      <c r="I1005" t="str">
        <f>IF(Sheet1[[#This Row],[Month_Revenue]] &lt; AVERAGE(Sheet1[Month_Revenue]), "Off-Peak", "Peak")</f>
        <v>Peak</v>
      </c>
      <c r="J1005">
        <f xml:space="preserve"> IF(Sheet1[[#This Row],[Ad Spend]] &gt; 0, (Sheet1[[#This Row],[Profit]] / Sheet1[[#This Row],[Ad Spend]]), 0)</f>
        <v>5.7868064657055474</v>
      </c>
      <c r="K1005">
        <f>Sheet1[[#This Row],[Revenue]]-Sheet1[[#This Row],[Ad Spend]]</f>
        <v>132.45999999999998</v>
      </c>
      <c r="L1005" s="2" t="s">
        <v>22</v>
      </c>
      <c r="M1005">
        <v>1</v>
      </c>
      <c r="N1005" s="2" t="s">
        <v>15</v>
      </c>
      <c r="O1005">
        <v>155.35</v>
      </c>
    </row>
    <row r="1006" spans="1:15" x14ac:dyDescent="0.3">
      <c r="A1006" s="1">
        <v>45299</v>
      </c>
      <c r="B1006" s="2" t="s">
        <v>20</v>
      </c>
      <c r="C1006" s="2" t="s">
        <v>12</v>
      </c>
      <c r="D1006" s="2" t="s">
        <v>18</v>
      </c>
      <c r="E1006">
        <v>82.26</v>
      </c>
      <c r="F1006">
        <v>32.14</v>
      </c>
      <c r="G1006">
        <v>1</v>
      </c>
      <c r="H1006">
        <f t="shared" si="15"/>
        <v>61207.979999999989</v>
      </c>
      <c r="I1006" t="str">
        <f>IF(Sheet1[[#This Row],[Month_Revenue]] &lt; AVERAGE(Sheet1[Month_Revenue]), "Off-Peak", "Peak")</f>
        <v>Peak</v>
      </c>
      <c r="J1006">
        <f xml:space="preserve"> IF(Sheet1[[#This Row],[Ad Spend]] &gt; 0, (Sheet1[[#This Row],[Profit]] / Sheet1[[#This Row],[Ad Spend]]), 0)</f>
        <v>1.5594275046670816</v>
      </c>
      <c r="K1006">
        <f>Sheet1[[#This Row],[Revenue]]-Sheet1[[#This Row],[Ad Spend]]</f>
        <v>50.120000000000005</v>
      </c>
      <c r="L1006" s="2" t="s">
        <v>22</v>
      </c>
      <c r="M1006">
        <v>1</v>
      </c>
      <c r="N1006" s="2" t="s">
        <v>15</v>
      </c>
      <c r="O1006">
        <v>82.26</v>
      </c>
    </row>
    <row r="1007" spans="1:15" x14ac:dyDescent="0.3">
      <c r="A1007" s="1">
        <v>45381</v>
      </c>
      <c r="B1007" s="2" t="s">
        <v>23</v>
      </c>
      <c r="C1007" s="2" t="s">
        <v>12</v>
      </c>
      <c r="D1007" s="2" t="s">
        <v>13</v>
      </c>
      <c r="E1007">
        <v>127.02</v>
      </c>
      <c r="F1007">
        <v>24</v>
      </c>
      <c r="G1007">
        <v>1</v>
      </c>
      <c r="H1007">
        <f t="shared" si="15"/>
        <v>54735.250000000029</v>
      </c>
      <c r="I1007" t="str">
        <f>IF(Sheet1[[#This Row],[Month_Revenue]] &lt; AVERAGE(Sheet1[Month_Revenue]), "Off-Peak", "Peak")</f>
        <v>Off-Peak</v>
      </c>
      <c r="J1007">
        <f xml:space="preserve"> IF(Sheet1[[#This Row],[Ad Spend]] &gt; 0, (Sheet1[[#This Row],[Profit]] / Sheet1[[#This Row],[Ad Spend]]), 0)</f>
        <v>4.2924999999999995</v>
      </c>
      <c r="K1007">
        <f>Sheet1[[#This Row],[Revenue]]-Sheet1[[#This Row],[Ad Spend]]</f>
        <v>103.02</v>
      </c>
      <c r="L1007" s="2" t="s">
        <v>14</v>
      </c>
      <c r="M1007">
        <v>3</v>
      </c>
      <c r="N1007" s="2" t="s">
        <v>19</v>
      </c>
      <c r="O1007">
        <v>127.02</v>
      </c>
    </row>
    <row r="1008" spans="1:15" x14ac:dyDescent="0.3">
      <c r="A1008" s="1">
        <v>45387</v>
      </c>
      <c r="B1008" s="2" t="s">
        <v>23</v>
      </c>
      <c r="C1008" s="2" t="s">
        <v>17</v>
      </c>
      <c r="D1008" s="2" t="s">
        <v>13</v>
      </c>
      <c r="E1008">
        <v>130.16999999999999</v>
      </c>
      <c r="F1008">
        <v>23.43</v>
      </c>
      <c r="G1008">
        <v>2</v>
      </c>
      <c r="H1008">
        <f t="shared" si="15"/>
        <v>58562.910000000018</v>
      </c>
      <c r="I1008" t="str">
        <f>IF(Sheet1[[#This Row],[Month_Revenue]] &lt; AVERAGE(Sheet1[Month_Revenue]), "Off-Peak", "Peak")</f>
        <v>Peak</v>
      </c>
      <c r="J1008">
        <f xml:space="preserve"> IF(Sheet1[[#This Row],[Ad Spend]] &gt; 0, (Sheet1[[#This Row],[Profit]] / Sheet1[[#This Row],[Ad Spend]]), 0)</f>
        <v>4.555697823303456</v>
      </c>
      <c r="K1008">
        <f>Sheet1[[#This Row],[Revenue]]-Sheet1[[#This Row],[Ad Spend]]</f>
        <v>106.73999999999998</v>
      </c>
      <c r="L1008" s="2" t="s">
        <v>14</v>
      </c>
      <c r="M1008">
        <v>4</v>
      </c>
      <c r="N1008" s="2" t="s">
        <v>19</v>
      </c>
      <c r="O1008">
        <v>65.084999999999994</v>
      </c>
    </row>
    <row r="1009" spans="1:15" x14ac:dyDescent="0.3">
      <c r="A1009" s="1">
        <v>45406</v>
      </c>
      <c r="B1009" s="2" t="s">
        <v>20</v>
      </c>
      <c r="C1009" s="2" t="s">
        <v>21</v>
      </c>
      <c r="D1009" s="2" t="s">
        <v>13</v>
      </c>
      <c r="E1009">
        <v>134</v>
      </c>
      <c r="F1009">
        <v>18.91</v>
      </c>
      <c r="G1009">
        <v>0</v>
      </c>
      <c r="H1009">
        <f t="shared" si="15"/>
        <v>58562.910000000018</v>
      </c>
      <c r="I1009" t="str">
        <f>IF(Sheet1[[#This Row],[Month_Revenue]] &lt; AVERAGE(Sheet1[Month_Revenue]), "Off-Peak", "Peak")</f>
        <v>Peak</v>
      </c>
      <c r="J1009">
        <f xml:space="preserve"> IF(Sheet1[[#This Row],[Ad Spend]] &gt; 0, (Sheet1[[#This Row],[Profit]] / Sheet1[[#This Row],[Ad Spend]]), 0)</f>
        <v>6.0861977789529353</v>
      </c>
      <c r="K1009">
        <f>Sheet1[[#This Row],[Revenue]]-Sheet1[[#This Row],[Ad Spend]]</f>
        <v>115.09</v>
      </c>
      <c r="L1009" s="2" t="s">
        <v>14</v>
      </c>
      <c r="M1009">
        <v>4</v>
      </c>
      <c r="N1009" s="2" t="s">
        <v>19</v>
      </c>
      <c r="O1009">
        <v>0</v>
      </c>
    </row>
    <row r="1010" spans="1:15" x14ac:dyDescent="0.3">
      <c r="A1010" s="1">
        <v>45390</v>
      </c>
      <c r="B1010" s="2" t="s">
        <v>24</v>
      </c>
      <c r="C1010" s="2" t="s">
        <v>12</v>
      </c>
      <c r="D1010" s="2" t="s">
        <v>18</v>
      </c>
      <c r="E1010">
        <v>47.98</v>
      </c>
      <c r="F1010">
        <v>34.35</v>
      </c>
      <c r="G1010">
        <v>3</v>
      </c>
      <c r="H1010">
        <f t="shared" si="15"/>
        <v>58562.910000000018</v>
      </c>
      <c r="I1010" t="str">
        <f>IF(Sheet1[[#This Row],[Month_Revenue]] &lt; AVERAGE(Sheet1[Month_Revenue]), "Off-Peak", "Peak")</f>
        <v>Peak</v>
      </c>
      <c r="J1010">
        <f xml:space="preserve"> IF(Sheet1[[#This Row],[Ad Spend]] &gt; 0, (Sheet1[[#This Row],[Profit]] / Sheet1[[#This Row],[Ad Spend]]), 0)</f>
        <v>0.39679767103347874</v>
      </c>
      <c r="K1010">
        <f>Sheet1[[#This Row],[Revenue]]-Sheet1[[#This Row],[Ad Spend]]</f>
        <v>13.629999999999995</v>
      </c>
      <c r="L1010" s="2" t="s">
        <v>22</v>
      </c>
      <c r="M1010">
        <v>4</v>
      </c>
      <c r="N1010" s="2" t="s">
        <v>19</v>
      </c>
      <c r="O1010">
        <v>15.993333333333332</v>
      </c>
    </row>
    <row r="1011" spans="1:15" x14ac:dyDescent="0.3">
      <c r="A1011" s="1">
        <v>45379</v>
      </c>
      <c r="B1011" s="2" t="s">
        <v>11</v>
      </c>
      <c r="C1011" s="2" t="s">
        <v>21</v>
      </c>
      <c r="D1011" s="2" t="s">
        <v>18</v>
      </c>
      <c r="E1011">
        <v>35.83</v>
      </c>
      <c r="F1011">
        <v>9.42</v>
      </c>
      <c r="G1011">
        <v>1</v>
      </c>
      <c r="H1011">
        <f t="shared" si="15"/>
        <v>54735.250000000029</v>
      </c>
      <c r="I1011" t="str">
        <f>IF(Sheet1[[#This Row],[Month_Revenue]] &lt; AVERAGE(Sheet1[Month_Revenue]), "Off-Peak", "Peak")</f>
        <v>Off-Peak</v>
      </c>
      <c r="J1011">
        <f xml:space="preserve"> IF(Sheet1[[#This Row],[Ad Spend]] &gt; 0, (Sheet1[[#This Row],[Profit]] / Sheet1[[#This Row],[Ad Spend]]), 0)</f>
        <v>2.803609341825902</v>
      </c>
      <c r="K1011">
        <f>Sheet1[[#This Row],[Revenue]]-Sheet1[[#This Row],[Ad Spend]]</f>
        <v>26.409999999999997</v>
      </c>
      <c r="L1011" s="2" t="s">
        <v>22</v>
      </c>
      <c r="M1011">
        <v>3</v>
      </c>
      <c r="N1011" s="2" t="s">
        <v>19</v>
      </c>
      <c r="O1011">
        <v>35.83</v>
      </c>
    </row>
    <row r="1012" spans="1:15" x14ac:dyDescent="0.3">
      <c r="A1012" s="1">
        <v>45300</v>
      </c>
      <c r="B1012" s="2" t="s">
        <v>23</v>
      </c>
      <c r="C1012" s="2" t="s">
        <v>21</v>
      </c>
      <c r="D1012" s="2" t="s">
        <v>18</v>
      </c>
      <c r="E1012">
        <v>129.16999999999999</v>
      </c>
      <c r="F1012">
        <v>34.99</v>
      </c>
      <c r="G1012">
        <v>3</v>
      </c>
      <c r="H1012">
        <f t="shared" si="15"/>
        <v>61207.979999999989</v>
      </c>
      <c r="I1012" t="str">
        <f>IF(Sheet1[[#This Row],[Month_Revenue]] &lt; AVERAGE(Sheet1[Month_Revenue]), "Off-Peak", "Peak")</f>
        <v>Peak</v>
      </c>
      <c r="J1012">
        <f xml:space="preserve"> IF(Sheet1[[#This Row],[Ad Spend]] &gt; 0, (Sheet1[[#This Row],[Profit]] / Sheet1[[#This Row],[Ad Spend]]), 0)</f>
        <v>2.6916261789082587</v>
      </c>
      <c r="K1012">
        <f>Sheet1[[#This Row],[Revenue]]-Sheet1[[#This Row],[Ad Spend]]</f>
        <v>94.179999999999978</v>
      </c>
      <c r="L1012" s="2" t="s">
        <v>22</v>
      </c>
      <c r="M1012">
        <v>1</v>
      </c>
      <c r="N1012" s="2" t="s">
        <v>15</v>
      </c>
      <c r="O1012">
        <v>43.056666666666665</v>
      </c>
    </row>
    <row r="1013" spans="1:15" x14ac:dyDescent="0.3">
      <c r="A1013" s="1">
        <v>45306</v>
      </c>
      <c r="B1013" s="2" t="s">
        <v>16</v>
      </c>
      <c r="C1013" s="2" t="s">
        <v>17</v>
      </c>
      <c r="D1013" s="2" t="s">
        <v>18</v>
      </c>
      <c r="E1013">
        <v>103.13</v>
      </c>
      <c r="F1013">
        <v>5.23</v>
      </c>
      <c r="G1013">
        <v>3</v>
      </c>
      <c r="H1013">
        <f t="shared" si="15"/>
        <v>61207.979999999989</v>
      </c>
      <c r="I1013" t="str">
        <f>IF(Sheet1[[#This Row],[Month_Revenue]] &lt; AVERAGE(Sheet1[Month_Revenue]), "Off-Peak", "Peak")</f>
        <v>Peak</v>
      </c>
      <c r="J1013">
        <f xml:space="preserve"> IF(Sheet1[[#This Row],[Ad Spend]] &gt; 0, (Sheet1[[#This Row],[Profit]] / Sheet1[[#This Row],[Ad Spend]]), 0)</f>
        <v>18.7189292543021</v>
      </c>
      <c r="K1013">
        <f>Sheet1[[#This Row],[Revenue]]-Sheet1[[#This Row],[Ad Spend]]</f>
        <v>97.899999999999991</v>
      </c>
      <c r="L1013" s="2" t="s">
        <v>14</v>
      </c>
      <c r="M1013">
        <v>1</v>
      </c>
      <c r="N1013" s="2" t="s">
        <v>15</v>
      </c>
      <c r="O1013">
        <v>34.376666666666665</v>
      </c>
    </row>
    <row r="1014" spans="1:15" x14ac:dyDescent="0.3">
      <c r="A1014" s="1">
        <v>45297</v>
      </c>
      <c r="B1014" s="2" t="s">
        <v>24</v>
      </c>
      <c r="C1014" s="2" t="s">
        <v>17</v>
      </c>
      <c r="D1014" s="2" t="s">
        <v>13</v>
      </c>
      <c r="E1014">
        <v>89.15</v>
      </c>
      <c r="F1014">
        <v>48.48</v>
      </c>
      <c r="G1014">
        <v>3</v>
      </c>
      <c r="H1014">
        <f t="shared" si="15"/>
        <v>61207.979999999989</v>
      </c>
      <c r="I1014" t="str">
        <f>IF(Sheet1[[#This Row],[Month_Revenue]] &lt; AVERAGE(Sheet1[Month_Revenue]), "Off-Peak", "Peak")</f>
        <v>Peak</v>
      </c>
      <c r="J1014">
        <f xml:space="preserve"> IF(Sheet1[[#This Row],[Ad Spend]] &gt; 0, (Sheet1[[#This Row],[Profit]] / Sheet1[[#This Row],[Ad Spend]]), 0)</f>
        <v>0.83890264026402661</v>
      </c>
      <c r="K1014">
        <f>Sheet1[[#This Row],[Revenue]]-Sheet1[[#This Row],[Ad Spend]]</f>
        <v>40.670000000000009</v>
      </c>
      <c r="L1014" s="2" t="s">
        <v>22</v>
      </c>
      <c r="M1014">
        <v>1</v>
      </c>
      <c r="N1014" s="2" t="s">
        <v>15</v>
      </c>
      <c r="O1014">
        <v>29.716666666666669</v>
      </c>
    </row>
    <row r="1015" spans="1:15" x14ac:dyDescent="0.3">
      <c r="A1015" s="1">
        <v>45327</v>
      </c>
      <c r="B1015" s="2" t="s">
        <v>16</v>
      </c>
      <c r="C1015" s="2" t="s">
        <v>12</v>
      </c>
      <c r="D1015" s="2" t="s">
        <v>13</v>
      </c>
      <c r="E1015">
        <v>48.69</v>
      </c>
      <c r="F1015">
        <v>40.549999999999997</v>
      </c>
      <c r="G1015">
        <v>0</v>
      </c>
      <c r="H1015">
        <f t="shared" si="15"/>
        <v>48675.899999999936</v>
      </c>
      <c r="I1015" t="str">
        <f>IF(Sheet1[[#This Row],[Month_Revenue]] &lt; AVERAGE(Sheet1[Month_Revenue]), "Off-Peak", "Peak")</f>
        <v>Off-Peak</v>
      </c>
      <c r="J1015">
        <f xml:space="preserve"> IF(Sheet1[[#This Row],[Ad Spend]] &gt; 0, (Sheet1[[#This Row],[Profit]] / Sheet1[[#This Row],[Ad Spend]]), 0)</f>
        <v>0.20073982737361284</v>
      </c>
      <c r="K1015">
        <f>Sheet1[[#This Row],[Revenue]]-Sheet1[[#This Row],[Ad Spend]]</f>
        <v>8.14</v>
      </c>
      <c r="L1015" s="2" t="s">
        <v>22</v>
      </c>
      <c r="M1015">
        <v>2</v>
      </c>
      <c r="N1015" s="2" t="s">
        <v>15</v>
      </c>
      <c r="O1015">
        <v>0</v>
      </c>
    </row>
    <row r="1016" spans="1:15" x14ac:dyDescent="0.3">
      <c r="A1016" s="1">
        <v>45315</v>
      </c>
      <c r="B1016" s="2" t="s">
        <v>20</v>
      </c>
      <c r="C1016" s="2" t="s">
        <v>12</v>
      </c>
      <c r="D1016" s="2" t="s">
        <v>18</v>
      </c>
      <c r="E1016">
        <v>69.5</v>
      </c>
      <c r="F1016">
        <v>47.54</v>
      </c>
      <c r="G1016">
        <v>0</v>
      </c>
      <c r="H1016">
        <f t="shared" si="15"/>
        <v>61207.979999999989</v>
      </c>
      <c r="I1016" t="str">
        <f>IF(Sheet1[[#This Row],[Month_Revenue]] &lt; AVERAGE(Sheet1[Month_Revenue]), "Off-Peak", "Peak")</f>
        <v>Peak</v>
      </c>
      <c r="J1016">
        <f xml:space="preserve"> IF(Sheet1[[#This Row],[Ad Spend]] &gt; 0, (Sheet1[[#This Row],[Profit]] / Sheet1[[#This Row],[Ad Spend]]), 0)</f>
        <v>0.46192679848548596</v>
      </c>
      <c r="K1016">
        <f>Sheet1[[#This Row],[Revenue]]-Sheet1[[#This Row],[Ad Spend]]</f>
        <v>21.96</v>
      </c>
      <c r="L1016" s="2" t="s">
        <v>22</v>
      </c>
      <c r="M1016">
        <v>1</v>
      </c>
      <c r="N1016" s="2" t="s">
        <v>15</v>
      </c>
      <c r="O1016">
        <v>0</v>
      </c>
    </row>
    <row r="1017" spans="1:15" x14ac:dyDescent="0.3">
      <c r="A1017" s="1">
        <v>45403</v>
      </c>
      <c r="B1017" s="2" t="s">
        <v>23</v>
      </c>
      <c r="C1017" s="2" t="s">
        <v>17</v>
      </c>
      <c r="D1017" s="2" t="s">
        <v>18</v>
      </c>
      <c r="E1017">
        <v>182.59</v>
      </c>
      <c r="F1017">
        <v>2.4500000000000002</v>
      </c>
      <c r="G1017">
        <v>2</v>
      </c>
      <c r="H1017">
        <f t="shared" si="15"/>
        <v>58562.910000000018</v>
      </c>
      <c r="I1017" t="str">
        <f>IF(Sheet1[[#This Row],[Month_Revenue]] &lt; AVERAGE(Sheet1[Month_Revenue]), "Off-Peak", "Peak")</f>
        <v>Peak</v>
      </c>
      <c r="J1017">
        <f xml:space="preserve"> IF(Sheet1[[#This Row],[Ad Spend]] &gt; 0, (Sheet1[[#This Row],[Profit]] / Sheet1[[#This Row],[Ad Spend]]), 0)</f>
        <v>73.526530612244898</v>
      </c>
      <c r="K1017">
        <f>Sheet1[[#This Row],[Revenue]]-Sheet1[[#This Row],[Ad Spend]]</f>
        <v>180.14000000000001</v>
      </c>
      <c r="L1017" s="2" t="s">
        <v>14</v>
      </c>
      <c r="M1017">
        <v>4</v>
      </c>
      <c r="N1017" s="2" t="s">
        <v>19</v>
      </c>
      <c r="O1017">
        <v>91.295000000000002</v>
      </c>
    </row>
    <row r="1018" spans="1:15" x14ac:dyDescent="0.3">
      <c r="A1018" s="1">
        <v>45304</v>
      </c>
      <c r="B1018" s="2" t="s">
        <v>11</v>
      </c>
      <c r="C1018" s="2" t="s">
        <v>12</v>
      </c>
      <c r="D1018" s="2" t="s">
        <v>13</v>
      </c>
      <c r="E1018">
        <v>191.16</v>
      </c>
      <c r="F1018">
        <v>46.7</v>
      </c>
      <c r="G1018">
        <v>1</v>
      </c>
      <c r="H1018">
        <f t="shared" si="15"/>
        <v>61207.979999999989</v>
      </c>
      <c r="I1018" t="str">
        <f>IF(Sheet1[[#This Row],[Month_Revenue]] &lt; AVERAGE(Sheet1[Month_Revenue]), "Off-Peak", "Peak")</f>
        <v>Peak</v>
      </c>
      <c r="J1018">
        <f xml:space="preserve"> IF(Sheet1[[#This Row],[Ad Spend]] &gt; 0, (Sheet1[[#This Row],[Profit]] / Sheet1[[#This Row],[Ad Spend]]), 0)</f>
        <v>3.0933618843683077</v>
      </c>
      <c r="K1018">
        <f>Sheet1[[#This Row],[Revenue]]-Sheet1[[#This Row],[Ad Spend]]</f>
        <v>144.45999999999998</v>
      </c>
      <c r="L1018" s="2" t="s">
        <v>22</v>
      </c>
      <c r="M1018">
        <v>1</v>
      </c>
      <c r="N1018" s="2" t="s">
        <v>15</v>
      </c>
      <c r="O1018">
        <v>191.16</v>
      </c>
    </row>
    <row r="1019" spans="1:15" x14ac:dyDescent="0.3">
      <c r="A1019" s="1">
        <v>45409</v>
      </c>
      <c r="B1019" s="2" t="s">
        <v>24</v>
      </c>
      <c r="C1019" s="2" t="s">
        <v>12</v>
      </c>
      <c r="D1019" s="2" t="s">
        <v>18</v>
      </c>
      <c r="E1019">
        <v>153.15</v>
      </c>
      <c r="F1019">
        <v>45.33</v>
      </c>
      <c r="G1019">
        <v>0</v>
      </c>
      <c r="H1019">
        <f t="shared" si="15"/>
        <v>58562.910000000018</v>
      </c>
      <c r="I1019" t="str">
        <f>IF(Sheet1[[#This Row],[Month_Revenue]] &lt; AVERAGE(Sheet1[Month_Revenue]), "Off-Peak", "Peak")</f>
        <v>Peak</v>
      </c>
      <c r="J1019">
        <f xml:space="preserve"> IF(Sheet1[[#This Row],[Ad Spend]] &gt; 0, (Sheet1[[#This Row],[Profit]] / Sheet1[[#This Row],[Ad Spend]]), 0)</f>
        <v>2.3785572468563867</v>
      </c>
      <c r="K1019">
        <f>Sheet1[[#This Row],[Revenue]]-Sheet1[[#This Row],[Ad Spend]]</f>
        <v>107.82000000000001</v>
      </c>
      <c r="L1019" s="2" t="s">
        <v>22</v>
      </c>
      <c r="M1019">
        <v>4</v>
      </c>
      <c r="N1019" s="2" t="s">
        <v>19</v>
      </c>
      <c r="O1019">
        <v>0</v>
      </c>
    </row>
    <row r="1020" spans="1:15" x14ac:dyDescent="0.3">
      <c r="A1020" s="1">
        <v>45324</v>
      </c>
      <c r="B1020" s="2" t="s">
        <v>16</v>
      </c>
      <c r="C1020" s="2" t="s">
        <v>17</v>
      </c>
      <c r="D1020" s="2" t="s">
        <v>18</v>
      </c>
      <c r="E1020">
        <v>34.04</v>
      </c>
      <c r="F1020">
        <v>6.64</v>
      </c>
      <c r="G1020">
        <v>1</v>
      </c>
      <c r="H1020">
        <f t="shared" si="15"/>
        <v>48675.899999999936</v>
      </c>
      <c r="I1020" t="str">
        <f>IF(Sheet1[[#This Row],[Month_Revenue]] &lt; AVERAGE(Sheet1[Month_Revenue]), "Off-Peak", "Peak")</f>
        <v>Off-Peak</v>
      </c>
      <c r="J1020">
        <f xml:space="preserve"> IF(Sheet1[[#This Row],[Ad Spend]] &gt; 0, (Sheet1[[#This Row],[Profit]] / Sheet1[[#This Row],[Ad Spend]]), 0)</f>
        <v>4.1265060240963853</v>
      </c>
      <c r="K1020">
        <f>Sheet1[[#This Row],[Revenue]]-Sheet1[[#This Row],[Ad Spend]]</f>
        <v>27.4</v>
      </c>
      <c r="L1020" s="2" t="s">
        <v>22</v>
      </c>
      <c r="M1020">
        <v>2</v>
      </c>
      <c r="N1020" s="2" t="s">
        <v>15</v>
      </c>
      <c r="O1020">
        <v>34.04</v>
      </c>
    </row>
    <row r="1021" spans="1:15" x14ac:dyDescent="0.3">
      <c r="A1021" s="1">
        <v>45390</v>
      </c>
      <c r="B1021" s="2" t="s">
        <v>24</v>
      </c>
      <c r="C1021" s="2" t="s">
        <v>21</v>
      </c>
      <c r="D1021" s="2" t="s">
        <v>13</v>
      </c>
      <c r="E1021">
        <v>194.37</v>
      </c>
      <c r="F1021">
        <v>12.59</v>
      </c>
      <c r="G1021">
        <v>0</v>
      </c>
      <c r="H1021">
        <f t="shared" si="15"/>
        <v>58562.910000000018</v>
      </c>
      <c r="I1021" t="str">
        <f>IF(Sheet1[[#This Row],[Month_Revenue]] &lt; AVERAGE(Sheet1[Month_Revenue]), "Off-Peak", "Peak")</f>
        <v>Peak</v>
      </c>
      <c r="J1021">
        <f xml:space="preserve"> IF(Sheet1[[#This Row],[Ad Spend]] &gt; 0, (Sheet1[[#This Row],[Profit]] / Sheet1[[#This Row],[Ad Spend]]), 0)</f>
        <v>14.438443208895949</v>
      </c>
      <c r="K1021">
        <f>Sheet1[[#This Row],[Revenue]]-Sheet1[[#This Row],[Ad Spend]]</f>
        <v>181.78</v>
      </c>
      <c r="L1021" s="2" t="s">
        <v>22</v>
      </c>
      <c r="M1021">
        <v>4</v>
      </c>
      <c r="N1021" s="2" t="s">
        <v>19</v>
      </c>
      <c r="O1021">
        <v>0</v>
      </c>
    </row>
    <row r="1022" spans="1:15" x14ac:dyDescent="0.3">
      <c r="A1022" s="1">
        <v>45309</v>
      </c>
      <c r="B1022" s="2" t="s">
        <v>16</v>
      </c>
      <c r="C1022" s="2" t="s">
        <v>17</v>
      </c>
      <c r="D1022" s="2" t="s">
        <v>13</v>
      </c>
      <c r="E1022">
        <v>129.82</v>
      </c>
      <c r="F1022">
        <v>12.54</v>
      </c>
      <c r="G1022">
        <v>2</v>
      </c>
      <c r="H1022">
        <f t="shared" si="15"/>
        <v>61207.979999999989</v>
      </c>
      <c r="I1022" t="str">
        <f>IF(Sheet1[[#This Row],[Month_Revenue]] &lt; AVERAGE(Sheet1[Month_Revenue]), "Off-Peak", "Peak")</f>
        <v>Peak</v>
      </c>
      <c r="J1022">
        <f xml:space="preserve"> IF(Sheet1[[#This Row],[Ad Spend]] &gt; 0, (Sheet1[[#This Row],[Profit]] / Sheet1[[#This Row],[Ad Spend]]), 0)</f>
        <v>9.3524720893141957</v>
      </c>
      <c r="K1022">
        <f>Sheet1[[#This Row],[Revenue]]-Sheet1[[#This Row],[Ad Spend]]</f>
        <v>117.28</v>
      </c>
      <c r="L1022" s="2" t="s">
        <v>22</v>
      </c>
      <c r="M1022">
        <v>1</v>
      </c>
      <c r="N1022" s="2" t="s">
        <v>15</v>
      </c>
      <c r="O1022">
        <v>64.91</v>
      </c>
    </row>
    <row r="1023" spans="1:15" x14ac:dyDescent="0.3">
      <c r="A1023" s="1">
        <v>45305</v>
      </c>
      <c r="B1023" s="2" t="s">
        <v>20</v>
      </c>
      <c r="C1023" s="2" t="s">
        <v>17</v>
      </c>
      <c r="D1023" s="2" t="s">
        <v>18</v>
      </c>
      <c r="E1023">
        <v>63.57</v>
      </c>
      <c r="F1023">
        <v>21.09</v>
      </c>
      <c r="G1023">
        <v>1</v>
      </c>
      <c r="H1023">
        <f t="shared" si="15"/>
        <v>61207.979999999989</v>
      </c>
      <c r="I1023" t="str">
        <f>IF(Sheet1[[#This Row],[Month_Revenue]] &lt; AVERAGE(Sheet1[Month_Revenue]), "Off-Peak", "Peak")</f>
        <v>Peak</v>
      </c>
      <c r="J1023">
        <f xml:space="preserve"> IF(Sheet1[[#This Row],[Ad Spend]] &gt; 0, (Sheet1[[#This Row],[Profit]] / Sheet1[[#This Row],[Ad Spend]]), 0)</f>
        <v>2.0142247510668567</v>
      </c>
      <c r="K1023">
        <f>Sheet1[[#This Row],[Revenue]]-Sheet1[[#This Row],[Ad Spend]]</f>
        <v>42.480000000000004</v>
      </c>
      <c r="L1023" s="2" t="s">
        <v>14</v>
      </c>
      <c r="M1023">
        <v>1</v>
      </c>
      <c r="N1023" s="2" t="s">
        <v>15</v>
      </c>
      <c r="O1023">
        <v>63.57</v>
      </c>
    </row>
    <row r="1024" spans="1:15" x14ac:dyDescent="0.3">
      <c r="A1024" s="1">
        <v>45355</v>
      </c>
      <c r="B1024" s="2" t="s">
        <v>23</v>
      </c>
      <c r="C1024" s="2" t="s">
        <v>21</v>
      </c>
      <c r="D1024" s="2" t="s">
        <v>13</v>
      </c>
      <c r="E1024">
        <v>120.8</v>
      </c>
      <c r="F1024">
        <v>1.1499999999999999</v>
      </c>
      <c r="G1024">
        <v>0</v>
      </c>
      <c r="H1024">
        <f t="shared" si="15"/>
        <v>54735.250000000029</v>
      </c>
      <c r="I1024" t="str">
        <f>IF(Sheet1[[#This Row],[Month_Revenue]] &lt; AVERAGE(Sheet1[Month_Revenue]), "Off-Peak", "Peak")</f>
        <v>Off-Peak</v>
      </c>
      <c r="J1024">
        <f xml:space="preserve"> IF(Sheet1[[#This Row],[Ad Spend]] &gt; 0, (Sheet1[[#This Row],[Profit]] / Sheet1[[#This Row],[Ad Spend]]), 0)</f>
        <v>104.04347826086956</v>
      </c>
      <c r="K1024">
        <f>Sheet1[[#This Row],[Revenue]]-Sheet1[[#This Row],[Ad Spend]]</f>
        <v>119.64999999999999</v>
      </c>
      <c r="L1024" s="2" t="s">
        <v>14</v>
      </c>
      <c r="M1024">
        <v>3</v>
      </c>
      <c r="N1024" s="2" t="s">
        <v>19</v>
      </c>
      <c r="O1024">
        <v>0</v>
      </c>
    </row>
    <row r="1025" spans="1:15" x14ac:dyDescent="0.3">
      <c r="A1025" s="1">
        <v>45362</v>
      </c>
      <c r="B1025" s="2" t="s">
        <v>16</v>
      </c>
      <c r="C1025" s="2" t="s">
        <v>12</v>
      </c>
      <c r="D1025" s="2" t="s">
        <v>18</v>
      </c>
      <c r="E1025">
        <v>166.87</v>
      </c>
      <c r="F1025">
        <v>23.28</v>
      </c>
      <c r="G1025">
        <v>0</v>
      </c>
      <c r="H1025">
        <f t="shared" si="15"/>
        <v>54735.250000000029</v>
      </c>
      <c r="I1025" t="str">
        <f>IF(Sheet1[[#This Row],[Month_Revenue]] &lt; AVERAGE(Sheet1[Month_Revenue]), "Off-Peak", "Peak")</f>
        <v>Off-Peak</v>
      </c>
      <c r="J1025">
        <f xml:space="preserve"> IF(Sheet1[[#This Row],[Ad Spend]] &gt; 0, (Sheet1[[#This Row],[Profit]] / Sheet1[[#This Row],[Ad Spend]]), 0)</f>
        <v>6.1679553264604809</v>
      </c>
      <c r="K1025">
        <f>Sheet1[[#This Row],[Revenue]]-Sheet1[[#This Row],[Ad Spend]]</f>
        <v>143.59</v>
      </c>
      <c r="L1025" s="2" t="s">
        <v>22</v>
      </c>
      <c r="M1025">
        <v>3</v>
      </c>
      <c r="N1025" s="2" t="s">
        <v>19</v>
      </c>
      <c r="O1025">
        <v>0</v>
      </c>
    </row>
    <row r="1026" spans="1:15" x14ac:dyDescent="0.3">
      <c r="A1026" s="1">
        <v>45325</v>
      </c>
      <c r="B1026" s="2" t="s">
        <v>23</v>
      </c>
      <c r="C1026" s="2" t="s">
        <v>17</v>
      </c>
      <c r="D1026" s="2" t="s">
        <v>13</v>
      </c>
      <c r="E1026">
        <v>168.88</v>
      </c>
      <c r="F1026">
        <v>13.78</v>
      </c>
      <c r="G1026">
        <v>1</v>
      </c>
      <c r="H1026">
        <f t="shared" ref="H1026:H1089" si="16">SUMIFS($E$2:$E$2001, $M$2:$M$2001, M1026)</f>
        <v>48675.899999999936</v>
      </c>
      <c r="I1026" t="str">
        <f>IF(Sheet1[[#This Row],[Month_Revenue]] &lt; AVERAGE(Sheet1[Month_Revenue]), "Off-Peak", "Peak")</f>
        <v>Off-Peak</v>
      </c>
      <c r="J1026">
        <f xml:space="preserve"> IF(Sheet1[[#This Row],[Ad Spend]] &gt; 0, (Sheet1[[#This Row],[Profit]] / Sheet1[[#This Row],[Ad Spend]]), 0)</f>
        <v>11.255442670537009</v>
      </c>
      <c r="K1026">
        <f>Sheet1[[#This Row],[Revenue]]-Sheet1[[#This Row],[Ad Spend]]</f>
        <v>155.1</v>
      </c>
      <c r="L1026" s="2" t="s">
        <v>22</v>
      </c>
      <c r="M1026">
        <v>2</v>
      </c>
      <c r="N1026" s="2" t="s">
        <v>15</v>
      </c>
      <c r="O1026">
        <v>168.88</v>
      </c>
    </row>
    <row r="1027" spans="1:15" x14ac:dyDescent="0.3">
      <c r="A1027" s="1">
        <v>45367</v>
      </c>
      <c r="B1027" s="2" t="s">
        <v>20</v>
      </c>
      <c r="C1027" s="2" t="s">
        <v>21</v>
      </c>
      <c r="D1027" s="2" t="s">
        <v>18</v>
      </c>
      <c r="E1027">
        <v>197.74</v>
      </c>
      <c r="F1027">
        <v>3.84</v>
      </c>
      <c r="G1027">
        <v>0</v>
      </c>
      <c r="H1027">
        <f t="shared" si="16"/>
        <v>54735.250000000029</v>
      </c>
      <c r="I1027" t="str">
        <f>IF(Sheet1[[#This Row],[Month_Revenue]] &lt; AVERAGE(Sheet1[Month_Revenue]), "Off-Peak", "Peak")</f>
        <v>Off-Peak</v>
      </c>
      <c r="J1027">
        <f xml:space="preserve"> IF(Sheet1[[#This Row],[Ad Spend]] &gt; 0, (Sheet1[[#This Row],[Profit]] / Sheet1[[#This Row],[Ad Spend]]), 0)</f>
        <v>50.494791666666671</v>
      </c>
      <c r="K1027">
        <f>Sheet1[[#This Row],[Revenue]]-Sheet1[[#This Row],[Ad Spend]]</f>
        <v>193.9</v>
      </c>
      <c r="L1027" s="2" t="s">
        <v>14</v>
      </c>
      <c r="M1027">
        <v>3</v>
      </c>
      <c r="N1027" s="2" t="s">
        <v>19</v>
      </c>
      <c r="O1027">
        <v>0</v>
      </c>
    </row>
    <row r="1028" spans="1:15" x14ac:dyDescent="0.3">
      <c r="A1028" s="1">
        <v>45298</v>
      </c>
      <c r="B1028" s="2" t="s">
        <v>24</v>
      </c>
      <c r="C1028" s="2" t="s">
        <v>17</v>
      </c>
      <c r="D1028" s="2" t="s">
        <v>18</v>
      </c>
      <c r="E1028">
        <v>64.52</v>
      </c>
      <c r="F1028">
        <v>1.43</v>
      </c>
      <c r="G1028">
        <v>2</v>
      </c>
      <c r="H1028">
        <f t="shared" si="16"/>
        <v>61207.979999999989</v>
      </c>
      <c r="I1028" t="str">
        <f>IF(Sheet1[[#This Row],[Month_Revenue]] &lt; AVERAGE(Sheet1[Month_Revenue]), "Off-Peak", "Peak")</f>
        <v>Peak</v>
      </c>
      <c r="J1028">
        <f xml:space="preserve"> IF(Sheet1[[#This Row],[Ad Spend]] &gt; 0, (Sheet1[[#This Row],[Profit]] / Sheet1[[#This Row],[Ad Spend]]), 0)</f>
        <v>44.11888111888112</v>
      </c>
      <c r="K1028">
        <f>Sheet1[[#This Row],[Revenue]]-Sheet1[[#This Row],[Ad Spend]]</f>
        <v>63.089999999999996</v>
      </c>
      <c r="L1028" s="2" t="s">
        <v>22</v>
      </c>
      <c r="M1028">
        <v>1</v>
      </c>
      <c r="N1028" s="2" t="s">
        <v>15</v>
      </c>
      <c r="O1028">
        <v>32.26</v>
      </c>
    </row>
    <row r="1029" spans="1:15" x14ac:dyDescent="0.3">
      <c r="A1029" s="1">
        <v>45327</v>
      </c>
      <c r="B1029" s="2" t="s">
        <v>23</v>
      </c>
      <c r="C1029" s="2" t="s">
        <v>12</v>
      </c>
      <c r="D1029" s="2" t="s">
        <v>13</v>
      </c>
      <c r="E1029">
        <v>130.08000000000001</v>
      </c>
      <c r="F1029">
        <v>48.25</v>
      </c>
      <c r="G1029">
        <v>2</v>
      </c>
      <c r="H1029">
        <f t="shared" si="16"/>
        <v>48675.899999999936</v>
      </c>
      <c r="I1029" t="str">
        <f>IF(Sheet1[[#This Row],[Month_Revenue]] &lt; AVERAGE(Sheet1[Month_Revenue]), "Off-Peak", "Peak")</f>
        <v>Off-Peak</v>
      </c>
      <c r="J1029">
        <f xml:space="preserve"> IF(Sheet1[[#This Row],[Ad Spend]] &gt; 0, (Sheet1[[#This Row],[Profit]] / Sheet1[[#This Row],[Ad Spend]]), 0)</f>
        <v>1.6959585492227982</v>
      </c>
      <c r="K1029">
        <f>Sheet1[[#This Row],[Revenue]]-Sheet1[[#This Row],[Ad Spend]]</f>
        <v>81.830000000000013</v>
      </c>
      <c r="L1029" s="2" t="s">
        <v>14</v>
      </c>
      <c r="M1029">
        <v>2</v>
      </c>
      <c r="N1029" s="2" t="s">
        <v>15</v>
      </c>
      <c r="O1029">
        <v>65.040000000000006</v>
      </c>
    </row>
    <row r="1030" spans="1:15" x14ac:dyDescent="0.3">
      <c r="A1030" s="1">
        <v>45307</v>
      </c>
      <c r="B1030" s="2" t="s">
        <v>24</v>
      </c>
      <c r="C1030" s="2" t="s">
        <v>12</v>
      </c>
      <c r="D1030" s="2" t="s">
        <v>18</v>
      </c>
      <c r="E1030">
        <v>161.97</v>
      </c>
      <c r="F1030">
        <v>41.79</v>
      </c>
      <c r="G1030">
        <v>3</v>
      </c>
      <c r="H1030">
        <f t="shared" si="16"/>
        <v>61207.979999999989</v>
      </c>
      <c r="I1030" t="str">
        <f>IF(Sheet1[[#This Row],[Month_Revenue]] &lt; AVERAGE(Sheet1[Month_Revenue]), "Off-Peak", "Peak")</f>
        <v>Peak</v>
      </c>
      <c r="J1030">
        <f xml:space="preserve"> IF(Sheet1[[#This Row],[Ad Spend]] &gt; 0, (Sheet1[[#This Row],[Profit]] / Sheet1[[#This Row],[Ad Spend]]), 0)</f>
        <v>2.8758076094759515</v>
      </c>
      <c r="K1030">
        <f>Sheet1[[#This Row],[Revenue]]-Sheet1[[#This Row],[Ad Spend]]</f>
        <v>120.18</v>
      </c>
      <c r="L1030" s="2" t="s">
        <v>14</v>
      </c>
      <c r="M1030">
        <v>1</v>
      </c>
      <c r="N1030" s="2" t="s">
        <v>15</v>
      </c>
      <c r="O1030">
        <v>53.99</v>
      </c>
    </row>
    <row r="1031" spans="1:15" x14ac:dyDescent="0.3">
      <c r="A1031" s="1">
        <v>45381</v>
      </c>
      <c r="B1031" s="2" t="s">
        <v>11</v>
      </c>
      <c r="C1031" s="2" t="s">
        <v>21</v>
      </c>
      <c r="D1031" s="2" t="s">
        <v>18</v>
      </c>
      <c r="E1031">
        <v>142.83000000000001</v>
      </c>
      <c r="F1031">
        <v>38.47</v>
      </c>
      <c r="G1031">
        <v>2</v>
      </c>
      <c r="H1031">
        <f t="shared" si="16"/>
        <v>54735.250000000029</v>
      </c>
      <c r="I1031" t="str">
        <f>IF(Sheet1[[#This Row],[Month_Revenue]] &lt; AVERAGE(Sheet1[Month_Revenue]), "Off-Peak", "Peak")</f>
        <v>Off-Peak</v>
      </c>
      <c r="J1031">
        <f xml:space="preserve"> IF(Sheet1[[#This Row],[Ad Spend]] &gt; 0, (Sheet1[[#This Row],[Profit]] / Sheet1[[#This Row],[Ad Spend]]), 0)</f>
        <v>2.7127631920977389</v>
      </c>
      <c r="K1031">
        <f>Sheet1[[#This Row],[Revenue]]-Sheet1[[#This Row],[Ad Spend]]</f>
        <v>104.36000000000001</v>
      </c>
      <c r="L1031" s="2" t="s">
        <v>22</v>
      </c>
      <c r="M1031">
        <v>3</v>
      </c>
      <c r="N1031" s="2" t="s">
        <v>19</v>
      </c>
      <c r="O1031">
        <v>71.415000000000006</v>
      </c>
    </row>
    <row r="1032" spans="1:15" x14ac:dyDescent="0.3">
      <c r="A1032" s="1">
        <v>45393</v>
      </c>
      <c r="B1032" s="2" t="s">
        <v>24</v>
      </c>
      <c r="C1032" s="2" t="s">
        <v>17</v>
      </c>
      <c r="D1032" s="2" t="s">
        <v>18</v>
      </c>
      <c r="E1032">
        <v>116.06</v>
      </c>
      <c r="F1032">
        <v>40.299999999999997</v>
      </c>
      <c r="G1032">
        <v>2</v>
      </c>
      <c r="H1032">
        <f t="shared" si="16"/>
        <v>58562.910000000018</v>
      </c>
      <c r="I1032" t="str">
        <f>IF(Sheet1[[#This Row],[Month_Revenue]] &lt; AVERAGE(Sheet1[Month_Revenue]), "Off-Peak", "Peak")</f>
        <v>Peak</v>
      </c>
      <c r="J1032">
        <f xml:space="preserve"> IF(Sheet1[[#This Row],[Ad Spend]] &gt; 0, (Sheet1[[#This Row],[Profit]] / Sheet1[[#This Row],[Ad Spend]]), 0)</f>
        <v>1.8799007444168736</v>
      </c>
      <c r="K1032">
        <f>Sheet1[[#This Row],[Revenue]]-Sheet1[[#This Row],[Ad Spend]]</f>
        <v>75.760000000000005</v>
      </c>
      <c r="L1032" s="2" t="s">
        <v>22</v>
      </c>
      <c r="M1032">
        <v>4</v>
      </c>
      <c r="N1032" s="2" t="s">
        <v>19</v>
      </c>
      <c r="O1032">
        <v>58.03</v>
      </c>
    </row>
    <row r="1033" spans="1:15" x14ac:dyDescent="0.3">
      <c r="A1033" s="1">
        <v>45324</v>
      </c>
      <c r="B1033" s="2" t="s">
        <v>20</v>
      </c>
      <c r="C1033" s="2" t="s">
        <v>12</v>
      </c>
      <c r="D1033" s="2" t="s">
        <v>18</v>
      </c>
      <c r="E1033">
        <v>71.739999999999995</v>
      </c>
      <c r="F1033">
        <v>30.38</v>
      </c>
      <c r="G1033">
        <v>1</v>
      </c>
      <c r="H1033">
        <f t="shared" si="16"/>
        <v>48675.899999999936</v>
      </c>
      <c r="I1033" t="str">
        <f>IF(Sheet1[[#This Row],[Month_Revenue]] &lt; AVERAGE(Sheet1[Month_Revenue]), "Off-Peak", "Peak")</f>
        <v>Off-Peak</v>
      </c>
      <c r="J1033">
        <f xml:space="preserve"> IF(Sheet1[[#This Row],[Ad Spend]] &gt; 0, (Sheet1[[#This Row],[Profit]] / Sheet1[[#This Row],[Ad Spend]]), 0)</f>
        <v>1.3614219881500988</v>
      </c>
      <c r="K1033">
        <f>Sheet1[[#This Row],[Revenue]]-Sheet1[[#This Row],[Ad Spend]]</f>
        <v>41.36</v>
      </c>
      <c r="L1033" s="2" t="s">
        <v>22</v>
      </c>
      <c r="M1033">
        <v>2</v>
      </c>
      <c r="N1033" s="2" t="s">
        <v>15</v>
      </c>
      <c r="O1033">
        <v>71.739999999999995</v>
      </c>
    </row>
    <row r="1034" spans="1:15" x14ac:dyDescent="0.3">
      <c r="A1034" s="1">
        <v>45406</v>
      </c>
      <c r="B1034" s="2" t="s">
        <v>20</v>
      </c>
      <c r="C1034" s="2" t="s">
        <v>21</v>
      </c>
      <c r="D1034" s="2" t="s">
        <v>18</v>
      </c>
      <c r="E1034">
        <v>143.22</v>
      </c>
      <c r="F1034">
        <v>11.17</v>
      </c>
      <c r="G1034">
        <v>0</v>
      </c>
      <c r="H1034">
        <f t="shared" si="16"/>
        <v>58562.910000000018</v>
      </c>
      <c r="I1034" t="str">
        <f>IF(Sheet1[[#This Row],[Month_Revenue]] &lt; AVERAGE(Sheet1[Month_Revenue]), "Off-Peak", "Peak")</f>
        <v>Peak</v>
      </c>
      <c r="J1034">
        <f xml:space="preserve"> IF(Sheet1[[#This Row],[Ad Spend]] &gt; 0, (Sheet1[[#This Row],[Profit]] / Sheet1[[#This Row],[Ad Spend]]), 0)</f>
        <v>11.821844225604298</v>
      </c>
      <c r="K1034">
        <f>Sheet1[[#This Row],[Revenue]]-Sheet1[[#This Row],[Ad Spend]]</f>
        <v>132.05000000000001</v>
      </c>
      <c r="L1034" s="2" t="s">
        <v>14</v>
      </c>
      <c r="M1034">
        <v>4</v>
      </c>
      <c r="N1034" s="2" t="s">
        <v>19</v>
      </c>
      <c r="O1034">
        <v>0</v>
      </c>
    </row>
    <row r="1035" spans="1:15" x14ac:dyDescent="0.3">
      <c r="A1035" s="1">
        <v>45346</v>
      </c>
      <c r="B1035" s="2" t="s">
        <v>20</v>
      </c>
      <c r="C1035" s="2" t="s">
        <v>12</v>
      </c>
      <c r="D1035" s="2" t="s">
        <v>18</v>
      </c>
      <c r="E1035">
        <v>63.22</v>
      </c>
      <c r="F1035">
        <v>45.01</v>
      </c>
      <c r="G1035">
        <v>3</v>
      </c>
      <c r="H1035">
        <f t="shared" si="16"/>
        <v>48675.899999999936</v>
      </c>
      <c r="I1035" t="str">
        <f>IF(Sheet1[[#This Row],[Month_Revenue]] &lt; AVERAGE(Sheet1[Month_Revenue]), "Off-Peak", "Peak")</f>
        <v>Off-Peak</v>
      </c>
      <c r="J1035">
        <f xml:space="preserve"> IF(Sheet1[[#This Row],[Ad Spend]] &gt; 0, (Sheet1[[#This Row],[Profit]] / Sheet1[[#This Row],[Ad Spend]]), 0)</f>
        <v>0.40457676071984006</v>
      </c>
      <c r="K1035">
        <f>Sheet1[[#This Row],[Revenue]]-Sheet1[[#This Row],[Ad Spend]]</f>
        <v>18.21</v>
      </c>
      <c r="L1035" s="2" t="s">
        <v>22</v>
      </c>
      <c r="M1035">
        <v>2</v>
      </c>
      <c r="N1035" s="2" t="s">
        <v>15</v>
      </c>
      <c r="O1035">
        <v>21.073333333333334</v>
      </c>
    </row>
    <row r="1036" spans="1:15" x14ac:dyDescent="0.3">
      <c r="A1036" s="1">
        <v>45293</v>
      </c>
      <c r="B1036" s="2" t="s">
        <v>20</v>
      </c>
      <c r="C1036" s="2" t="s">
        <v>17</v>
      </c>
      <c r="D1036" s="2" t="s">
        <v>18</v>
      </c>
      <c r="E1036">
        <v>150.91</v>
      </c>
      <c r="F1036">
        <v>33.97</v>
      </c>
      <c r="G1036">
        <v>0</v>
      </c>
      <c r="H1036">
        <f t="shared" si="16"/>
        <v>61207.979999999989</v>
      </c>
      <c r="I1036" t="str">
        <f>IF(Sheet1[[#This Row],[Month_Revenue]] &lt; AVERAGE(Sheet1[Month_Revenue]), "Off-Peak", "Peak")</f>
        <v>Peak</v>
      </c>
      <c r="J1036">
        <f xml:space="preserve"> IF(Sheet1[[#This Row],[Ad Spend]] &gt; 0, (Sheet1[[#This Row],[Profit]] / Sheet1[[#This Row],[Ad Spend]]), 0)</f>
        <v>3.4424492198999119</v>
      </c>
      <c r="K1036">
        <f>Sheet1[[#This Row],[Revenue]]-Sheet1[[#This Row],[Ad Spend]]</f>
        <v>116.94</v>
      </c>
      <c r="L1036" s="2" t="s">
        <v>22</v>
      </c>
      <c r="M1036">
        <v>1</v>
      </c>
      <c r="N1036" s="2" t="s">
        <v>15</v>
      </c>
      <c r="O1036">
        <v>0</v>
      </c>
    </row>
    <row r="1037" spans="1:15" x14ac:dyDescent="0.3">
      <c r="A1037" s="1">
        <v>45358</v>
      </c>
      <c r="B1037" s="2" t="s">
        <v>23</v>
      </c>
      <c r="C1037" s="2" t="s">
        <v>21</v>
      </c>
      <c r="D1037" s="2" t="s">
        <v>18</v>
      </c>
      <c r="E1037">
        <v>71.010000000000005</v>
      </c>
      <c r="F1037">
        <v>0.26</v>
      </c>
      <c r="G1037">
        <v>0</v>
      </c>
      <c r="H1037">
        <f t="shared" si="16"/>
        <v>54735.250000000029</v>
      </c>
      <c r="I1037" t="str">
        <f>IF(Sheet1[[#This Row],[Month_Revenue]] &lt; AVERAGE(Sheet1[Month_Revenue]), "Off-Peak", "Peak")</f>
        <v>Off-Peak</v>
      </c>
      <c r="J1037">
        <f xml:space="preserve"> IF(Sheet1[[#This Row],[Ad Spend]] &gt; 0, (Sheet1[[#This Row],[Profit]] / Sheet1[[#This Row],[Ad Spend]]), 0)</f>
        <v>272.11538461538458</v>
      </c>
      <c r="K1037">
        <f>Sheet1[[#This Row],[Revenue]]-Sheet1[[#This Row],[Ad Spend]]</f>
        <v>70.75</v>
      </c>
      <c r="L1037" s="2" t="s">
        <v>22</v>
      </c>
      <c r="M1037">
        <v>3</v>
      </c>
      <c r="N1037" s="2" t="s">
        <v>19</v>
      </c>
      <c r="O1037">
        <v>0</v>
      </c>
    </row>
    <row r="1038" spans="1:15" x14ac:dyDescent="0.3">
      <c r="A1038" s="1">
        <v>45295</v>
      </c>
      <c r="B1038" s="2" t="s">
        <v>16</v>
      </c>
      <c r="C1038" s="2" t="s">
        <v>12</v>
      </c>
      <c r="D1038" s="2" t="s">
        <v>18</v>
      </c>
      <c r="E1038">
        <v>115.37</v>
      </c>
      <c r="F1038">
        <v>26.52</v>
      </c>
      <c r="G1038">
        <v>0</v>
      </c>
      <c r="H1038">
        <f t="shared" si="16"/>
        <v>61207.979999999989</v>
      </c>
      <c r="I1038" t="str">
        <f>IF(Sheet1[[#This Row],[Month_Revenue]] &lt; AVERAGE(Sheet1[Month_Revenue]), "Off-Peak", "Peak")</f>
        <v>Peak</v>
      </c>
      <c r="J1038">
        <f xml:space="preserve"> IF(Sheet1[[#This Row],[Ad Spend]] &gt; 0, (Sheet1[[#This Row],[Profit]] / Sheet1[[#This Row],[Ad Spend]]), 0)</f>
        <v>3.3503016591251891</v>
      </c>
      <c r="K1038">
        <f>Sheet1[[#This Row],[Revenue]]-Sheet1[[#This Row],[Ad Spend]]</f>
        <v>88.850000000000009</v>
      </c>
      <c r="L1038" s="2" t="s">
        <v>14</v>
      </c>
      <c r="M1038">
        <v>1</v>
      </c>
      <c r="N1038" s="2" t="s">
        <v>15</v>
      </c>
      <c r="O1038">
        <v>0</v>
      </c>
    </row>
    <row r="1039" spans="1:15" x14ac:dyDescent="0.3">
      <c r="A1039" s="1">
        <v>45365</v>
      </c>
      <c r="B1039" s="2" t="s">
        <v>23</v>
      </c>
      <c r="C1039" s="2" t="s">
        <v>21</v>
      </c>
      <c r="D1039" s="2" t="s">
        <v>18</v>
      </c>
      <c r="E1039">
        <v>126.54</v>
      </c>
      <c r="F1039">
        <v>8.06</v>
      </c>
      <c r="G1039">
        <v>1</v>
      </c>
      <c r="H1039">
        <f t="shared" si="16"/>
        <v>54735.250000000029</v>
      </c>
      <c r="I1039" t="str">
        <f>IF(Sheet1[[#This Row],[Month_Revenue]] &lt; AVERAGE(Sheet1[Month_Revenue]), "Off-Peak", "Peak")</f>
        <v>Off-Peak</v>
      </c>
      <c r="J1039">
        <f xml:space="preserve"> IF(Sheet1[[#This Row],[Ad Spend]] &gt; 0, (Sheet1[[#This Row],[Profit]] / Sheet1[[#This Row],[Ad Spend]]), 0)</f>
        <v>14.699751861042182</v>
      </c>
      <c r="K1039">
        <f>Sheet1[[#This Row],[Revenue]]-Sheet1[[#This Row],[Ad Spend]]</f>
        <v>118.48</v>
      </c>
      <c r="L1039" s="2" t="s">
        <v>22</v>
      </c>
      <c r="M1039">
        <v>3</v>
      </c>
      <c r="N1039" s="2" t="s">
        <v>19</v>
      </c>
      <c r="O1039">
        <v>126.54</v>
      </c>
    </row>
    <row r="1040" spans="1:15" x14ac:dyDescent="0.3">
      <c r="A1040" s="1">
        <v>45355</v>
      </c>
      <c r="B1040" s="2" t="s">
        <v>23</v>
      </c>
      <c r="C1040" s="2" t="s">
        <v>12</v>
      </c>
      <c r="D1040" s="2" t="s">
        <v>18</v>
      </c>
      <c r="E1040">
        <v>120.52</v>
      </c>
      <c r="F1040">
        <v>29.41</v>
      </c>
      <c r="G1040">
        <v>3</v>
      </c>
      <c r="H1040">
        <f t="shared" si="16"/>
        <v>54735.250000000029</v>
      </c>
      <c r="I1040" t="str">
        <f>IF(Sheet1[[#This Row],[Month_Revenue]] &lt; AVERAGE(Sheet1[Month_Revenue]), "Off-Peak", "Peak")</f>
        <v>Off-Peak</v>
      </c>
      <c r="J1040">
        <f xml:space="preserve"> IF(Sheet1[[#This Row],[Ad Spend]] &gt; 0, (Sheet1[[#This Row],[Profit]] / Sheet1[[#This Row],[Ad Spend]]), 0)</f>
        <v>3.0979258755525332</v>
      </c>
      <c r="K1040">
        <f>Sheet1[[#This Row],[Revenue]]-Sheet1[[#This Row],[Ad Spend]]</f>
        <v>91.11</v>
      </c>
      <c r="L1040" s="2" t="s">
        <v>22</v>
      </c>
      <c r="M1040">
        <v>3</v>
      </c>
      <c r="N1040" s="2" t="s">
        <v>19</v>
      </c>
      <c r="O1040">
        <v>40.173333333333332</v>
      </c>
    </row>
    <row r="1041" spans="1:15" x14ac:dyDescent="0.3">
      <c r="A1041" s="1">
        <v>45397</v>
      </c>
      <c r="B1041" s="2" t="s">
        <v>20</v>
      </c>
      <c r="C1041" s="2" t="s">
        <v>21</v>
      </c>
      <c r="D1041" s="2" t="s">
        <v>18</v>
      </c>
      <c r="E1041">
        <v>37.64</v>
      </c>
      <c r="F1041">
        <v>33.58</v>
      </c>
      <c r="G1041">
        <v>2</v>
      </c>
      <c r="H1041">
        <f t="shared" si="16"/>
        <v>58562.910000000018</v>
      </c>
      <c r="I1041" t="str">
        <f>IF(Sheet1[[#This Row],[Month_Revenue]] &lt; AVERAGE(Sheet1[Month_Revenue]), "Off-Peak", "Peak")</f>
        <v>Peak</v>
      </c>
      <c r="J1041">
        <f xml:space="preserve"> IF(Sheet1[[#This Row],[Ad Spend]] &gt; 0, (Sheet1[[#This Row],[Profit]] / Sheet1[[#This Row],[Ad Spend]]), 0)</f>
        <v>0.12090530077427047</v>
      </c>
      <c r="K1041">
        <f>Sheet1[[#This Row],[Revenue]]-Sheet1[[#This Row],[Ad Spend]]</f>
        <v>4.0600000000000023</v>
      </c>
      <c r="L1041" s="2" t="s">
        <v>22</v>
      </c>
      <c r="M1041">
        <v>4</v>
      </c>
      <c r="N1041" s="2" t="s">
        <v>19</v>
      </c>
      <c r="O1041">
        <v>18.82</v>
      </c>
    </row>
    <row r="1042" spans="1:15" x14ac:dyDescent="0.3">
      <c r="A1042" s="1">
        <v>45342</v>
      </c>
      <c r="B1042" s="2" t="s">
        <v>24</v>
      </c>
      <c r="C1042" s="2" t="s">
        <v>12</v>
      </c>
      <c r="D1042" s="2" t="s">
        <v>18</v>
      </c>
      <c r="E1042">
        <v>45.3</v>
      </c>
      <c r="F1042">
        <v>28.1</v>
      </c>
      <c r="G1042">
        <v>1</v>
      </c>
      <c r="H1042">
        <f t="shared" si="16"/>
        <v>48675.899999999936</v>
      </c>
      <c r="I1042" t="str">
        <f>IF(Sheet1[[#This Row],[Month_Revenue]] &lt; AVERAGE(Sheet1[Month_Revenue]), "Off-Peak", "Peak")</f>
        <v>Off-Peak</v>
      </c>
      <c r="J1042">
        <f xml:space="preserve"> IF(Sheet1[[#This Row],[Ad Spend]] &gt; 0, (Sheet1[[#This Row],[Profit]] / Sheet1[[#This Row],[Ad Spend]]), 0)</f>
        <v>0.61209964412811368</v>
      </c>
      <c r="K1042">
        <f>Sheet1[[#This Row],[Revenue]]-Sheet1[[#This Row],[Ad Spend]]</f>
        <v>17.199999999999996</v>
      </c>
      <c r="L1042" s="2" t="s">
        <v>22</v>
      </c>
      <c r="M1042">
        <v>2</v>
      </c>
      <c r="N1042" s="2" t="s">
        <v>15</v>
      </c>
      <c r="O1042">
        <v>45.3</v>
      </c>
    </row>
    <row r="1043" spans="1:15" x14ac:dyDescent="0.3">
      <c r="A1043" s="1">
        <v>45410</v>
      </c>
      <c r="B1043" s="2" t="s">
        <v>20</v>
      </c>
      <c r="C1043" s="2" t="s">
        <v>17</v>
      </c>
      <c r="D1043" s="2" t="s">
        <v>18</v>
      </c>
      <c r="E1043">
        <v>97.57</v>
      </c>
      <c r="F1043">
        <v>41.17</v>
      </c>
      <c r="G1043">
        <v>0</v>
      </c>
      <c r="H1043">
        <f t="shared" si="16"/>
        <v>58562.910000000018</v>
      </c>
      <c r="I1043" t="str">
        <f>IF(Sheet1[[#This Row],[Month_Revenue]] &lt; AVERAGE(Sheet1[Month_Revenue]), "Off-Peak", "Peak")</f>
        <v>Peak</v>
      </c>
      <c r="J1043">
        <f xml:space="preserve"> IF(Sheet1[[#This Row],[Ad Spend]] &gt; 0, (Sheet1[[#This Row],[Profit]] / Sheet1[[#This Row],[Ad Spend]]), 0)</f>
        <v>1.3699295603594848</v>
      </c>
      <c r="K1043">
        <f>Sheet1[[#This Row],[Revenue]]-Sheet1[[#This Row],[Ad Spend]]</f>
        <v>56.399999999999991</v>
      </c>
      <c r="L1043" s="2" t="s">
        <v>14</v>
      </c>
      <c r="M1043">
        <v>4</v>
      </c>
      <c r="N1043" s="2" t="s">
        <v>19</v>
      </c>
      <c r="O1043">
        <v>0</v>
      </c>
    </row>
    <row r="1044" spans="1:15" x14ac:dyDescent="0.3">
      <c r="A1044" s="1">
        <v>45408</v>
      </c>
      <c r="B1044" s="2" t="s">
        <v>11</v>
      </c>
      <c r="C1044" s="2" t="s">
        <v>17</v>
      </c>
      <c r="D1044" s="2" t="s">
        <v>18</v>
      </c>
      <c r="E1044">
        <v>161.13</v>
      </c>
      <c r="F1044">
        <v>3.68</v>
      </c>
      <c r="G1044">
        <v>3</v>
      </c>
      <c r="H1044">
        <f t="shared" si="16"/>
        <v>58562.910000000018</v>
      </c>
      <c r="I1044" t="str">
        <f>IF(Sheet1[[#This Row],[Month_Revenue]] &lt; AVERAGE(Sheet1[Month_Revenue]), "Off-Peak", "Peak")</f>
        <v>Peak</v>
      </c>
      <c r="J1044">
        <f xml:space="preserve"> IF(Sheet1[[#This Row],[Ad Spend]] &gt; 0, (Sheet1[[#This Row],[Profit]] / Sheet1[[#This Row],[Ad Spend]]), 0)</f>
        <v>42.785326086956516</v>
      </c>
      <c r="K1044">
        <f>Sheet1[[#This Row],[Revenue]]-Sheet1[[#This Row],[Ad Spend]]</f>
        <v>157.44999999999999</v>
      </c>
      <c r="L1044" s="2" t="s">
        <v>22</v>
      </c>
      <c r="M1044">
        <v>4</v>
      </c>
      <c r="N1044" s="2" t="s">
        <v>19</v>
      </c>
      <c r="O1044">
        <v>53.71</v>
      </c>
    </row>
    <row r="1045" spans="1:15" x14ac:dyDescent="0.3">
      <c r="A1045" s="1">
        <v>45389</v>
      </c>
      <c r="B1045" s="2" t="s">
        <v>20</v>
      </c>
      <c r="C1045" s="2" t="s">
        <v>17</v>
      </c>
      <c r="D1045" s="2" t="s">
        <v>13</v>
      </c>
      <c r="E1045">
        <v>176.88</v>
      </c>
      <c r="F1045">
        <v>28.75</v>
      </c>
      <c r="G1045">
        <v>3</v>
      </c>
      <c r="H1045">
        <f t="shared" si="16"/>
        <v>58562.910000000018</v>
      </c>
      <c r="I1045" t="str">
        <f>IF(Sheet1[[#This Row],[Month_Revenue]] &lt; AVERAGE(Sheet1[Month_Revenue]), "Off-Peak", "Peak")</f>
        <v>Peak</v>
      </c>
      <c r="J1045">
        <f xml:space="preserve"> IF(Sheet1[[#This Row],[Ad Spend]] &gt; 0, (Sheet1[[#This Row],[Profit]] / Sheet1[[#This Row],[Ad Spend]]), 0)</f>
        <v>5.152347826086956</v>
      </c>
      <c r="K1045">
        <f>Sheet1[[#This Row],[Revenue]]-Sheet1[[#This Row],[Ad Spend]]</f>
        <v>148.13</v>
      </c>
      <c r="L1045" s="2" t="s">
        <v>14</v>
      </c>
      <c r="M1045">
        <v>4</v>
      </c>
      <c r="N1045" s="2" t="s">
        <v>19</v>
      </c>
      <c r="O1045">
        <v>58.96</v>
      </c>
    </row>
    <row r="1046" spans="1:15" x14ac:dyDescent="0.3">
      <c r="A1046" s="1">
        <v>45377</v>
      </c>
      <c r="B1046" s="2" t="s">
        <v>24</v>
      </c>
      <c r="C1046" s="2" t="s">
        <v>17</v>
      </c>
      <c r="D1046" s="2" t="s">
        <v>18</v>
      </c>
      <c r="E1046">
        <v>125.81</v>
      </c>
      <c r="F1046">
        <v>32.22</v>
      </c>
      <c r="G1046">
        <v>0</v>
      </c>
      <c r="H1046">
        <f t="shared" si="16"/>
        <v>54735.250000000029</v>
      </c>
      <c r="I1046" t="str">
        <f>IF(Sheet1[[#This Row],[Month_Revenue]] &lt; AVERAGE(Sheet1[Month_Revenue]), "Off-Peak", "Peak")</f>
        <v>Off-Peak</v>
      </c>
      <c r="J1046">
        <f xml:space="preserve"> IF(Sheet1[[#This Row],[Ad Spend]] &gt; 0, (Sheet1[[#This Row],[Profit]] / Sheet1[[#This Row],[Ad Spend]]), 0)</f>
        <v>2.9047175667287402</v>
      </c>
      <c r="K1046">
        <f>Sheet1[[#This Row],[Revenue]]-Sheet1[[#This Row],[Ad Spend]]</f>
        <v>93.59</v>
      </c>
      <c r="L1046" s="2" t="s">
        <v>22</v>
      </c>
      <c r="M1046">
        <v>3</v>
      </c>
      <c r="N1046" s="2" t="s">
        <v>19</v>
      </c>
      <c r="O1046">
        <v>0</v>
      </c>
    </row>
    <row r="1047" spans="1:15" x14ac:dyDescent="0.3">
      <c r="A1047" s="1">
        <v>45331</v>
      </c>
      <c r="B1047" s="2" t="s">
        <v>23</v>
      </c>
      <c r="C1047" s="2" t="s">
        <v>17</v>
      </c>
      <c r="D1047" s="2" t="s">
        <v>18</v>
      </c>
      <c r="E1047">
        <v>55.51</v>
      </c>
      <c r="F1047">
        <v>48.94</v>
      </c>
      <c r="G1047">
        <v>3</v>
      </c>
      <c r="H1047">
        <f t="shared" si="16"/>
        <v>48675.899999999936</v>
      </c>
      <c r="I1047" t="str">
        <f>IF(Sheet1[[#This Row],[Month_Revenue]] &lt; AVERAGE(Sheet1[Month_Revenue]), "Off-Peak", "Peak")</f>
        <v>Off-Peak</v>
      </c>
      <c r="J1047">
        <f xml:space="preserve"> IF(Sheet1[[#This Row],[Ad Spend]] &gt; 0, (Sheet1[[#This Row],[Profit]] / Sheet1[[#This Row],[Ad Spend]]), 0)</f>
        <v>0.13424601552921947</v>
      </c>
      <c r="K1047">
        <f>Sheet1[[#This Row],[Revenue]]-Sheet1[[#This Row],[Ad Spend]]</f>
        <v>6.57</v>
      </c>
      <c r="L1047" s="2" t="s">
        <v>14</v>
      </c>
      <c r="M1047">
        <v>2</v>
      </c>
      <c r="N1047" s="2" t="s">
        <v>15</v>
      </c>
      <c r="O1047">
        <v>18.503333333333334</v>
      </c>
    </row>
    <row r="1048" spans="1:15" x14ac:dyDescent="0.3">
      <c r="A1048" s="1">
        <v>45327</v>
      </c>
      <c r="B1048" s="2" t="s">
        <v>16</v>
      </c>
      <c r="C1048" s="2" t="s">
        <v>12</v>
      </c>
      <c r="D1048" s="2" t="s">
        <v>18</v>
      </c>
      <c r="E1048">
        <v>129.4</v>
      </c>
      <c r="F1048">
        <v>29.29</v>
      </c>
      <c r="G1048">
        <v>0</v>
      </c>
      <c r="H1048">
        <f t="shared" si="16"/>
        <v>48675.899999999936</v>
      </c>
      <c r="I1048" t="str">
        <f>IF(Sheet1[[#This Row],[Month_Revenue]] &lt; AVERAGE(Sheet1[Month_Revenue]), "Off-Peak", "Peak")</f>
        <v>Off-Peak</v>
      </c>
      <c r="J1048">
        <f xml:space="preserve"> IF(Sheet1[[#This Row],[Ad Spend]] &gt; 0, (Sheet1[[#This Row],[Profit]] / Sheet1[[#This Row],[Ad Spend]]), 0)</f>
        <v>3.4178900648685562</v>
      </c>
      <c r="K1048">
        <f>Sheet1[[#This Row],[Revenue]]-Sheet1[[#This Row],[Ad Spend]]</f>
        <v>100.11000000000001</v>
      </c>
      <c r="L1048" s="2" t="s">
        <v>14</v>
      </c>
      <c r="M1048">
        <v>2</v>
      </c>
      <c r="N1048" s="2" t="s">
        <v>15</v>
      </c>
      <c r="O1048">
        <v>0</v>
      </c>
    </row>
    <row r="1049" spans="1:15" x14ac:dyDescent="0.3">
      <c r="A1049" s="1">
        <v>45367</v>
      </c>
      <c r="B1049" s="2" t="s">
        <v>11</v>
      </c>
      <c r="C1049" s="2" t="s">
        <v>21</v>
      </c>
      <c r="D1049" s="2" t="s">
        <v>13</v>
      </c>
      <c r="E1049">
        <v>104.31</v>
      </c>
      <c r="F1049">
        <v>31.4</v>
      </c>
      <c r="G1049">
        <v>2</v>
      </c>
      <c r="H1049">
        <f t="shared" si="16"/>
        <v>54735.250000000029</v>
      </c>
      <c r="I1049" t="str">
        <f>IF(Sheet1[[#This Row],[Month_Revenue]] &lt; AVERAGE(Sheet1[Month_Revenue]), "Off-Peak", "Peak")</f>
        <v>Off-Peak</v>
      </c>
      <c r="J1049">
        <f xml:space="preserve"> IF(Sheet1[[#This Row],[Ad Spend]] &gt; 0, (Sheet1[[#This Row],[Profit]] / Sheet1[[#This Row],[Ad Spend]]), 0)</f>
        <v>2.3219745222929937</v>
      </c>
      <c r="K1049">
        <f>Sheet1[[#This Row],[Revenue]]-Sheet1[[#This Row],[Ad Spend]]</f>
        <v>72.91</v>
      </c>
      <c r="L1049" s="2" t="s">
        <v>14</v>
      </c>
      <c r="M1049">
        <v>3</v>
      </c>
      <c r="N1049" s="2" t="s">
        <v>19</v>
      </c>
      <c r="O1049">
        <v>52.155000000000001</v>
      </c>
    </row>
    <row r="1050" spans="1:15" x14ac:dyDescent="0.3">
      <c r="A1050" s="1">
        <v>45409</v>
      </c>
      <c r="B1050" s="2" t="s">
        <v>11</v>
      </c>
      <c r="C1050" s="2" t="s">
        <v>21</v>
      </c>
      <c r="D1050" s="2" t="s">
        <v>18</v>
      </c>
      <c r="E1050">
        <v>86.94</v>
      </c>
      <c r="F1050">
        <v>33.65</v>
      </c>
      <c r="G1050">
        <v>2</v>
      </c>
      <c r="H1050">
        <f t="shared" si="16"/>
        <v>58562.910000000018</v>
      </c>
      <c r="I1050" t="str">
        <f>IF(Sheet1[[#This Row],[Month_Revenue]] &lt; AVERAGE(Sheet1[Month_Revenue]), "Off-Peak", "Peak")</f>
        <v>Peak</v>
      </c>
      <c r="J1050">
        <f xml:space="preserve"> IF(Sheet1[[#This Row],[Ad Spend]] &gt; 0, (Sheet1[[#This Row],[Profit]] / Sheet1[[#This Row],[Ad Spend]]), 0)</f>
        <v>1.5836552748885588</v>
      </c>
      <c r="K1050">
        <f>Sheet1[[#This Row],[Revenue]]-Sheet1[[#This Row],[Ad Spend]]</f>
        <v>53.29</v>
      </c>
      <c r="L1050" s="2" t="s">
        <v>14</v>
      </c>
      <c r="M1050">
        <v>4</v>
      </c>
      <c r="N1050" s="2" t="s">
        <v>19</v>
      </c>
      <c r="O1050">
        <v>43.47</v>
      </c>
    </row>
    <row r="1051" spans="1:15" x14ac:dyDescent="0.3">
      <c r="A1051" s="1">
        <v>45294</v>
      </c>
      <c r="B1051" s="2" t="s">
        <v>23</v>
      </c>
      <c r="C1051" s="2" t="s">
        <v>21</v>
      </c>
      <c r="D1051" s="2" t="s">
        <v>13</v>
      </c>
      <c r="E1051">
        <v>169.96</v>
      </c>
      <c r="F1051">
        <v>48.28</v>
      </c>
      <c r="G1051">
        <v>1</v>
      </c>
      <c r="H1051">
        <f t="shared" si="16"/>
        <v>61207.979999999989</v>
      </c>
      <c r="I1051" t="str">
        <f>IF(Sheet1[[#This Row],[Month_Revenue]] &lt; AVERAGE(Sheet1[Month_Revenue]), "Off-Peak", "Peak")</f>
        <v>Peak</v>
      </c>
      <c r="J1051">
        <f xml:space="preserve"> IF(Sheet1[[#This Row],[Ad Spend]] &gt; 0, (Sheet1[[#This Row],[Profit]] / Sheet1[[#This Row],[Ad Spend]]), 0)</f>
        <v>2.5202982601491302</v>
      </c>
      <c r="K1051">
        <f>Sheet1[[#This Row],[Revenue]]-Sheet1[[#This Row],[Ad Spend]]</f>
        <v>121.68</v>
      </c>
      <c r="L1051" s="2" t="s">
        <v>14</v>
      </c>
      <c r="M1051">
        <v>1</v>
      </c>
      <c r="N1051" s="2" t="s">
        <v>15</v>
      </c>
      <c r="O1051">
        <v>169.96</v>
      </c>
    </row>
    <row r="1052" spans="1:15" x14ac:dyDescent="0.3">
      <c r="A1052" s="1">
        <v>45364</v>
      </c>
      <c r="B1052" s="2" t="s">
        <v>20</v>
      </c>
      <c r="C1052" s="2" t="s">
        <v>12</v>
      </c>
      <c r="D1052" s="2" t="s">
        <v>13</v>
      </c>
      <c r="E1052">
        <v>73.48</v>
      </c>
      <c r="F1052">
        <v>1.45</v>
      </c>
      <c r="G1052">
        <v>3</v>
      </c>
      <c r="H1052">
        <f t="shared" si="16"/>
        <v>54735.250000000029</v>
      </c>
      <c r="I1052" t="str">
        <f>IF(Sheet1[[#This Row],[Month_Revenue]] &lt; AVERAGE(Sheet1[Month_Revenue]), "Off-Peak", "Peak")</f>
        <v>Off-Peak</v>
      </c>
      <c r="J1052">
        <f xml:space="preserve"> IF(Sheet1[[#This Row],[Ad Spend]] &gt; 0, (Sheet1[[#This Row],[Profit]] / Sheet1[[#This Row],[Ad Spend]]), 0)</f>
        <v>49.675862068965522</v>
      </c>
      <c r="K1052">
        <f>Sheet1[[#This Row],[Revenue]]-Sheet1[[#This Row],[Ad Spend]]</f>
        <v>72.03</v>
      </c>
      <c r="L1052" s="2" t="s">
        <v>14</v>
      </c>
      <c r="M1052">
        <v>3</v>
      </c>
      <c r="N1052" s="2" t="s">
        <v>19</v>
      </c>
      <c r="O1052">
        <v>24.493333333333336</v>
      </c>
    </row>
    <row r="1053" spans="1:15" x14ac:dyDescent="0.3">
      <c r="A1053" s="1">
        <v>45371</v>
      </c>
      <c r="B1053" s="2" t="s">
        <v>16</v>
      </c>
      <c r="C1053" s="2" t="s">
        <v>12</v>
      </c>
      <c r="D1053" s="2" t="s">
        <v>18</v>
      </c>
      <c r="E1053">
        <v>77.3</v>
      </c>
      <c r="F1053">
        <v>36.409999999999997</v>
      </c>
      <c r="G1053">
        <v>2</v>
      </c>
      <c r="H1053">
        <f t="shared" si="16"/>
        <v>54735.250000000029</v>
      </c>
      <c r="I1053" t="str">
        <f>IF(Sheet1[[#This Row],[Month_Revenue]] &lt; AVERAGE(Sheet1[Month_Revenue]), "Off-Peak", "Peak")</f>
        <v>Off-Peak</v>
      </c>
      <c r="J1053">
        <f xml:space="preserve"> IF(Sheet1[[#This Row],[Ad Spend]] &gt; 0, (Sheet1[[#This Row],[Profit]] / Sheet1[[#This Row],[Ad Spend]]), 0)</f>
        <v>1.1230431200219722</v>
      </c>
      <c r="K1053">
        <f>Sheet1[[#This Row],[Revenue]]-Sheet1[[#This Row],[Ad Spend]]</f>
        <v>40.89</v>
      </c>
      <c r="L1053" s="2" t="s">
        <v>22</v>
      </c>
      <c r="M1053">
        <v>3</v>
      </c>
      <c r="N1053" s="2" t="s">
        <v>19</v>
      </c>
      <c r="O1053">
        <v>38.65</v>
      </c>
    </row>
    <row r="1054" spans="1:15" x14ac:dyDescent="0.3">
      <c r="A1054" s="1">
        <v>45335</v>
      </c>
      <c r="B1054" s="2" t="s">
        <v>20</v>
      </c>
      <c r="C1054" s="2" t="s">
        <v>17</v>
      </c>
      <c r="D1054" s="2" t="s">
        <v>18</v>
      </c>
      <c r="E1054">
        <v>188.61</v>
      </c>
      <c r="F1054">
        <v>38.28</v>
      </c>
      <c r="G1054">
        <v>1</v>
      </c>
      <c r="H1054">
        <f t="shared" si="16"/>
        <v>48675.899999999936</v>
      </c>
      <c r="I1054" t="str">
        <f>IF(Sheet1[[#This Row],[Month_Revenue]] &lt; AVERAGE(Sheet1[Month_Revenue]), "Off-Peak", "Peak")</f>
        <v>Off-Peak</v>
      </c>
      <c r="J1054">
        <f xml:space="preserve"> IF(Sheet1[[#This Row],[Ad Spend]] &gt; 0, (Sheet1[[#This Row],[Profit]] / Sheet1[[#This Row],[Ad Spend]]), 0)</f>
        <v>3.9271159874608155</v>
      </c>
      <c r="K1054">
        <f>Sheet1[[#This Row],[Revenue]]-Sheet1[[#This Row],[Ad Spend]]</f>
        <v>150.33000000000001</v>
      </c>
      <c r="L1054" s="2" t="s">
        <v>22</v>
      </c>
      <c r="M1054">
        <v>2</v>
      </c>
      <c r="N1054" s="2" t="s">
        <v>15</v>
      </c>
      <c r="O1054">
        <v>188.61</v>
      </c>
    </row>
    <row r="1055" spans="1:15" x14ac:dyDescent="0.3">
      <c r="A1055" s="1">
        <v>45352</v>
      </c>
      <c r="B1055" s="2" t="s">
        <v>11</v>
      </c>
      <c r="C1055" s="2" t="s">
        <v>21</v>
      </c>
      <c r="D1055" s="2" t="s">
        <v>18</v>
      </c>
      <c r="E1055">
        <v>111.16</v>
      </c>
      <c r="F1055">
        <v>3.33</v>
      </c>
      <c r="G1055">
        <v>3</v>
      </c>
      <c r="H1055">
        <f t="shared" si="16"/>
        <v>54735.250000000029</v>
      </c>
      <c r="I1055" t="str">
        <f>IF(Sheet1[[#This Row],[Month_Revenue]] &lt; AVERAGE(Sheet1[Month_Revenue]), "Off-Peak", "Peak")</f>
        <v>Off-Peak</v>
      </c>
      <c r="J1055">
        <f xml:space="preserve"> IF(Sheet1[[#This Row],[Ad Spend]] &gt; 0, (Sheet1[[#This Row],[Profit]] / Sheet1[[#This Row],[Ad Spend]]), 0)</f>
        <v>32.381381381381381</v>
      </c>
      <c r="K1055">
        <f>Sheet1[[#This Row],[Revenue]]-Sheet1[[#This Row],[Ad Spend]]</f>
        <v>107.83</v>
      </c>
      <c r="L1055" s="2" t="s">
        <v>22</v>
      </c>
      <c r="M1055">
        <v>3</v>
      </c>
      <c r="N1055" s="2" t="s">
        <v>19</v>
      </c>
      <c r="O1055">
        <v>37.053333333333335</v>
      </c>
    </row>
    <row r="1056" spans="1:15" x14ac:dyDescent="0.3">
      <c r="A1056" s="1">
        <v>45294</v>
      </c>
      <c r="B1056" s="2" t="s">
        <v>20</v>
      </c>
      <c r="C1056" s="2" t="s">
        <v>12</v>
      </c>
      <c r="D1056" s="2" t="s">
        <v>13</v>
      </c>
      <c r="E1056">
        <v>176.54</v>
      </c>
      <c r="F1056">
        <v>5.94</v>
      </c>
      <c r="G1056">
        <v>1</v>
      </c>
      <c r="H1056">
        <f t="shared" si="16"/>
        <v>61207.979999999989</v>
      </c>
      <c r="I1056" t="str">
        <f>IF(Sheet1[[#This Row],[Month_Revenue]] &lt; AVERAGE(Sheet1[Month_Revenue]), "Off-Peak", "Peak")</f>
        <v>Peak</v>
      </c>
      <c r="J1056">
        <f xml:space="preserve"> IF(Sheet1[[#This Row],[Ad Spend]] &gt; 0, (Sheet1[[#This Row],[Profit]] / Sheet1[[#This Row],[Ad Spend]]), 0)</f>
        <v>28.720538720538716</v>
      </c>
      <c r="K1056">
        <f>Sheet1[[#This Row],[Revenue]]-Sheet1[[#This Row],[Ad Spend]]</f>
        <v>170.6</v>
      </c>
      <c r="L1056" s="2" t="s">
        <v>14</v>
      </c>
      <c r="M1056">
        <v>1</v>
      </c>
      <c r="N1056" s="2" t="s">
        <v>15</v>
      </c>
      <c r="O1056">
        <v>176.54</v>
      </c>
    </row>
    <row r="1057" spans="1:15" x14ac:dyDescent="0.3">
      <c r="A1057" s="1">
        <v>45363</v>
      </c>
      <c r="B1057" s="2" t="s">
        <v>11</v>
      </c>
      <c r="C1057" s="2" t="s">
        <v>17</v>
      </c>
      <c r="D1057" s="2" t="s">
        <v>18</v>
      </c>
      <c r="E1057">
        <v>74.28</v>
      </c>
      <c r="F1057">
        <v>13.09</v>
      </c>
      <c r="G1057">
        <v>2</v>
      </c>
      <c r="H1057">
        <f t="shared" si="16"/>
        <v>54735.250000000029</v>
      </c>
      <c r="I1057" t="str">
        <f>IF(Sheet1[[#This Row],[Month_Revenue]] &lt; AVERAGE(Sheet1[Month_Revenue]), "Off-Peak", "Peak")</f>
        <v>Off-Peak</v>
      </c>
      <c r="J1057">
        <f xml:space="preserve"> IF(Sheet1[[#This Row],[Ad Spend]] &gt; 0, (Sheet1[[#This Row],[Profit]] / Sheet1[[#This Row],[Ad Spend]]), 0)</f>
        <v>4.6745607333842623</v>
      </c>
      <c r="K1057">
        <f>Sheet1[[#This Row],[Revenue]]-Sheet1[[#This Row],[Ad Spend]]</f>
        <v>61.19</v>
      </c>
      <c r="L1057" s="2" t="s">
        <v>22</v>
      </c>
      <c r="M1057">
        <v>3</v>
      </c>
      <c r="N1057" s="2" t="s">
        <v>19</v>
      </c>
      <c r="O1057">
        <v>37.14</v>
      </c>
    </row>
    <row r="1058" spans="1:15" x14ac:dyDescent="0.3">
      <c r="A1058" s="1">
        <v>45363</v>
      </c>
      <c r="B1058" s="2" t="s">
        <v>23</v>
      </c>
      <c r="C1058" s="2" t="s">
        <v>12</v>
      </c>
      <c r="D1058" s="2" t="s">
        <v>13</v>
      </c>
      <c r="E1058">
        <v>46.67</v>
      </c>
      <c r="F1058">
        <v>32.76</v>
      </c>
      <c r="G1058">
        <v>1</v>
      </c>
      <c r="H1058">
        <f t="shared" si="16"/>
        <v>54735.250000000029</v>
      </c>
      <c r="I1058" t="str">
        <f>IF(Sheet1[[#This Row],[Month_Revenue]] &lt; AVERAGE(Sheet1[Month_Revenue]), "Off-Peak", "Peak")</f>
        <v>Off-Peak</v>
      </c>
      <c r="J1058">
        <f xml:space="preserve"> IF(Sheet1[[#This Row],[Ad Spend]] &gt; 0, (Sheet1[[#This Row],[Profit]] / Sheet1[[#This Row],[Ad Spend]]), 0)</f>
        <v>0.42460317460317476</v>
      </c>
      <c r="K1058">
        <f>Sheet1[[#This Row],[Revenue]]-Sheet1[[#This Row],[Ad Spend]]</f>
        <v>13.910000000000004</v>
      </c>
      <c r="L1058" s="2" t="s">
        <v>22</v>
      </c>
      <c r="M1058">
        <v>3</v>
      </c>
      <c r="N1058" s="2" t="s">
        <v>19</v>
      </c>
      <c r="O1058">
        <v>46.67</v>
      </c>
    </row>
    <row r="1059" spans="1:15" x14ac:dyDescent="0.3">
      <c r="A1059" s="1">
        <v>45292</v>
      </c>
      <c r="B1059" s="2" t="s">
        <v>24</v>
      </c>
      <c r="C1059" s="2" t="s">
        <v>17</v>
      </c>
      <c r="D1059" s="2" t="s">
        <v>13</v>
      </c>
      <c r="E1059">
        <v>112.85</v>
      </c>
      <c r="F1059">
        <v>41.48</v>
      </c>
      <c r="G1059">
        <v>2</v>
      </c>
      <c r="H1059">
        <f t="shared" si="16"/>
        <v>61207.979999999989</v>
      </c>
      <c r="I1059" t="str">
        <f>IF(Sheet1[[#This Row],[Month_Revenue]] &lt; AVERAGE(Sheet1[Month_Revenue]), "Off-Peak", "Peak")</f>
        <v>Peak</v>
      </c>
      <c r="J1059">
        <f xml:space="preserve"> IF(Sheet1[[#This Row],[Ad Spend]] &gt; 0, (Sheet1[[#This Row],[Profit]] / Sheet1[[#This Row],[Ad Spend]]), 0)</f>
        <v>1.720588235294118</v>
      </c>
      <c r="K1059">
        <f>Sheet1[[#This Row],[Revenue]]-Sheet1[[#This Row],[Ad Spend]]</f>
        <v>71.37</v>
      </c>
      <c r="L1059" s="2" t="s">
        <v>14</v>
      </c>
      <c r="M1059">
        <v>1</v>
      </c>
      <c r="N1059" s="2" t="s">
        <v>15</v>
      </c>
      <c r="O1059">
        <v>56.424999999999997</v>
      </c>
    </row>
    <row r="1060" spans="1:15" x14ac:dyDescent="0.3">
      <c r="A1060" s="1">
        <v>45307</v>
      </c>
      <c r="B1060" s="2" t="s">
        <v>20</v>
      </c>
      <c r="C1060" s="2" t="s">
        <v>12</v>
      </c>
      <c r="D1060" s="2" t="s">
        <v>18</v>
      </c>
      <c r="E1060">
        <v>109.14</v>
      </c>
      <c r="F1060">
        <v>2.5</v>
      </c>
      <c r="G1060">
        <v>0</v>
      </c>
      <c r="H1060">
        <f t="shared" si="16"/>
        <v>61207.979999999989</v>
      </c>
      <c r="I1060" t="str">
        <f>IF(Sheet1[[#This Row],[Month_Revenue]] &lt; AVERAGE(Sheet1[Month_Revenue]), "Off-Peak", "Peak")</f>
        <v>Peak</v>
      </c>
      <c r="J1060">
        <f xml:space="preserve"> IF(Sheet1[[#This Row],[Ad Spend]] &gt; 0, (Sheet1[[#This Row],[Profit]] / Sheet1[[#This Row],[Ad Spend]]), 0)</f>
        <v>42.655999999999999</v>
      </c>
      <c r="K1060">
        <f>Sheet1[[#This Row],[Revenue]]-Sheet1[[#This Row],[Ad Spend]]</f>
        <v>106.64</v>
      </c>
      <c r="L1060" s="2" t="s">
        <v>22</v>
      </c>
      <c r="M1060">
        <v>1</v>
      </c>
      <c r="N1060" s="2" t="s">
        <v>15</v>
      </c>
      <c r="O1060">
        <v>0</v>
      </c>
    </row>
    <row r="1061" spans="1:15" x14ac:dyDescent="0.3">
      <c r="A1061" s="1">
        <v>45347</v>
      </c>
      <c r="B1061" s="2" t="s">
        <v>11</v>
      </c>
      <c r="C1061" s="2" t="s">
        <v>17</v>
      </c>
      <c r="D1061" s="2" t="s">
        <v>13</v>
      </c>
      <c r="E1061">
        <v>170.33</v>
      </c>
      <c r="F1061">
        <v>18.14</v>
      </c>
      <c r="G1061">
        <v>1</v>
      </c>
      <c r="H1061">
        <f t="shared" si="16"/>
        <v>48675.899999999936</v>
      </c>
      <c r="I1061" t="str">
        <f>IF(Sheet1[[#This Row],[Month_Revenue]] &lt; AVERAGE(Sheet1[Month_Revenue]), "Off-Peak", "Peak")</f>
        <v>Off-Peak</v>
      </c>
      <c r="J1061">
        <f xml:space="preserve"> IF(Sheet1[[#This Row],[Ad Spend]] &gt; 0, (Sheet1[[#This Row],[Profit]] / Sheet1[[#This Row],[Ad Spend]]), 0)</f>
        <v>8.3897464167585447</v>
      </c>
      <c r="K1061">
        <f>Sheet1[[#This Row],[Revenue]]-Sheet1[[#This Row],[Ad Spend]]</f>
        <v>152.19</v>
      </c>
      <c r="L1061" s="2" t="s">
        <v>14</v>
      </c>
      <c r="M1061">
        <v>2</v>
      </c>
      <c r="N1061" s="2" t="s">
        <v>15</v>
      </c>
      <c r="O1061">
        <v>170.33</v>
      </c>
    </row>
    <row r="1062" spans="1:15" x14ac:dyDescent="0.3">
      <c r="A1062" s="1">
        <v>45401</v>
      </c>
      <c r="B1062" s="2" t="s">
        <v>20</v>
      </c>
      <c r="C1062" s="2" t="s">
        <v>21</v>
      </c>
      <c r="D1062" s="2" t="s">
        <v>18</v>
      </c>
      <c r="E1062">
        <v>49.54</v>
      </c>
      <c r="F1062">
        <v>33.340000000000003</v>
      </c>
      <c r="G1062">
        <v>2</v>
      </c>
      <c r="H1062">
        <f t="shared" si="16"/>
        <v>58562.910000000018</v>
      </c>
      <c r="I1062" t="str">
        <f>IF(Sheet1[[#This Row],[Month_Revenue]] &lt; AVERAGE(Sheet1[Month_Revenue]), "Off-Peak", "Peak")</f>
        <v>Peak</v>
      </c>
      <c r="J1062">
        <f xml:space="preserve"> IF(Sheet1[[#This Row],[Ad Spend]] &gt; 0, (Sheet1[[#This Row],[Profit]] / Sheet1[[#This Row],[Ad Spend]]), 0)</f>
        <v>0.48590281943611258</v>
      </c>
      <c r="K1062">
        <f>Sheet1[[#This Row],[Revenue]]-Sheet1[[#This Row],[Ad Spend]]</f>
        <v>16.199999999999996</v>
      </c>
      <c r="L1062" s="2" t="s">
        <v>22</v>
      </c>
      <c r="M1062">
        <v>4</v>
      </c>
      <c r="N1062" s="2" t="s">
        <v>19</v>
      </c>
      <c r="O1062">
        <v>24.77</v>
      </c>
    </row>
    <row r="1063" spans="1:15" x14ac:dyDescent="0.3">
      <c r="A1063" s="1">
        <v>45385</v>
      </c>
      <c r="B1063" s="2" t="s">
        <v>11</v>
      </c>
      <c r="C1063" s="2" t="s">
        <v>12</v>
      </c>
      <c r="D1063" s="2" t="s">
        <v>18</v>
      </c>
      <c r="E1063">
        <v>112.72</v>
      </c>
      <c r="F1063">
        <v>25.09</v>
      </c>
      <c r="G1063">
        <v>2</v>
      </c>
      <c r="H1063">
        <f t="shared" si="16"/>
        <v>58562.910000000018</v>
      </c>
      <c r="I1063" t="str">
        <f>IF(Sheet1[[#This Row],[Month_Revenue]] &lt; AVERAGE(Sheet1[Month_Revenue]), "Off-Peak", "Peak")</f>
        <v>Peak</v>
      </c>
      <c r="J1063">
        <f xml:space="preserve"> IF(Sheet1[[#This Row],[Ad Spend]] &gt; 0, (Sheet1[[#This Row],[Profit]] / Sheet1[[#This Row],[Ad Spend]]), 0)</f>
        <v>3.4926265444400157</v>
      </c>
      <c r="K1063">
        <f>Sheet1[[#This Row],[Revenue]]-Sheet1[[#This Row],[Ad Spend]]</f>
        <v>87.63</v>
      </c>
      <c r="L1063" s="2" t="s">
        <v>14</v>
      </c>
      <c r="M1063">
        <v>4</v>
      </c>
      <c r="N1063" s="2" t="s">
        <v>19</v>
      </c>
      <c r="O1063">
        <v>56.36</v>
      </c>
    </row>
    <row r="1064" spans="1:15" x14ac:dyDescent="0.3">
      <c r="A1064" s="1">
        <v>45367</v>
      </c>
      <c r="B1064" s="2" t="s">
        <v>11</v>
      </c>
      <c r="C1064" s="2" t="s">
        <v>17</v>
      </c>
      <c r="D1064" s="2" t="s">
        <v>18</v>
      </c>
      <c r="E1064">
        <v>198.78</v>
      </c>
      <c r="F1064">
        <v>38.33</v>
      </c>
      <c r="G1064">
        <v>0</v>
      </c>
      <c r="H1064">
        <f t="shared" si="16"/>
        <v>54735.250000000029</v>
      </c>
      <c r="I1064" t="str">
        <f>IF(Sheet1[[#This Row],[Month_Revenue]] &lt; AVERAGE(Sheet1[Month_Revenue]), "Off-Peak", "Peak")</f>
        <v>Off-Peak</v>
      </c>
      <c r="J1064">
        <f xml:space="preserve"> IF(Sheet1[[#This Row],[Ad Spend]] &gt; 0, (Sheet1[[#This Row],[Profit]] / Sheet1[[#This Row],[Ad Spend]]), 0)</f>
        <v>4.186016175319593</v>
      </c>
      <c r="K1064">
        <f>Sheet1[[#This Row],[Revenue]]-Sheet1[[#This Row],[Ad Spend]]</f>
        <v>160.44999999999999</v>
      </c>
      <c r="L1064" s="2" t="s">
        <v>14</v>
      </c>
      <c r="M1064">
        <v>3</v>
      </c>
      <c r="N1064" s="2" t="s">
        <v>19</v>
      </c>
      <c r="O1064">
        <v>0</v>
      </c>
    </row>
    <row r="1065" spans="1:15" x14ac:dyDescent="0.3">
      <c r="A1065" s="1">
        <v>45370</v>
      </c>
      <c r="B1065" s="2" t="s">
        <v>16</v>
      </c>
      <c r="C1065" s="2" t="s">
        <v>21</v>
      </c>
      <c r="D1065" s="2" t="s">
        <v>13</v>
      </c>
      <c r="E1065">
        <v>167.19</v>
      </c>
      <c r="F1065">
        <v>8.7899999999999991</v>
      </c>
      <c r="G1065">
        <v>2</v>
      </c>
      <c r="H1065">
        <f t="shared" si="16"/>
        <v>54735.250000000029</v>
      </c>
      <c r="I1065" t="str">
        <f>IF(Sheet1[[#This Row],[Month_Revenue]] &lt; AVERAGE(Sheet1[Month_Revenue]), "Off-Peak", "Peak")</f>
        <v>Off-Peak</v>
      </c>
      <c r="J1065">
        <f xml:space="preserve"> IF(Sheet1[[#This Row],[Ad Spend]] &gt; 0, (Sheet1[[#This Row],[Profit]] / Sheet1[[#This Row],[Ad Spend]]), 0)</f>
        <v>18.02047781569966</v>
      </c>
      <c r="K1065">
        <f>Sheet1[[#This Row],[Revenue]]-Sheet1[[#This Row],[Ad Spend]]</f>
        <v>158.4</v>
      </c>
      <c r="L1065" s="2" t="s">
        <v>14</v>
      </c>
      <c r="M1065">
        <v>3</v>
      </c>
      <c r="N1065" s="2" t="s">
        <v>19</v>
      </c>
      <c r="O1065">
        <v>83.594999999999999</v>
      </c>
    </row>
    <row r="1066" spans="1:15" x14ac:dyDescent="0.3">
      <c r="A1066" s="1">
        <v>45314</v>
      </c>
      <c r="B1066" s="2" t="s">
        <v>24</v>
      </c>
      <c r="C1066" s="2" t="s">
        <v>17</v>
      </c>
      <c r="D1066" s="2" t="s">
        <v>13</v>
      </c>
      <c r="E1066">
        <v>71.22</v>
      </c>
      <c r="F1066">
        <v>23.25</v>
      </c>
      <c r="G1066">
        <v>0</v>
      </c>
      <c r="H1066">
        <f t="shared" si="16"/>
        <v>61207.979999999989</v>
      </c>
      <c r="I1066" t="str">
        <f>IF(Sheet1[[#This Row],[Month_Revenue]] &lt; AVERAGE(Sheet1[Month_Revenue]), "Off-Peak", "Peak")</f>
        <v>Peak</v>
      </c>
      <c r="J1066">
        <f xml:space="preserve"> IF(Sheet1[[#This Row],[Ad Spend]] &gt; 0, (Sheet1[[#This Row],[Profit]] / Sheet1[[#This Row],[Ad Spend]]), 0)</f>
        <v>2.0632258064516127</v>
      </c>
      <c r="K1066">
        <f>Sheet1[[#This Row],[Revenue]]-Sheet1[[#This Row],[Ad Spend]]</f>
        <v>47.97</v>
      </c>
      <c r="L1066" s="2" t="s">
        <v>14</v>
      </c>
      <c r="M1066">
        <v>1</v>
      </c>
      <c r="N1066" s="2" t="s">
        <v>15</v>
      </c>
      <c r="O1066">
        <v>0</v>
      </c>
    </row>
    <row r="1067" spans="1:15" x14ac:dyDescent="0.3">
      <c r="A1067" s="1">
        <v>45349</v>
      </c>
      <c r="B1067" s="2" t="s">
        <v>16</v>
      </c>
      <c r="C1067" s="2" t="s">
        <v>21</v>
      </c>
      <c r="D1067" s="2" t="s">
        <v>18</v>
      </c>
      <c r="E1067">
        <v>144.19999999999999</v>
      </c>
      <c r="F1067">
        <v>4.5199999999999996</v>
      </c>
      <c r="G1067">
        <v>2</v>
      </c>
      <c r="H1067">
        <f t="shared" si="16"/>
        <v>48675.899999999936</v>
      </c>
      <c r="I1067" t="str">
        <f>IF(Sheet1[[#This Row],[Month_Revenue]] &lt; AVERAGE(Sheet1[Month_Revenue]), "Off-Peak", "Peak")</f>
        <v>Off-Peak</v>
      </c>
      <c r="J1067">
        <f xml:space="preserve"> IF(Sheet1[[#This Row],[Ad Spend]] &gt; 0, (Sheet1[[#This Row],[Profit]] / Sheet1[[#This Row],[Ad Spend]]), 0)</f>
        <v>30.902654867256636</v>
      </c>
      <c r="K1067">
        <f>Sheet1[[#This Row],[Revenue]]-Sheet1[[#This Row],[Ad Spend]]</f>
        <v>139.67999999999998</v>
      </c>
      <c r="L1067" s="2" t="s">
        <v>22</v>
      </c>
      <c r="M1067">
        <v>2</v>
      </c>
      <c r="N1067" s="2" t="s">
        <v>15</v>
      </c>
      <c r="O1067">
        <v>72.099999999999994</v>
      </c>
    </row>
    <row r="1068" spans="1:15" x14ac:dyDescent="0.3">
      <c r="A1068" s="1">
        <v>45321</v>
      </c>
      <c r="B1068" s="2" t="s">
        <v>24</v>
      </c>
      <c r="C1068" s="2" t="s">
        <v>21</v>
      </c>
      <c r="D1068" s="2" t="s">
        <v>13</v>
      </c>
      <c r="E1068">
        <v>178.89</v>
      </c>
      <c r="F1068">
        <v>11.92</v>
      </c>
      <c r="G1068">
        <v>0</v>
      </c>
      <c r="H1068">
        <f t="shared" si="16"/>
        <v>61207.979999999989</v>
      </c>
      <c r="I1068" t="str">
        <f>IF(Sheet1[[#This Row],[Month_Revenue]] &lt; AVERAGE(Sheet1[Month_Revenue]), "Off-Peak", "Peak")</f>
        <v>Peak</v>
      </c>
      <c r="J1068">
        <f xml:space="preserve"> IF(Sheet1[[#This Row],[Ad Spend]] &gt; 0, (Sheet1[[#This Row],[Profit]] / Sheet1[[#This Row],[Ad Spend]]), 0)</f>
        <v>14.007550335570469</v>
      </c>
      <c r="K1068">
        <f>Sheet1[[#This Row],[Revenue]]-Sheet1[[#This Row],[Ad Spend]]</f>
        <v>166.97</v>
      </c>
      <c r="L1068" s="2" t="s">
        <v>22</v>
      </c>
      <c r="M1068">
        <v>1</v>
      </c>
      <c r="N1068" s="2" t="s">
        <v>15</v>
      </c>
      <c r="O1068">
        <v>0</v>
      </c>
    </row>
    <row r="1069" spans="1:15" x14ac:dyDescent="0.3">
      <c r="A1069" s="1">
        <v>45379</v>
      </c>
      <c r="B1069" s="2" t="s">
        <v>16</v>
      </c>
      <c r="C1069" s="2" t="s">
        <v>12</v>
      </c>
      <c r="D1069" s="2" t="s">
        <v>13</v>
      </c>
      <c r="E1069">
        <v>56.08</v>
      </c>
      <c r="F1069">
        <v>8.67</v>
      </c>
      <c r="G1069">
        <v>2</v>
      </c>
      <c r="H1069">
        <f t="shared" si="16"/>
        <v>54735.250000000029</v>
      </c>
      <c r="I1069" t="str">
        <f>IF(Sheet1[[#This Row],[Month_Revenue]] &lt; AVERAGE(Sheet1[Month_Revenue]), "Off-Peak", "Peak")</f>
        <v>Off-Peak</v>
      </c>
      <c r="J1069">
        <f xml:space="preserve"> IF(Sheet1[[#This Row],[Ad Spend]] &gt; 0, (Sheet1[[#This Row],[Profit]] / Sheet1[[#This Row],[Ad Spend]]), 0)</f>
        <v>5.4682814302191458</v>
      </c>
      <c r="K1069">
        <f>Sheet1[[#This Row],[Revenue]]-Sheet1[[#This Row],[Ad Spend]]</f>
        <v>47.41</v>
      </c>
      <c r="L1069" s="2" t="s">
        <v>14</v>
      </c>
      <c r="M1069">
        <v>3</v>
      </c>
      <c r="N1069" s="2" t="s">
        <v>19</v>
      </c>
      <c r="O1069">
        <v>28.04</v>
      </c>
    </row>
    <row r="1070" spans="1:15" x14ac:dyDescent="0.3">
      <c r="A1070" s="1">
        <v>45373</v>
      </c>
      <c r="B1070" s="2" t="s">
        <v>16</v>
      </c>
      <c r="C1070" s="2" t="s">
        <v>17</v>
      </c>
      <c r="D1070" s="2" t="s">
        <v>13</v>
      </c>
      <c r="E1070">
        <v>52.15</v>
      </c>
      <c r="F1070">
        <v>27.77</v>
      </c>
      <c r="G1070">
        <v>0</v>
      </c>
      <c r="H1070">
        <f t="shared" si="16"/>
        <v>54735.250000000029</v>
      </c>
      <c r="I1070" t="str">
        <f>IF(Sheet1[[#This Row],[Month_Revenue]] &lt; AVERAGE(Sheet1[Month_Revenue]), "Off-Peak", "Peak")</f>
        <v>Off-Peak</v>
      </c>
      <c r="J1070">
        <f xml:space="preserve"> IF(Sheet1[[#This Row],[Ad Spend]] &gt; 0, (Sheet1[[#This Row],[Profit]] / Sheet1[[#This Row],[Ad Spend]]), 0)</f>
        <v>0.87792581922938417</v>
      </c>
      <c r="K1070">
        <f>Sheet1[[#This Row],[Revenue]]-Sheet1[[#This Row],[Ad Spend]]</f>
        <v>24.38</v>
      </c>
      <c r="L1070" s="2" t="s">
        <v>22</v>
      </c>
      <c r="M1070">
        <v>3</v>
      </c>
      <c r="N1070" s="2" t="s">
        <v>19</v>
      </c>
      <c r="O1070">
        <v>0</v>
      </c>
    </row>
    <row r="1071" spans="1:15" x14ac:dyDescent="0.3">
      <c r="A1071" s="1">
        <v>45340</v>
      </c>
      <c r="B1071" s="2" t="s">
        <v>11</v>
      </c>
      <c r="C1071" s="2" t="s">
        <v>12</v>
      </c>
      <c r="D1071" s="2" t="s">
        <v>13</v>
      </c>
      <c r="E1071">
        <v>80.45</v>
      </c>
      <c r="F1071">
        <v>26.31</v>
      </c>
      <c r="G1071">
        <v>0</v>
      </c>
      <c r="H1071">
        <f t="shared" si="16"/>
        <v>48675.899999999936</v>
      </c>
      <c r="I1071" t="str">
        <f>IF(Sheet1[[#This Row],[Month_Revenue]] &lt; AVERAGE(Sheet1[Month_Revenue]), "Off-Peak", "Peak")</f>
        <v>Off-Peak</v>
      </c>
      <c r="J1071">
        <f xml:space="preserve"> IF(Sheet1[[#This Row],[Ad Spend]] &gt; 0, (Sheet1[[#This Row],[Profit]] / Sheet1[[#This Row],[Ad Spend]]), 0)</f>
        <v>2.0577727099961991</v>
      </c>
      <c r="K1071">
        <f>Sheet1[[#This Row],[Revenue]]-Sheet1[[#This Row],[Ad Spend]]</f>
        <v>54.14</v>
      </c>
      <c r="L1071" s="2" t="s">
        <v>14</v>
      </c>
      <c r="M1071">
        <v>2</v>
      </c>
      <c r="N1071" s="2" t="s">
        <v>15</v>
      </c>
      <c r="O1071">
        <v>0</v>
      </c>
    </row>
    <row r="1072" spans="1:15" x14ac:dyDescent="0.3">
      <c r="A1072" s="1">
        <v>45301</v>
      </c>
      <c r="B1072" s="2" t="s">
        <v>16</v>
      </c>
      <c r="C1072" s="2" t="s">
        <v>17</v>
      </c>
      <c r="D1072" s="2" t="s">
        <v>18</v>
      </c>
      <c r="E1072">
        <v>83.57</v>
      </c>
      <c r="F1072">
        <v>26.03</v>
      </c>
      <c r="G1072">
        <v>0</v>
      </c>
      <c r="H1072">
        <f t="shared" si="16"/>
        <v>61207.979999999989</v>
      </c>
      <c r="I1072" t="str">
        <f>IF(Sheet1[[#This Row],[Month_Revenue]] &lt; AVERAGE(Sheet1[Month_Revenue]), "Off-Peak", "Peak")</f>
        <v>Peak</v>
      </c>
      <c r="J1072">
        <f xml:space="preserve"> IF(Sheet1[[#This Row],[Ad Spend]] &gt; 0, (Sheet1[[#This Row],[Profit]] / Sheet1[[#This Row],[Ad Spend]]), 0)</f>
        <v>2.2105263157894735</v>
      </c>
      <c r="K1072">
        <f>Sheet1[[#This Row],[Revenue]]-Sheet1[[#This Row],[Ad Spend]]</f>
        <v>57.539999999999992</v>
      </c>
      <c r="L1072" s="2" t="s">
        <v>14</v>
      </c>
      <c r="M1072">
        <v>1</v>
      </c>
      <c r="N1072" s="2" t="s">
        <v>15</v>
      </c>
      <c r="O1072">
        <v>0</v>
      </c>
    </row>
    <row r="1073" spans="1:15" x14ac:dyDescent="0.3">
      <c r="A1073" s="1">
        <v>45359</v>
      </c>
      <c r="B1073" s="2" t="s">
        <v>24</v>
      </c>
      <c r="C1073" s="2" t="s">
        <v>12</v>
      </c>
      <c r="D1073" s="2" t="s">
        <v>13</v>
      </c>
      <c r="E1073">
        <v>148.97999999999999</v>
      </c>
      <c r="F1073">
        <v>0.44</v>
      </c>
      <c r="G1073">
        <v>1</v>
      </c>
      <c r="H1073">
        <f t="shared" si="16"/>
        <v>54735.250000000029</v>
      </c>
      <c r="I1073" t="str">
        <f>IF(Sheet1[[#This Row],[Month_Revenue]] &lt; AVERAGE(Sheet1[Month_Revenue]), "Off-Peak", "Peak")</f>
        <v>Off-Peak</v>
      </c>
      <c r="J1073">
        <f xml:space="preserve"> IF(Sheet1[[#This Row],[Ad Spend]] &gt; 0, (Sheet1[[#This Row],[Profit]] / Sheet1[[#This Row],[Ad Spend]]), 0)</f>
        <v>337.59090909090907</v>
      </c>
      <c r="K1073">
        <f>Sheet1[[#This Row],[Revenue]]-Sheet1[[#This Row],[Ad Spend]]</f>
        <v>148.54</v>
      </c>
      <c r="L1073" s="2" t="s">
        <v>14</v>
      </c>
      <c r="M1073">
        <v>3</v>
      </c>
      <c r="N1073" s="2" t="s">
        <v>19</v>
      </c>
      <c r="O1073">
        <v>148.97999999999999</v>
      </c>
    </row>
    <row r="1074" spans="1:15" x14ac:dyDescent="0.3">
      <c r="A1074" s="1">
        <v>45403</v>
      </c>
      <c r="B1074" s="2" t="s">
        <v>24</v>
      </c>
      <c r="C1074" s="2" t="s">
        <v>21</v>
      </c>
      <c r="D1074" s="2" t="s">
        <v>18</v>
      </c>
      <c r="E1074">
        <v>116.83</v>
      </c>
      <c r="F1074">
        <v>4.41</v>
      </c>
      <c r="G1074">
        <v>3</v>
      </c>
      <c r="H1074">
        <f t="shared" si="16"/>
        <v>58562.910000000018</v>
      </c>
      <c r="I1074" t="str">
        <f>IF(Sheet1[[#This Row],[Month_Revenue]] &lt; AVERAGE(Sheet1[Month_Revenue]), "Off-Peak", "Peak")</f>
        <v>Peak</v>
      </c>
      <c r="J1074">
        <f xml:space="preserve"> IF(Sheet1[[#This Row],[Ad Spend]] &gt; 0, (Sheet1[[#This Row],[Profit]] / Sheet1[[#This Row],[Ad Spend]]), 0)</f>
        <v>25.49206349206349</v>
      </c>
      <c r="K1074">
        <f>Sheet1[[#This Row],[Revenue]]-Sheet1[[#This Row],[Ad Spend]]</f>
        <v>112.42</v>
      </c>
      <c r="L1074" s="2" t="s">
        <v>14</v>
      </c>
      <c r="M1074">
        <v>4</v>
      </c>
      <c r="N1074" s="2" t="s">
        <v>19</v>
      </c>
      <c r="O1074">
        <v>38.943333333333335</v>
      </c>
    </row>
    <row r="1075" spans="1:15" x14ac:dyDescent="0.3">
      <c r="A1075" s="1">
        <v>45316</v>
      </c>
      <c r="B1075" s="2" t="s">
        <v>23</v>
      </c>
      <c r="C1075" s="2" t="s">
        <v>17</v>
      </c>
      <c r="D1075" s="2" t="s">
        <v>18</v>
      </c>
      <c r="E1075">
        <v>140.03</v>
      </c>
      <c r="F1075">
        <v>29.29</v>
      </c>
      <c r="G1075">
        <v>2</v>
      </c>
      <c r="H1075">
        <f t="shared" si="16"/>
        <v>61207.979999999989</v>
      </c>
      <c r="I1075" t="str">
        <f>IF(Sheet1[[#This Row],[Month_Revenue]] &lt; AVERAGE(Sheet1[Month_Revenue]), "Off-Peak", "Peak")</f>
        <v>Peak</v>
      </c>
      <c r="J1075">
        <f xml:space="preserve"> IF(Sheet1[[#This Row],[Ad Spend]] &gt; 0, (Sheet1[[#This Row],[Profit]] / Sheet1[[#This Row],[Ad Spend]]), 0)</f>
        <v>3.7808125640150227</v>
      </c>
      <c r="K1075">
        <f>Sheet1[[#This Row],[Revenue]]-Sheet1[[#This Row],[Ad Spend]]</f>
        <v>110.74000000000001</v>
      </c>
      <c r="L1075" s="2" t="s">
        <v>22</v>
      </c>
      <c r="M1075">
        <v>1</v>
      </c>
      <c r="N1075" s="2" t="s">
        <v>15</v>
      </c>
      <c r="O1075">
        <v>70.015000000000001</v>
      </c>
    </row>
    <row r="1076" spans="1:15" x14ac:dyDescent="0.3">
      <c r="A1076" s="1">
        <v>45327</v>
      </c>
      <c r="B1076" s="2" t="s">
        <v>16</v>
      </c>
      <c r="C1076" s="2" t="s">
        <v>17</v>
      </c>
      <c r="D1076" s="2" t="s">
        <v>18</v>
      </c>
      <c r="E1076">
        <v>37.6</v>
      </c>
      <c r="F1076">
        <v>38.9</v>
      </c>
      <c r="G1076">
        <v>0</v>
      </c>
      <c r="H1076">
        <f t="shared" si="16"/>
        <v>48675.899999999936</v>
      </c>
      <c r="I1076" t="str">
        <f>IF(Sheet1[[#This Row],[Month_Revenue]] &lt; AVERAGE(Sheet1[Month_Revenue]), "Off-Peak", "Peak")</f>
        <v>Off-Peak</v>
      </c>
      <c r="J1076">
        <f xml:space="preserve"> IF(Sheet1[[#This Row],[Ad Spend]] &gt; 0, (Sheet1[[#This Row],[Profit]] / Sheet1[[#This Row],[Ad Spend]]), 0)</f>
        <v>-3.3419023136246714E-2</v>
      </c>
      <c r="K1076">
        <f>Sheet1[[#This Row],[Revenue]]-Sheet1[[#This Row],[Ad Spend]]</f>
        <v>-1.2999999999999972</v>
      </c>
      <c r="L1076" s="2" t="s">
        <v>22</v>
      </c>
      <c r="M1076">
        <v>2</v>
      </c>
      <c r="N1076" s="2" t="s">
        <v>15</v>
      </c>
      <c r="O1076">
        <v>0</v>
      </c>
    </row>
    <row r="1077" spans="1:15" x14ac:dyDescent="0.3">
      <c r="A1077" s="1">
        <v>45403</v>
      </c>
      <c r="B1077" s="2" t="s">
        <v>24</v>
      </c>
      <c r="C1077" s="2" t="s">
        <v>17</v>
      </c>
      <c r="D1077" s="2" t="s">
        <v>13</v>
      </c>
      <c r="E1077">
        <v>72.650000000000006</v>
      </c>
      <c r="F1077">
        <v>37.96</v>
      </c>
      <c r="G1077">
        <v>0</v>
      </c>
      <c r="H1077">
        <f t="shared" si="16"/>
        <v>58562.910000000018</v>
      </c>
      <c r="I1077" t="str">
        <f>IF(Sheet1[[#This Row],[Month_Revenue]] &lt; AVERAGE(Sheet1[Month_Revenue]), "Off-Peak", "Peak")</f>
        <v>Peak</v>
      </c>
      <c r="J1077">
        <f xml:space="preserve"> IF(Sheet1[[#This Row],[Ad Spend]] &gt; 0, (Sheet1[[#This Row],[Profit]] / Sheet1[[#This Row],[Ad Spend]]), 0)</f>
        <v>0.91385669125395164</v>
      </c>
      <c r="K1077">
        <f>Sheet1[[#This Row],[Revenue]]-Sheet1[[#This Row],[Ad Spend]]</f>
        <v>34.690000000000005</v>
      </c>
      <c r="L1077" s="2" t="s">
        <v>14</v>
      </c>
      <c r="M1077">
        <v>4</v>
      </c>
      <c r="N1077" s="2" t="s">
        <v>19</v>
      </c>
      <c r="O1077">
        <v>0</v>
      </c>
    </row>
    <row r="1078" spans="1:15" x14ac:dyDescent="0.3">
      <c r="A1078" s="1">
        <v>45292</v>
      </c>
      <c r="B1078" s="2" t="s">
        <v>11</v>
      </c>
      <c r="C1078" s="2" t="s">
        <v>21</v>
      </c>
      <c r="D1078" s="2" t="s">
        <v>18</v>
      </c>
      <c r="E1078">
        <v>65.7</v>
      </c>
      <c r="F1078">
        <v>22.91</v>
      </c>
      <c r="G1078">
        <v>3</v>
      </c>
      <c r="H1078">
        <f t="shared" si="16"/>
        <v>61207.979999999989</v>
      </c>
      <c r="I1078" t="str">
        <f>IF(Sheet1[[#This Row],[Month_Revenue]] &lt; AVERAGE(Sheet1[Month_Revenue]), "Off-Peak", "Peak")</f>
        <v>Peak</v>
      </c>
      <c r="J1078">
        <f xml:space="preserve"> IF(Sheet1[[#This Row],[Ad Spend]] &gt; 0, (Sheet1[[#This Row],[Profit]] / Sheet1[[#This Row],[Ad Spend]]), 0)</f>
        <v>1.8677433435181146</v>
      </c>
      <c r="K1078">
        <f>Sheet1[[#This Row],[Revenue]]-Sheet1[[#This Row],[Ad Spend]]</f>
        <v>42.790000000000006</v>
      </c>
      <c r="L1078" s="2" t="s">
        <v>22</v>
      </c>
      <c r="M1078">
        <v>1</v>
      </c>
      <c r="N1078" s="2" t="s">
        <v>15</v>
      </c>
      <c r="O1078">
        <v>21.900000000000002</v>
      </c>
    </row>
    <row r="1079" spans="1:15" x14ac:dyDescent="0.3">
      <c r="A1079" s="1">
        <v>45312</v>
      </c>
      <c r="B1079" s="2" t="s">
        <v>16</v>
      </c>
      <c r="C1079" s="2" t="s">
        <v>12</v>
      </c>
      <c r="D1079" s="2" t="s">
        <v>18</v>
      </c>
      <c r="E1079">
        <v>136.04</v>
      </c>
      <c r="F1079">
        <v>17.93</v>
      </c>
      <c r="G1079">
        <v>2</v>
      </c>
      <c r="H1079">
        <f t="shared" si="16"/>
        <v>61207.979999999989</v>
      </c>
      <c r="I1079" t="str">
        <f>IF(Sheet1[[#This Row],[Month_Revenue]] &lt; AVERAGE(Sheet1[Month_Revenue]), "Off-Peak", "Peak")</f>
        <v>Peak</v>
      </c>
      <c r="J1079">
        <f xml:space="preserve"> IF(Sheet1[[#This Row],[Ad Spend]] &gt; 0, (Sheet1[[#This Row],[Profit]] / Sheet1[[#This Row],[Ad Spend]]), 0)</f>
        <v>6.5872838817624091</v>
      </c>
      <c r="K1079">
        <f>Sheet1[[#This Row],[Revenue]]-Sheet1[[#This Row],[Ad Spend]]</f>
        <v>118.10999999999999</v>
      </c>
      <c r="L1079" s="2" t="s">
        <v>22</v>
      </c>
      <c r="M1079">
        <v>1</v>
      </c>
      <c r="N1079" s="2" t="s">
        <v>15</v>
      </c>
      <c r="O1079">
        <v>68.02</v>
      </c>
    </row>
    <row r="1080" spans="1:15" x14ac:dyDescent="0.3">
      <c r="A1080" s="1">
        <v>45407</v>
      </c>
      <c r="B1080" s="2" t="s">
        <v>20</v>
      </c>
      <c r="C1080" s="2" t="s">
        <v>17</v>
      </c>
      <c r="D1080" s="2" t="s">
        <v>13</v>
      </c>
      <c r="E1080">
        <v>113.63</v>
      </c>
      <c r="F1080">
        <v>36.75</v>
      </c>
      <c r="G1080">
        <v>3</v>
      </c>
      <c r="H1080">
        <f t="shared" si="16"/>
        <v>58562.910000000018</v>
      </c>
      <c r="I1080" t="str">
        <f>IF(Sheet1[[#This Row],[Month_Revenue]] &lt; AVERAGE(Sheet1[Month_Revenue]), "Off-Peak", "Peak")</f>
        <v>Peak</v>
      </c>
      <c r="J1080">
        <f xml:space="preserve"> IF(Sheet1[[#This Row],[Ad Spend]] &gt; 0, (Sheet1[[#This Row],[Profit]] / Sheet1[[#This Row],[Ad Spend]]), 0)</f>
        <v>2.0919727891156463</v>
      </c>
      <c r="K1080">
        <f>Sheet1[[#This Row],[Revenue]]-Sheet1[[#This Row],[Ad Spend]]</f>
        <v>76.88</v>
      </c>
      <c r="L1080" s="2" t="s">
        <v>14</v>
      </c>
      <c r="M1080">
        <v>4</v>
      </c>
      <c r="N1080" s="2" t="s">
        <v>19</v>
      </c>
      <c r="O1080">
        <v>37.876666666666665</v>
      </c>
    </row>
    <row r="1081" spans="1:15" x14ac:dyDescent="0.3">
      <c r="A1081" s="1">
        <v>45318</v>
      </c>
      <c r="B1081" s="2" t="s">
        <v>23</v>
      </c>
      <c r="C1081" s="2" t="s">
        <v>12</v>
      </c>
      <c r="D1081" s="2" t="s">
        <v>13</v>
      </c>
      <c r="E1081">
        <v>133.78</v>
      </c>
      <c r="F1081">
        <v>5.19</v>
      </c>
      <c r="G1081">
        <v>0</v>
      </c>
      <c r="H1081">
        <f t="shared" si="16"/>
        <v>61207.979999999989</v>
      </c>
      <c r="I1081" t="str">
        <f>IF(Sheet1[[#This Row],[Month_Revenue]] &lt; AVERAGE(Sheet1[Month_Revenue]), "Off-Peak", "Peak")</f>
        <v>Peak</v>
      </c>
      <c r="J1081">
        <f xml:space="preserve"> IF(Sheet1[[#This Row],[Ad Spend]] &gt; 0, (Sheet1[[#This Row],[Profit]] / Sheet1[[#This Row],[Ad Spend]]), 0)</f>
        <v>24.776493256262039</v>
      </c>
      <c r="K1081">
        <f>Sheet1[[#This Row],[Revenue]]-Sheet1[[#This Row],[Ad Spend]]</f>
        <v>128.59</v>
      </c>
      <c r="L1081" s="2" t="s">
        <v>22</v>
      </c>
      <c r="M1081">
        <v>1</v>
      </c>
      <c r="N1081" s="2" t="s">
        <v>15</v>
      </c>
      <c r="O1081">
        <v>0</v>
      </c>
    </row>
    <row r="1082" spans="1:15" x14ac:dyDescent="0.3">
      <c r="A1082" s="1">
        <v>45304</v>
      </c>
      <c r="B1082" s="2" t="s">
        <v>11</v>
      </c>
      <c r="C1082" s="2" t="s">
        <v>21</v>
      </c>
      <c r="D1082" s="2" t="s">
        <v>18</v>
      </c>
      <c r="E1082">
        <v>52.61</v>
      </c>
      <c r="F1082">
        <v>45.4</v>
      </c>
      <c r="G1082">
        <v>0</v>
      </c>
      <c r="H1082">
        <f t="shared" si="16"/>
        <v>61207.979999999989</v>
      </c>
      <c r="I1082" t="str">
        <f>IF(Sheet1[[#This Row],[Month_Revenue]] &lt; AVERAGE(Sheet1[Month_Revenue]), "Off-Peak", "Peak")</f>
        <v>Peak</v>
      </c>
      <c r="J1082">
        <f xml:space="preserve"> IF(Sheet1[[#This Row],[Ad Spend]] &gt; 0, (Sheet1[[#This Row],[Profit]] / Sheet1[[#This Row],[Ad Spend]]), 0)</f>
        <v>0.1588105726872247</v>
      </c>
      <c r="K1082">
        <f>Sheet1[[#This Row],[Revenue]]-Sheet1[[#This Row],[Ad Spend]]</f>
        <v>7.2100000000000009</v>
      </c>
      <c r="L1082" s="2" t="s">
        <v>22</v>
      </c>
      <c r="M1082">
        <v>1</v>
      </c>
      <c r="N1082" s="2" t="s">
        <v>15</v>
      </c>
      <c r="O1082">
        <v>0</v>
      </c>
    </row>
    <row r="1083" spans="1:15" x14ac:dyDescent="0.3">
      <c r="A1083" s="1">
        <v>45373</v>
      </c>
      <c r="B1083" s="2" t="s">
        <v>24</v>
      </c>
      <c r="C1083" s="2" t="s">
        <v>12</v>
      </c>
      <c r="D1083" s="2" t="s">
        <v>13</v>
      </c>
      <c r="E1083">
        <v>181.96</v>
      </c>
      <c r="F1083">
        <v>14.35</v>
      </c>
      <c r="G1083">
        <v>3</v>
      </c>
      <c r="H1083">
        <f t="shared" si="16"/>
        <v>54735.250000000029</v>
      </c>
      <c r="I1083" t="str">
        <f>IF(Sheet1[[#This Row],[Month_Revenue]] &lt; AVERAGE(Sheet1[Month_Revenue]), "Off-Peak", "Peak")</f>
        <v>Off-Peak</v>
      </c>
      <c r="J1083">
        <f xml:space="preserve"> IF(Sheet1[[#This Row],[Ad Spend]] &gt; 0, (Sheet1[[#This Row],[Profit]] / Sheet1[[#This Row],[Ad Spend]]), 0)</f>
        <v>11.680139372822302</v>
      </c>
      <c r="K1083">
        <f>Sheet1[[#This Row],[Revenue]]-Sheet1[[#This Row],[Ad Spend]]</f>
        <v>167.61</v>
      </c>
      <c r="L1083" s="2" t="s">
        <v>14</v>
      </c>
      <c r="M1083">
        <v>3</v>
      </c>
      <c r="N1083" s="2" t="s">
        <v>19</v>
      </c>
      <c r="O1083">
        <v>60.653333333333336</v>
      </c>
    </row>
    <row r="1084" spans="1:15" x14ac:dyDescent="0.3">
      <c r="A1084" s="1">
        <v>45338</v>
      </c>
      <c r="B1084" s="2" t="s">
        <v>16</v>
      </c>
      <c r="C1084" s="2" t="s">
        <v>21</v>
      </c>
      <c r="D1084" s="2" t="s">
        <v>13</v>
      </c>
      <c r="E1084">
        <v>79.27</v>
      </c>
      <c r="F1084">
        <v>42.66</v>
      </c>
      <c r="G1084">
        <v>3</v>
      </c>
      <c r="H1084">
        <f t="shared" si="16"/>
        <v>48675.899999999936</v>
      </c>
      <c r="I1084" t="str">
        <f>IF(Sheet1[[#This Row],[Month_Revenue]] &lt; AVERAGE(Sheet1[Month_Revenue]), "Off-Peak", "Peak")</f>
        <v>Off-Peak</v>
      </c>
      <c r="J1084">
        <f xml:space="preserve"> IF(Sheet1[[#This Row],[Ad Spend]] &gt; 0, (Sheet1[[#This Row],[Profit]] / Sheet1[[#This Row],[Ad Spend]]), 0)</f>
        <v>0.85818096577590253</v>
      </c>
      <c r="K1084">
        <f>Sheet1[[#This Row],[Revenue]]-Sheet1[[#This Row],[Ad Spend]]</f>
        <v>36.61</v>
      </c>
      <c r="L1084" s="2" t="s">
        <v>22</v>
      </c>
      <c r="M1084">
        <v>2</v>
      </c>
      <c r="N1084" s="2" t="s">
        <v>15</v>
      </c>
      <c r="O1084">
        <v>26.423333333333332</v>
      </c>
    </row>
    <row r="1085" spans="1:15" x14ac:dyDescent="0.3">
      <c r="A1085" s="1">
        <v>45349</v>
      </c>
      <c r="B1085" s="2" t="s">
        <v>20</v>
      </c>
      <c r="C1085" s="2" t="s">
        <v>12</v>
      </c>
      <c r="D1085" s="2" t="s">
        <v>18</v>
      </c>
      <c r="E1085">
        <v>82.87</v>
      </c>
      <c r="F1085">
        <v>48.98</v>
      </c>
      <c r="G1085">
        <v>3</v>
      </c>
      <c r="H1085">
        <f t="shared" si="16"/>
        <v>48675.899999999936</v>
      </c>
      <c r="I1085" t="str">
        <f>IF(Sheet1[[#This Row],[Month_Revenue]] &lt; AVERAGE(Sheet1[Month_Revenue]), "Off-Peak", "Peak")</f>
        <v>Off-Peak</v>
      </c>
      <c r="J1085">
        <f xml:space="preserve"> IF(Sheet1[[#This Row],[Ad Spend]] &gt; 0, (Sheet1[[#This Row],[Profit]] / Sheet1[[#This Row],[Ad Spend]]), 0)</f>
        <v>0.69191506737443875</v>
      </c>
      <c r="K1085">
        <f>Sheet1[[#This Row],[Revenue]]-Sheet1[[#This Row],[Ad Spend]]</f>
        <v>33.890000000000008</v>
      </c>
      <c r="L1085" s="2" t="s">
        <v>14</v>
      </c>
      <c r="M1085">
        <v>2</v>
      </c>
      <c r="N1085" s="2" t="s">
        <v>15</v>
      </c>
      <c r="O1085">
        <v>27.623333333333335</v>
      </c>
    </row>
    <row r="1086" spans="1:15" x14ac:dyDescent="0.3">
      <c r="A1086" s="1">
        <v>45403</v>
      </c>
      <c r="B1086" s="2" t="s">
        <v>16</v>
      </c>
      <c r="C1086" s="2" t="s">
        <v>17</v>
      </c>
      <c r="D1086" s="2" t="s">
        <v>18</v>
      </c>
      <c r="E1086">
        <v>32.69</v>
      </c>
      <c r="F1086">
        <v>20.62</v>
      </c>
      <c r="G1086">
        <v>1</v>
      </c>
      <c r="H1086">
        <f t="shared" si="16"/>
        <v>58562.910000000018</v>
      </c>
      <c r="I1086" t="str">
        <f>IF(Sheet1[[#This Row],[Month_Revenue]] &lt; AVERAGE(Sheet1[Month_Revenue]), "Off-Peak", "Peak")</f>
        <v>Peak</v>
      </c>
      <c r="J1086">
        <f xml:space="preserve"> IF(Sheet1[[#This Row],[Ad Spend]] &gt; 0, (Sheet1[[#This Row],[Profit]] / Sheet1[[#This Row],[Ad Spend]]), 0)</f>
        <v>0.58535402521823454</v>
      </c>
      <c r="K1086">
        <f>Sheet1[[#This Row],[Revenue]]-Sheet1[[#This Row],[Ad Spend]]</f>
        <v>12.069999999999997</v>
      </c>
      <c r="L1086" s="2" t="s">
        <v>22</v>
      </c>
      <c r="M1086">
        <v>4</v>
      </c>
      <c r="N1086" s="2" t="s">
        <v>19</v>
      </c>
      <c r="O1086">
        <v>32.69</v>
      </c>
    </row>
    <row r="1087" spans="1:15" x14ac:dyDescent="0.3">
      <c r="A1087" s="1">
        <v>45308</v>
      </c>
      <c r="B1087" s="2" t="s">
        <v>20</v>
      </c>
      <c r="C1087" s="2" t="s">
        <v>12</v>
      </c>
      <c r="D1087" s="2" t="s">
        <v>13</v>
      </c>
      <c r="E1087">
        <v>192.95</v>
      </c>
      <c r="F1087">
        <v>45.93</v>
      </c>
      <c r="G1087">
        <v>2</v>
      </c>
      <c r="H1087">
        <f t="shared" si="16"/>
        <v>61207.979999999989</v>
      </c>
      <c r="I1087" t="str">
        <f>IF(Sheet1[[#This Row],[Month_Revenue]] &lt; AVERAGE(Sheet1[Month_Revenue]), "Off-Peak", "Peak")</f>
        <v>Peak</v>
      </c>
      <c r="J1087">
        <f xml:space="preserve"> IF(Sheet1[[#This Row],[Ad Spend]] &gt; 0, (Sheet1[[#This Row],[Profit]] / Sheet1[[#This Row],[Ad Spend]]), 0)</f>
        <v>3.2009579795340732</v>
      </c>
      <c r="K1087">
        <f>Sheet1[[#This Row],[Revenue]]-Sheet1[[#This Row],[Ad Spend]]</f>
        <v>147.01999999999998</v>
      </c>
      <c r="L1087" s="2" t="s">
        <v>22</v>
      </c>
      <c r="M1087">
        <v>1</v>
      </c>
      <c r="N1087" s="2" t="s">
        <v>15</v>
      </c>
      <c r="O1087">
        <v>96.474999999999994</v>
      </c>
    </row>
    <row r="1088" spans="1:15" x14ac:dyDescent="0.3">
      <c r="A1088" s="1">
        <v>45372</v>
      </c>
      <c r="B1088" s="2" t="s">
        <v>11</v>
      </c>
      <c r="C1088" s="2" t="s">
        <v>17</v>
      </c>
      <c r="D1088" s="2" t="s">
        <v>18</v>
      </c>
      <c r="E1088">
        <v>148.81</v>
      </c>
      <c r="F1088">
        <v>47.57</v>
      </c>
      <c r="G1088">
        <v>1</v>
      </c>
      <c r="H1088">
        <f t="shared" si="16"/>
        <v>54735.250000000029</v>
      </c>
      <c r="I1088" t="str">
        <f>IF(Sheet1[[#This Row],[Month_Revenue]] &lt; AVERAGE(Sheet1[Month_Revenue]), "Off-Peak", "Peak")</f>
        <v>Off-Peak</v>
      </c>
      <c r="J1088">
        <f xml:space="preserve"> IF(Sheet1[[#This Row],[Ad Spend]] &gt; 0, (Sheet1[[#This Row],[Profit]] / Sheet1[[#This Row],[Ad Spend]]), 0)</f>
        <v>2.1282320790414126</v>
      </c>
      <c r="K1088">
        <f>Sheet1[[#This Row],[Revenue]]-Sheet1[[#This Row],[Ad Spend]]</f>
        <v>101.24000000000001</v>
      </c>
      <c r="L1088" s="2" t="s">
        <v>14</v>
      </c>
      <c r="M1088">
        <v>3</v>
      </c>
      <c r="N1088" s="2" t="s">
        <v>19</v>
      </c>
      <c r="O1088">
        <v>148.81</v>
      </c>
    </row>
    <row r="1089" spans="1:15" x14ac:dyDescent="0.3">
      <c r="A1089" s="1">
        <v>45333</v>
      </c>
      <c r="B1089" s="2" t="s">
        <v>20</v>
      </c>
      <c r="C1089" s="2" t="s">
        <v>12</v>
      </c>
      <c r="D1089" s="2" t="s">
        <v>18</v>
      </c>
      <c r="E1089">
        <v>150.25</v>
      </c>
      <c r="F1089">
        <v>42.76</v>
      </c>
      <c r="G1089">
        <v>1</v>
      </c>
      <c r="H1089">
        <f t="shared" si="16"/>
        <v>48675.899999999936</v>
      </c>
      <c r="I1089" t="str">
        <f>IF(Sheet1[[#This Row],[Month_Revenue]] &lt; AVERAGE(Sheet1[Month_Revenue]), "Off-Peak", "Peak")</f>
        <v>Off-Peak</v>
      </c>
      <c r="J1089">
        <f xml:space="preserve"> IF(Sheet1[[#This Row],[Ad Spend]] &gt; 0, (Sheet1[[#This Row],[Profit]] / Sheet1[[#This Row],[Ad Spend]]), 0)</f>
        <v>2.5137979420018715</v>
      </c>
      <c r="K1089">
        <f>Sheet1[[#This Row],[Revenue]]-Sheet1[[#This Row],[Ad Spend]]</f>
        <v>107.49000000000001</v>
      </c>
      <c r="L1089" s="2" t="s">
        <v>14</v>
      </c>
      <c r="M1089">
        <v>2</v>
      </c>
      <c r="N1089" s="2" t="s">
        <v>15</v>
      </c>
      <c r="O1089">
        <v>150.25</v>
      </c>
    </row>
    <row r="1090" spans="1:15" x14ac:dyDescent="0.3">
      <c r="A1090" s="1">
        <v>45370</v>
      </c>
      <c r="B1090" s="2" t="s">
        <v>23</v>
      </c>
      <c r="C1090" s="2" t="s">
        <v>17</v>
      </c>
      <c r="D1090" s="2" t="s">
        <v>18</v>
      </c>
      <c r="E1090">
        <v>185.38</v>
      </c>
      <c r="F1090">
        <v>9.84</v>
      </c>
      <c r="G1090">
        <v>1</v>
      </c>
      <c r="H1090">
        <f t="shared" ref="H1090:H1153" si="17">SUMIFS($E$2:$E$2001, $M$2:$M$2001, M1090)</f>
        <v>54735.250000000029</v>
      </c>
      <c r="I1090" t="str">
        <f>IF(Sheet1[[#This Row],[Month_Revenue]] &lt; AVERAGE(Sheet1[Month_Revenue]), "Off-Peak", "Peak")</f>
        <v>Off-Peak</v>
      </c>
      <c r="J1090">
        <f xml:space="preserve"> IF(Sheet1[[#This Row],[Ad Spend]] &gt; 0, (Sheet1[[#This Row],[Profit]] / Sheet1[[#This Row],[Ad Spend]]), 0)</f>
        <v>17.839430894308943</v>
      </c>
      <c r="K1090">
        <f>Sheet1[[#This Row],[Revenue]]-Sheet1[[#This Row],[Ad Spend]]</f>
        <v>175.54</v>
      </c>
      <c r="L1090" s="2" t="s">
        <v>14</v>
      </c>
      <c r="M1090">
        <v>3</v>
      </c>
      <c r="N1090" s="2" t="s">
        <v>19</v>
      </c>
      <c r="O1090">
        <v>185.38</v>
      </c>
    </row>
    <row r="1091" spans="1:15" x14ac:dyDescent="0.3">
      <c r="A1091" s="1">
        <v>45338</v>
      </c>
      <c r="B1091" s="2" t="s">
        <v>20</v>
      </c>
      <c r="C1091" s="2" t="s">
        <v>12</v>
      </c>
      <c r="D1091" s="2" t="s">
        <v>18</v>
      </c>
      <c r="E1091">
        <v>34.81</v>
      </c>
      <c r="F1091">
        <v>35.32</v>
      </c>
      <c r="G1091">
        <v>1</v>
      </c>
      <c r="H1091">
        <f t="shared" si="17"/>
        <v>48675.899999999936</v>
      </c>
      <c r="I1091" t="str">
        <f>IF(Sheet1[[#This Row],[Month_Revenue]] &lt; AVERAGE(Sheet1[Month_Revenue]), "Off-Peak", "Peak")</f>
        <v>Off-Peak</v>
      </c>
      <c r="J1091">
        <f xml:space="preserve"> IF(Sheet1[[#This Row],[Ad Spend]] &gt; 0, (Sheet1[[#This Row],[Profit]] / Sheet1[[#This Row],[Ad Spend]]), 0)</f>
        <v>-1.443941109852769E-2</v>
      </c>
      <c r="K1091">
        <f>Sheet1[[#This Row],[Revenue]]-Sheet1[[#This Row],[Ad Spend]]</f>
        <v>-0.50999999999999801</v>
      </c>
      <c r="L1091" s="2" t="s">
        <v>14</v>
      </c>
      <c r="M1091">
        <v>2</v>
      </c>
      <c r="N1091" s="2" t="s">
        <v>15</v>
      </c>
      <c r="O1091">
        <v>34.81</v>
      </c>
    </row>
    <row r="1092" spans="1:15" x14ac:dyDescent="0.3">
      <c r="A1092" s="1">
        <v>45319</v>
      </c>
      <c r="B1092" s="2" t="s">
        <v>24</v>
      </c>
      <c r="C1092" s="2" t="s">
        <v>12</v>
      </c>
      <c r="D1092" s="2" t="s">
        <v>13</v>
      </c>
      <c r="E1092">
        <v>111.95</v>
      </c>
      <c r="F1092">
        <v>20.79</v>
      </c>
      <c r="G1092">
        <v>0</v>
      </c>
      <c r="H1092">
        <f t="shared" si="17"/>
        <v>61207.979999999989</v>
      </c>
      <c r="I1092" t="str">
        <f>IF(Sheet1[[#This Row],[Month_Revenue]] &lt; AVERAGE(Sheet1[Month_Revenue]), "Off-Peak", "Peak")</f>
        <v>Peak</v>
      </c>
      <c r="J1092">
        <f xml:space="preserve"> IF(Sheet1[[#This Row],[Ad Spend]] &gt; 0, (Sheet1[[#This Row],[Profit]] / Sheet1[[#This Row],[Ad Spend]]), 0)</f>
        <v>4.3848003848003847</v>
      </c>
      <c r="K1092">
        <f>Sheet1[[#This Row],[Revenue]]-Sheet1[[#This Row],[Ad Spend]]</f>
        <v>91.16</v>
      </c>
      <c r="L1092" s="2" t="s">
        <v>14</v>
      </c>
      <c r="M1092">
        <v>1</v>
      </c>
      <c r="N1092" s="2" t="s">
        <v>15</v>
      </c>
      <c r="O1092">
        <v>0</v>
      </c>
    </row>
    <row r="1093" spans="1:15" x14ac:dyDescent="0.3">
      <c r="A1093" s="1">
        <v>45388</v>
      </c>
      <c r="B1093" s="2" t="s">
        <v>23</v>
      </c>
      <c r="C1093" s="2" t="s">
        <v>17</v>
      </c>
      <c r="D1093" s="2" t="s">
        <v>18</v>
      </c>
      <c r="E1093">
        <v>112.27</v>
      </c>
      <c r="F1093">
        <v>10.54</v>
      </c>
      <c r="G1093">
        <v>2</v>
      </c>
      <c r="H1093">
        <f t="shared" si="17"/>
        <v>58562.910000000018</v>
      </c>
      <c r="I1093" t="str">
        <f>IF(Sheet1[[#This Row],[Month_Revenue]] &lt; AVERAGE(Sheet1[Month_Revenue]), "Off-Peak", "Peak")</f>
        <v>Peak</v>
      </c>
      <c r="J1093">
        <f xml:space="preserve"> IF(Sheet1[[#This Row],[Ad Spend]] &gt; 0, (Sheet1[[#This Row],[Profit]] / Sheet1[[#This Row],[Ad Spend]]), 0)</f>
        <v>9.6518026565464901</v>
      </c>
      <c r="K1093">
        <f>Sheet1[[#This Row],[Revenue]]-Sheet1[[#This Row],[Ad Spend]]</f>
        <v>101.72999999999999</v>
      </c>
      <c r="L1093" s="2" t="s">
        <v>14</v>
      </c>
      <c r="M1093">
        <v>4</v>
      </c>
      <c r="N1093" s="2" t="s">
        <v>19</v>
      </c>
      <c r="O1093">
        <v>56.134999999999998</v>
      </c>
    </row>
    <row r="1094" spans="1:15" x14ac:dyDescent="0.3">
      <c r="A1094" s="1">
        <v>45295</v>
      </c>
      <c r="B1094" s="2" t="s">
        <v>23</v>
      </c>
      <c r="C1094" s="2" t="s">
        <v>12</v>
      </c>
      <c r="D1094" s="2" t="s">
        <v>13</v>
      </c>
      <c r="E1094">
        <v>38.78</v>
      </c>
      <c r="F1094">
        <v>14.21</v>
      </c>
      <c r="G1094">
        <v>3</v>
      </c>
      <c r="H1094">
        <f t="shared" si="17"/>
        <v>61207.979999999989</v>
      </c>
      <c r="I1094" t="str">
        <f>IF(Sheet1[[#This Row],[Month_Revenue]] &lt; AVERAGE(Sheet1[Month_Revenue]), "Off-Peak", "Peak")</f>
        <v>Peak</v>
      </c>
      <c r="J1094">
        <f xml:space="preserve"> IF(Sheet1[[#This Row],[Ad Spend]] &gt; 0, (Sheet1[[#This Row],[Profit]] / Sheet1[[#This Row],[Ad Spend]]), 0)</f>
        <v>1.729064039408867</v>
      </c>
      <c r="K1094">
        <f>Sheet1[[#This Row],[Revenue]]-Sheet1[[#This Row],[Ad Spend]]</f>
        <v>24.57</v>
      </c>
      <c r="L1094" s="2" t="s">
        <v>22</v>
      </c>
      <c r="M1094">
        <v>1</v>
      </c>
      <c r="N1094" s="2" t="s">
        <v>15</v>
      </c>
      <c r="O1094">
        <v>12.926666666666668</v>
      </c>
    </row>
    <row r="1095" spans="1:15" x14ac:dyDescent="0.3">
      <c r="A1095" s="1">
        <v>45380</v>
      </c>
      <c r="B1095" s="2" t="s">
        <v>11</v>
      </c>
      <c r="C1095" s="2" t="s">
        <v>12</v>
      </c>
      <c r="D1095" s="2" t="s">
        <v>13</v>
      </c>
      <c r="E1095">
        <v>56.88</v>
      </c>
      <c r="F1095">
        <v>5.42</v>
      </c>
      <c r="G1095">
        <v>0</v>
      </c>
      <c r="H1095">
        <f t="shared" si="17"/>
        <v>54735.250000000029</v>
      </c>
      <c r="I1095" t="str">
        <f>IF(Sheet1[[#This Row],[Month_Revenue]] &lt; AVERAGE(Sheet1[Month_Revenue]), "Off-Peak", "Peak")</f>
        <v>Off-Peak</v>
      </c>
      <c r="J1095">
        <f xml:space="preserve"> IF(Sheet1[[#This Row],[Ad Spend]] &gt; 0, (Sheet1[[#This Row],[Profit]] / Sheet1[[#This Row],[Ad Spend]]), 0)</f>
        <v>9.4944649446494473</v>
      </c>
      <c r="K1095">
        <f>Sheet1[[#This Row],[Revenue]]-Sheet1[[#This Row],[Ad Spend]]</f>
        <v>51.46</v>
      </c>
      <c r="L1095" s="2" t="s">
        <v>22</v>
      </c>
      <c r="M1095">
        <v>3</v>
      </c>
      <c r="N1095" s="2" t="s">
        <v>19</v>
      </c>
      <c r="O1095">
        <v>0</v>
      </c>
    </row>
    <row r="1096" spans="1:15" x14ac:dyDescent="0.3">
      <c r="A1096" s="1">
        <v>45292</v>
      </c>
      <c r="B1096" s="2" t="s">
        <v>24</v>
      </c>
      <c r="C1096" s="2" t="s">
        <v>21</v>
      </c>
      <c r="D1096" s="2" t="s">
        <v>13</v>
      </c>
      <c r="E1096">
        <v>150.80000000000001</v>
      </c>
      <c r="F1096">
        <v>2.96</v>
      </c>
      <c r="G1096">
        <v>3</v>
      </c>
      <c r="H1096">
        <f t="shared" si="17"/>
        <v>61207.979999999989</v>
      </c>
      <c r="I1096" t="str">
        <f>IF(Sheet1[[#This Row],[Month_Revenue]] &lt; AVERAGE(Sheet1[Month_Revenue]), "Off-Peak", "Peak")</f>
        <v>Peak</v>
      </c>
      <c r="J1096">
        <f xml:space="preserve"> IF(Sheet1[[#This Row],[Ad Spend]] &gt; 0, (Sheet1[[#This Row],[Profit]] / Sheet1[[#This Row],[Ad Spend]]), 0)</f>
        <v>49.945945945945951</v>
      </c>
      <c r="K1096">
        <f>Sheet1[[#This Row],[Revenue]]-Sheet1[[#This Row],[Ad Spend]]</f>
        <v>147.84</v>
      </c>
      <c r="L1096" s="2" t="s">
        <v>14</v>
      </c>
      <c r="M1096">
        <v>1</v>
      </c>
      <c r="N1096" s="2" t="s">
        <v>15</v>
      </c>
      <c r="O1096">
        <v>50.266666666666673</v>
      </c>
    </row>
    <row r="1097" spans="1:15" x14ac:dyDescent="0.3">
      <c r="A1097" s="1">
        <v>45295</v>
      </c>
      <c r="B1097" s="2" t="s">
        <v>23</v>
      </c>
      <c r="C1097" s="2" t="s">
        <v>21</v>
      </c>
      <c r="D1097" s="2" t="s">
        <v>13</v>
      </c>
      <c r="E1097">
        <v>120.52</v>
      </c>
      <c r="F1097">
        <v>38.71</v>
      </c>
      <c r="G1097">
        <v>2</v>
      </c>
      <c r="H1097">
        <f t="shared" si="17"/>
        <v>61207.979999999989</v>
      </c>
      <c r="I1097" t="str">
        <f>IF(Sheet1[[#This Row],[Month_Revenue]] &lt; AVERAGE(Sheet1[Month_Revenue]), "Off-Peak", "Peak")</f>
        <v>Peak</v>
      </c>
      <c r="J1097">
        <f xml:space="preserve"> IF(Sheet1[[#This Row],[Ad Spend]] &gt; 0, (Sheet1[[#This Row],[Profit]] / Sheet1[[#This Row],[Ad Spend]]), 0)</f>
        <v>2.1134073882717646</v>
      </c>
      <c r="K1097">
        <f>Sheet1[[#This Row],[Revenue]]-Sheet1[[#This Row],[Ad Spend]]</f>
        <v>81.81</v>
      </c>
      <c r="L1097" s="2" t="s">
        <v>22</v>
      </c>
      <c r="M1097">
        <v>1</v>
      </c>
      <c r="N1097" s="2" t="s">
        <v>15</v>
      </c>
      <c r="O1097">
        <v>60.26</v>
      </c>
    </row>
    <row r="1098" spans="1:15" x14ac:dyDescent="0.3">
      <c r="A1098" s="1">
        <v>45346</v>
      </c>
      <c r="B1098" s="2" t="s">
        <v>16</v>
      </c>
      <c r="C1098" s="2" t="s">
        <v>21</v>
      </c>
      <c r="D1098" s="2" t="s">
        <v>13</v>
      </c>
      <c r="E1098">
        <v>97.54</v>
      </c>
      <c r="F1098">
        <v>1.57</v>
      </c>
      <c r="G1098">
        <v>3</v>
      </c>
      <c r="H1098">
        <f t="shared" si="17"/>
        <v>48675.899999999936</v>
      </c>
      <c r="I1098" t="str">
        <f>IF(Sheet1[[#This Row],[Month_Revenue]] &lt; AVERAGE(Sheet1[Month_Revenue]), "Off-Peak", "Peak")</f>
        <v>Off-Peak</v>
      </c>
      <c r="J1098">
        <f xml:space="preserve"> IF(Sheet1[[#This Row],[Ad Spend]] &gt; 0, (Sheet1[[#This Row],[Profit]] / Sheet1[[#This Row],[Ad Spend]]), 0)</f>
        <v>61.127388535031855</v>
      </c>
      <c r="K1098">
        <f>Sheet1[[#This Row],[Revenue]]-Sheet1[[#This Row],[Ad Spend]]</f>
        <v>95.970000000000013</v>
      </c>
      <c r="L1098" s="2" t="s">
        <v>22</v>
      </c>
      <c r="M1098">
        <v>2</v>
      </c>
      <c r="N1098" s="2" t="s">
        <v>15</v>
      </c>
      <c r="O1098">
        <v>32.513333333333335</v>
      </c>
    </row>
    <row r="1099" spans="1:15" x14ac:dyDescent="0.3">
      <c r="A1099" s="1">
        <v>45322</v>
      </c>
      <c r="B1099" s="2" t="s">
        <v>24</v>
      </c>
      <c r="C1099" s="2" t="s">
        <v>21</v>
      </c>
      <c r="D1099" s="2" t="s">
        <v>13</v>
      </c>
      <c r="E1099">
        <v>47.06</v>
      </c>
      <c r="F1099">
        <v>42</v>
      </c>
      <c r="G1099">
        <v>2</v>
      </c>
      <c r="H1099">
        <f t="shared" si="17"/>
        <v>61207.979999999989</v>
      </c>
      <c r="I1099" t="str">
        <f>IF(Sheet1[[#This Row],[Month_Revenue]] &lt; AVERAGE(Sheet1[Month_Revenue]), "Off-Peak", "Peak")</f>
        <v>Peak</v>
      </c>
      <c r="J1099">
        <f xml:space="preserve"> IF(Sheet1[[#This Row],[Ad Spend]] &gt; 0, (Sheet1[[#This Row],[Profit]] / Sheet1[[#This Row],[Ad Spend]]), 0)</f>
        <v>0.12047619047619053</v>
      </c>
      <c r="K1099">
        <f>Sheet1[[#This Row],[Revenue]]-Sheet1[[#This Row],[Ad Spend]]</f>
        <v>5.0600000000000023</v>
      </c>
      <c r="L1099" s="2" t="s">
        <v>22</v>
      </c>
      <c r="M1099">
        <v>1</v>
      </c>
      <c r="N1099" s="2" t="s">
        <v>15</v>
      </c>
      <c r="O1099">
        <v>23.53</v>
      </c>
    </row>
    <row r="1100" spans="1:15" x14ac:dyDescent="0.3">
      <c r="A1100" s="1">
        <v>45380</v>
      </c>
      <c r="B1100" s="2" t="s">
        <v>20</v>
      </c>
      <c r="C1100" s="2" t="s">
        <v>21</v>
      </c>
      <c r="D1100" s="2" t="s">
        <v>13</v>
      </c>
      <c r="E1100">
        <v>169.38</v>
      </c>
      <c r="F1100">
        <v>12.84</v>
      </c>
      <c r="G1100">
        <v>1</v>
      </c>
      <c r="H1100">
        <f t="shared" si="17"/>
        <v>54735.250000000029</v>
      </c>
      <c r="I1100" t="str">
        <f>IF(Sheet1[[#This Row],[Month_Revenue]] &lt; AVERAGE(Sheet1[Month_Revenue]), "Off-Peak", "Peak")</f>
        <v>Off-Peak</v>
      </c>
      <c r="J1100">
        <f xml:space="preserve"> IF(Sheet1[[#This Row],[Ad Spend]] &gt; 0, (Sheet1[[#This Row],[Profit]] / Sheet1[[#This Row],[Ad Spend]]), 0)</f>
        <v>12.191588785046729</v>
      </c>
      <c r="K1100">
        <f>Sheet1[[#This Row],[Revenue]]-Sheet1[[#This Row],[Ad Spend]]</f>
        <v>156.54</v>
      </c>
      <c r="L1100" s="2" t="s">
        <v>22</v>
      </c>
      <c r="M1100">
        <v>3</v>
      </c>
      <c r="N1100" s="2" t="s">
        <v>19</v>
      </c>
      <c r="O1100">
        <v>169.38</v>
      </c>
    </row>
    <row r="1101" spans="1:15" x14ac:dyDescent="0.3">
      <c r="A1101" s="1">
        <v>45393</v>
      </c>
      <c r="B1101" s="2" t="s">
        <v>23</v>
      </c>
      <c r="C1101" s="2" t="s">
        <v>21</v>
      </c>
      <c r="D1101" s="2" t="s">
        <v>13</v>
      </c>
      <c r="E1101">
        <v>184.66</v>
      </c>
      <c r="F1101">
        <v>31.64</v>
      </c>
      <c r="G1101">
        <v>3</v>
      </c>
      <c r="H1101">
        <f t="shared" si="17"/>
        <v>58562.910000000018</v>
      </c>
      <c r="I1101" t="str">
        <f>IF(Sheet1[[#This Row],[Month_Revenue]] &lt; AVERAGE(Sheet1[Month_Revenue]), "Off-Peak", "Peak")</f>
        <v>Peak</v>
      </c>
      <c r="J1101">
        <f xml:space="preserve"> IF(Sheet1[[#This Row],[Ad Spend]] &gt; 0, (Sheet1[[#This Row],[Profit]] / Sheet1[[#This Row],[Ad Spend]]), 0)</f>
        <v>4.8362831858407072</v>
      </c>
      <c r="K1101">
        <f>Sheet1[[#This Row],[Revenue]]-Sheet1[[#This Row],[Ad Spend]]</f>
        <v>153.01999999999998</v>
      </c>
      <c r="L1101" s="2" t="s">
        <v>14</v>
      </c>
      <c r="M1101">
        <v>4</v>
      </c>
      <c r="N1101" s="2" t="s">
        <v>19</v>
      </c>
      <c r="O1101">
        <v>61.553333333333335</v>
      </c>
    </row>
    <row r="1102" spans="1:15" x14ac:dyDescent="0.3">
      <c r="A1102" s="1">
        <v>45317</v>
      </c>
      <c r="B1102" s="2" t="s">
        <v>23</v>
      </c>
      <c r="C1102" s="2" t="s">
        <v>12</v>
      </c>
      <c r="D1102" s="2" t="s">
        <v>18</v>
      </c>
      <c r="E1102">
        <v>56.53</v>
      </c>
      <c r="F1102">
        <v>45.78</v>
      </c>
      <c r="G1102">
        <v>1</v>
      </c>
      <c r="H1102">
        <f t="shared" si="17"/>
        <v>61207.979999999989</v>
      </c>
      <c r="I1102" t="str">
        <f>IF(Sheet1[[#This Row],[Month_Revenue]] &lt; AVERAGE(Sheet1[Month_Revenue]), "Off-Peak", "Peak")</f>
        <v>Peak</v>
      </c>
      <c r="J1102">
        <f xml:space="preserve"> IF(Sheet1[[#This Row],[Ad Spend]] &gt; 0, (Sheet1[[#This Row],[Profit]] / Sheet1[[#This Row],[Ad Spend]]), 0)</f>
        <v>0.2348186981214504</v>
      </c>
      <c r="K1102">
        <f>Sheet1[[#This Row],[Revenue]]-Sheet1[[#This Row],[Ad Spend]]</f>
        <v>10.75</v>
      </c>
      <c r="L1102" s="2" t="s">
        <v>22</v>
      </c>
      <c r="M1102">
        <v>1</v>
      </c>
      <c r="N1102" s="2" t="s">
        <v>15</v>
      </c>
      <c r="O1102">
        <v>56.53</v>
      </c>
    </row>
    <row r="1103" spans="1:15" x14ac:dyDescent="0.3">
      <c r="A1103" s="1">
        <v>45299</v>
      </c>
      <c r="B1103" s="2" t="s">
        <v>16</v>
      </c>
      <c r="C1103" s="2" t="s">
        <v>21</v>
      </c>
      <c r="D1103" s="2" t="s">
        <v>18</v>
      </c>
      <c r="E1103">
        <v>32.700000000000003</v>
      </c>
      <c r="F1103">
        <v>11.15</v>
      </c>
      <c r="G1103">
        <v>0</v>
      </c>
      <c r="H1103">
        <f t="shared" si="17"/>
        <v>61207.979999999989</v>
      </c>
      <c r="I1103" t="str">
        <f>IF(Sheet1[[#This Row],[Month_Revenue]] &lt; AVERAGE(Sheet1[Month_Revenue]), "Off-Peak", "Peak")</f>
        <v>Peak</v>
      </c>
      <c r="J1103">
        <f xml:space="preserve"> IF(Sheet1[[#This Row],[Ad Spend]] &gt; 0, (Sheet1[[#This Row],[Profit]] / Sheet1[[#This Row],[Ad Spend]]), 0)</f>
        <v>1.9327354260089689</v>
      </c>
      <c r="K1103">
        <f>Sheet1[[#This Row],[Revenue]]-Sheet1[[#This Row],[Ad Spend]]</f>
        <v>21.550000000000004</v>
      </c>
      <c r="L1103" s="2" t="s">
        <v>14</v>
      </c>
      <c r="M1103">
        <v>1</v>
      </c>
      <c r="N1103" s="2" t="s">
        <v>15</v>
      </c>
      <c r="O1103">
        <v>0</v>
      </c>
    </row>
    <row r="1104" spans="1:15" x14ac:dyDescent="0.3">
      <c r="A1104" s="1">
        <v>45398</v>
      </c>
      <c r="B1104" s="2" t="s">
        <v>20</v>
      </c>
      <c r="C1104" s="2" t="s">
        <v>17</v>
      </c>
      <c r="D1104" s="2" t="s">
        <v>13</v>
      </c>
      <c r="E1104">
        <v>39.36</v>
      </c>
      <c r="F1104">
        <v>48.02</v>
      </c>
      <c r="G1104">
        <v>3</v>
      </c>
      <c r="H1104">
        <f t="shared" si="17"/>
        <v>58562.910000000018</v>
      </c>
      <c r="I1104" t="str">
        <f>IF(Sheet1[[#This Row],[Month_Revenue]] &lt; AVERAGE(Sheet1[Month_Revenue]), "Off-Peak", "Peak")</f>
        <v>Peak</v>
      </c>
      <c r="J1104">
        <f xml:space="preserve"> IF(Sheet1[[#This Row],[Ad Spend]] &gt; 0, (Sheet1[[#This Row],[Profit]] / Sheet1[[#This Row],[Ad Spend]]), 0)</f>
        <v>-0.18034152436484804</v>
      </c>
      <c r="K1104">
        <f>Sheet1[[#This Row],[Revenue]]-Sheet1[[#This Row],[Ad Spend]]</f>
        <v>-8.6600000000000037</v>
      </c>
      <c r="L1104" s="2" t="s">
        <v>14</v>
      </c>
      <c r="M1104">
        <v>4</v>
      </c>
      <c r="N1104" s="2" t="s">
        <v>19</v>
      </c>
      <c r="O1104">
        <v>13.12</v>
      </c>
    </row>
    <row r="1105" spans="1:15" x14ac:dyDescent="0.3">
      <c r="A1105" s="1">
        <v>45393</v>
      </c>
      <c r="B1105" s="2" t="s">
        <v>20</v>
      </c>
      <c r="C1105" s="2" t="s">
        <v>17</v>
      </c>
      <c r="D1105" s="2" t="s">
        <v>18</v>
      </c>
      <c r="E1105">
        <v>42.19</v>
      </c>
      <c r="F1105">
        <v>29.12</v>
      </c>
      <c r="G1105">
        <v>0</v>
      </c>
      <c r="H1105">
        <f t="shared" si="17"/>
        <v>58562.910000000018</v>
      </c>
      <c r="I1105" t="str">
        <f>IF(Sheet1[[#This Row],[Month_Revenue]] &lt; AVERAGE(Sheet1[Month_Revenue]), "Off-Peak", "Peak")</f>
        <v>Peak</v>
      </c>
      <c r="J1105">
        <f xml:space="preserve"> IF(Sheet1[[#This Row],[Ad Spend]] &gt; 0, (Sheet1[[#This Row],[Profit]] / Sheet1[[#This Row],[Ad Spend]]), 0)</f>
        <v>0.44883241758241743</v>
      </c>
      <c r="K1105">
        <f>Sheet1[[#This Row],[Revenue]]-Sheet1[[#This Row],[Ad Spend]]</f>
        <v>13.069999999999997</v>
      </c>
      <c r="L1105" s="2" t="s">
        <v>22</v>
      </c>
      <c r="M1105">
        <v>4</v>
      </c>
      <c r="N1105" s="2" t="s">
        <v>19</v>
      </c>
      <c r="O1105">
        <v>0</v>
      </c>
    </row>
    <row r="1106" spans="1:15" x14ac:dyDescent="0.3">
      <c r="A1106" s="1">
        <v>45331</v>
      </c>
      <c r="B1106" s="2" t="s">
        <v>23</v>
      </c>
      <c r="C1106" s="2" t="s">
        <v>21</v>
      </c>
      <c r="D1106" s="2" t="s">
        <v>18</v>
      </c>
      <c r="E1106">
        <v>69.66</v>
      </c>
      <c r="F1106">
        <v>31.25</v>
      </c>
      <c r="G1106">
        <v>2</v>
      </c>
      <c r="H1106">
        <f t="shared" si="17"/>
        <v>48675.899999999936</v>
      </c>
      <c r="I1106" t="str">
        <f>IF(Sheet1[[#This Row],[Month_Revenue]] &lt; AVERAGE(Sheet1[Month_Revenue]), "Off-Peak", "Peak")</f>
        <v>Off-Peak</v>
      </c>
      <c r="J1106">
        <f xml:space="preserve"> IF(Sheet1[[#This Row],[Ad Spend]] &gt; 0, (Sheet1[[#This Row],[Profit]] / Sheet1[[#This Row],[Ad Spend]]), 0)</f>
        <v>1.22912</v>
      </c>
      <c r="K1106">
        <f>Sheet1[[#This Row],[Revenue]]-Sheet1[[#This Row],[Ad Spend]]</f>
        <v>38.409999999999997</v>
      </c>
      <c r="L1106" s="2" t="s">
        <v>14</v>
      </c>
      <c r="M1106">
        <v>2</v>
      </c>
      <c r="N1106" s="2" t="s">
        <v>15</v>
      </c>
      <c r="O1106">
        <v>34.83</v>
      </c>
    </row>
    <row r="1107" spans="1:15" x14ac:dyDescent="0.3">
      <c r="A1107" s="1">
        <v>45317</v>
      </c>
      <c r="B1107" s="2" t="s">
        <v>16</v>
      </c>
      <c r="C1107" s="2" t="s">
        <v>12</v>
      </c>
      <c r="D1107" s="2" t="s">
        <v>18</v>
      </c>
      <c r="E1107">
        <v>169.77</v>
      </c>
      <c r="F1107">
        <v>44.32</v>
      </c>
      <c r="G1107">
        <v>3</v>
      </c>
      <c r="H1107">
        <f t="shared" si="17"/>
        <v>61207.979999999989</v>
      </c>
      <c r="I1107" t="str">
        <f>IF(Sheet1[[#This Row],[Month_Revenue]] &lt; AVERAGE(Sheet1[Month_Revenue]), "Off-Peak", "Peak")</f>
        <v>Peak</v>
      </c>
      <c r="J1107">
        <f xml:space="preserve"> IF(Sheet1[[#This Row],[Ad Spend]] &gt; 0, (Sheet1[[#This Row],[Profit]] / Sheet1[[#This Row],[Ad Spend]]), 0)</f>
        <v>2.8305505415162457</v>
      </c>
      <c r="K1107">
        <f>Sheet1[[#This Row],[Revenue]]-Sheet1[[#This Row],[Ad Spend]]</f>
        <v>125.45000000000002</v>
      </c>
      <c r="L1107" s="2" t="s">
        <v>22</v>
      </c>
      <c r="M1107">
        <v>1</v>
      </c>
      <c r="N1107" s="2" t="s">
        <v>15</v>
      </c>
      <c r="O1107">
        <v>56.59</v>
      </c>
    </row>
    <row r="1108" spans="1:15" x14ac:dyDescent="0.3">
      <c r="A1108" s="1">
        <v>45353</v>
      </c>
      <c r="B1108" s="2" t="s">
        <v>20</v>
      </c>
      <c r="C1108" s="2" t="s">
        <v>12</v>
      </c>
      <c r="D1108" s="2" t="s">
        <v>18</v>
      </c>
      <c r="E1108">
        <v>126.33</v>
      </c>
      <c r="F1108">
        <v>45.78</v>
      </c>
      <c r="G1108">
        <v>2</v>
      </c>
      <c r="H1108">
        <f t="shared" si="17"/>
        <v>54735.250000000029</v>
      </c>
      <c r="I1108" t="str">
        <f>IF(Sheet1[[#This Row],[Month_Revenue]] &lt; AVERAGE(Sheet1[Month_Revenue]), "Off-Peak", "Peak")</f>
        <v>Off-Peak</v>
      </c>
      <c r="J1108">
        <f xml:space="preserve"> IF(Sheet1[[#This Row],[Ad Spend]] &gt; 0, (Sheet1[[#This Row],[Profit]] / Sheet1[[#This Row],[Ad Spend]]), 0)</f>
        <v>1.7595019659239841</v>
      </c>
      <c r="K1108">
        <f>Sheet1[[#This Row],[Revenue]]-Sheet1[[#This Row],[Ad Spend]]</f>
        <v>80.55</v>
      </c>
      <c r="L1108" s="2" t="s">
        <v>14</v>
      </c>
      <c r="M1108">
        <v>3</v>
      </c>
      <c r="N1108" s="2" t="s">
        <v>19</v>
      </c>
      <c r="O1108">
        <v>63.164999999999999</v>
      </c>
    </row>
    <row r="1109" spans="1:15" x14ac:dyDescent="0.3">
      <c r="A1109" s="1">
        <v>45407</v>
      </c>
      <c r="B1109" s="2" t="s">
        <v>23</v>
      </c>
      <c r="C1109" s="2" t="s">
        <v>21</v>
      </c>
      <c r="D1109" s="2" t="s">
        <v>13</v>
      </c>
      <c r="E1109">
        <v>106.54</v>
      </c>
      <c r="F1109">
        <v>19.64</v>
      </c>
      <c r="G1109">
        <v>3</v>
      </c>
      <c r="H1109">
        <f t="shared" si="17"/>
        <v>58562.910000000018</v>
      </c>
      <c r="I1109" t="str">
        <f>IF(Sheet1[[#This Row],[Month_Revenue]] &lt; AVERAGE(Sheet1[Month_Revenue]), "Off-Peak", "Peak")</f>
        <v>Peak</v>
      </c>
      <c r="J1109">
        <f xml:space="preserve"> IF(Sheet1[[#This Row],[Ad Spend]] &gt; 0, (Sheet1[[#This Row],[Profit]] / Sheet1[[#This Row],[Ad Spend]]), 0)</f>
        <v>4.4246435845213847</v>
      </c>
      <c r="K1109">
        <f>Sheet1[[#This Row],[Revenue]]-Sheet1[[#This Row],[Ad Spend]]</f>
        <v>86.9</v>
      </c>
      <c r="L1109" s="2" t="s">
        <v>22</v>
      </c>
      <c r="M1109">
        <v>4</v>
      </c>
      <c r="N1109" s="2" t="s">
        <v>19</v>
      </c>
      <c r="O1109">
        <v>35.513333333333335</v>
      </c>
    </row>
    <row r="1110" spans="1:15" x14ac:dyDescent="0.3">
      <c r="A1110" s="1">
        <v>45362</v>
      </c>
      <c r="B1110" s="2" t="s">
        <v>11</v>
      </c>
      <c r="C1110" s="2" t="s">
        <v>12</v>
      </c>
      <c r="D1110" s="2" t="s">
        <v>18</v>
      </c>
      <c r="E1110">
        <v>108.11</v>
      </c>
      <c r="F1110">
        <v>31.56</v>
      </c>
      <c r="G1110">
        <v>2</v>
      </c>
      <c r="H1110">
        <f t="shared" si="17"/>
        <v>54735.250000000029</v>
      </c>
      <c r="I1110" t="str">
        <f>IF(Sheet1[[#This Row],[Month_Revenue]] &lt; AVERAGE(Sheet1[Month_Revenue]), "Off-Peak", "Peak")</f>
        <v>Off-Peak</v>
      </c>
      <c r="J1110">
        <f xml:space="preserve"> IF(Sheet1[[#This Row],[Ad Spend]] &gt; 0, (Sheet1[[#This Row],[Profit]] / Sheet1[[#This Row],[Ad Spend]]), 0)</f>
        <v>2.4255386565272499</v>
      </c>
      <c r="K1110">
        <f>Sheet1[[#This Row],[Revenue]]-Sheet1[[#This Row],[Ad Spend]]</f>
        <v>76.55</v>
      </c>
      <c r="L1110" s="2" t="s">
        <v>22</v>
      </c>
      <c r="M1110">
        <v>3</v>
      </c>
      <c r="N1110" s="2" t="s">
        <v>19</v>
      </c>
      <c r="O1110">
        <v>54.055</v>
      </c>
    </row>
    <row r="1111" spans="1:15" x14ac:dyDescent="0.3">
      <c r="A1111" s="1">
        <v>45329</v>
      </c>
      <c r="B1111" s="2" t="s">
        <v>20</v>
      </c>
      <c r="C1111" s="2" t="s">
        <v>12</v>
      </c>
      <c r="D1111" s="2" t="s">
        <v>18</v>
      </c>
      <c r="E1111">
        <v>178.84</v>
      </c>
      <c r="F1111">
        <v>20.98</v>
      </c>
      <c r="G1111">
        <v>2</v>
      </c>
      <c r="H1111">
        <f t="shared" si="17"/>
        <v>48675.899999999936</v>
      </c>
      <c r="I1111" t="str">
        <f>IF(Sheet1[[#This Row],[Month_Revenue]] &lt; AVERAGE(Sheet1[Month_Revenue]), "Off-Peak", "Peak")</f>
        <v>Off-Peak</v>
      </c>
      <c r="J1111">
        <f xml:space="preserve"> IF(Sheet1[[#This Row],[Ad Spend]] &gt; 0, (Sheet1[[#This Row],[Profit]] / Sheet1[[#This Row],[Ad Spend]]), 0)</f>
        <v>7.5243088655862733</v>
      </c>
      <c r="K1111">
        <f>Sheet1[[#This Row],[Revenue]]-Sheet1[[#This Row],[Ad Spend]]</f>
        <v>157.86000000000001</v>
      </c>
      <c r="L1111" s="2" t="s">
        <v>22</v>
      </c>
      <c r="M1111">
        <v>2</v>
      </c>
      <c r="N1111" s="2" t="s">
        <v>15</v>
      </c>
      <c r="O1111">
        <v>89.42</v>
      </c>
    </row>
    <row r="1112" spans="1:15" x14ac:dyDescent="0.3">
      <c r="A1112" s="1">
        <v>45323</v>
      </c>
      <c r="B1112" s="2" t="s">
        <v>16</v>
      </c>
      <c r="C1112" s="2" t="s">
        <v>21</v>
      </c>
      <c r="D1112" s="2" t="s">
        <v>13</v>
      </c>
      <c r="E1112">
        <v>188.15</v>
      </c>
      <c r="F1112">
        <v>46.6</v>
      </c>
      <c r="G1112">
        <v>3</v>
      </c>
      <c r="H1112">
        <f t="shared" si="17"/>
        <v>48675.899999999936</v>
      </c>
      <c r="I1112" t="str">
        <f>IF(Sheet1[[#This Row],[Month_Revenue]] &lt; AVERAGE(Sheet1[Month_Revenue]), "Off-Peak", "Peak")</f>
        <v>Off-Peak</v>
      </c>
      <c r="J1112">
        <f xml:space="preserve"> IF(Sheet1[[#This Row],[Ad Spend]] &gt; 0, (Sheet1[[#This Row],[Profit]] / Sheet1[[#This Row],[Ad Spend]]), 0)</f>
        <v>3.0375536480686698</v>
      </c>
      <c r="K1112">
        <f>Sheet1[[#This Row],[Revenue]]-Sheet1[[#This Row],[Ad Spend]]</f>
        <v>141.55000000000001</v>
      </c>
      <c r="L1112" s="2" t="s">
        <v>14</v>
      </c>
      <c r="M1112">
        <v>2</v>
      </c>
      <c r="N1112" s="2" t="s">
        <v>15</v>
      </c>
      <c r="O1112">
        <v>62.716666666666669</v>
      </c>
    </row>
    <row r="1113" spans="1:15" x14ac:dyDescent="0.3">
      <c r="A1113" s="1">
        <v>45319</v>
      </c>
      <c r="B1113" s="2" t="s">
        <v>24</v>
      </c>
      <c r="C1113" s="2" t="s">
        <v>12</v>
      </c>
      <c r="D1113" s="2" t="s">
        <v>13</v>
      </c>
      <c r="E1113">
        <v>103.95</v>
      </c>
      <c r="F1113">
        <v>27.62</v>
      </c>
      <c r="G1113">
        <v>2</v>
      </c>
      <c r="H1113">
        <f t="shared" si="17"/>
        <v>61207.979999999989</v>
      </c>
      <c r="I1113" t="str">
        <f>IF(Sheet1[[#This Row],[Month_Revenue]] &lt; AVERAGE(Sheet1[Month_Revenue]), "Off-Peak", "Peak")</f>
        <v>Peak</v>
      </c>
      <c r="J1113">
        <f xml:space="preserve"> IF(Sheet1[[#This Row],[Ad Spend]] &gt; 0, (Sheet1[[#This Row],[Profit]] / Sheet1[[#This Row],[Ad Spend]]), 0)</f>
        <v>2.7635771180304127</v>
      </c>
      <c r="K1113">
        <f>Sheet1[[#This Row],[Revenue]]-Sheet1[[#This Row],[Ad Spend]]</f>
        <v>76.33</v>
      </c>
      <c r="L1113" s="2" t="s">
        <v>22</v>
      </c>
      <c r="M1113">
        <v>1</v>
      </c>
      <c r="N1113" s="2" t="s">
        <v>15</v>
      </c>
      <c r="O1113">
        <v>51.975000000000001</v>
      </c>
    </row>
    <row r="1114" spans="1:15" x14ac:dyDescent="0.3">
      <c r="A1114" s="1">
        <v>45405</v>
      </c>
      <c r="B1114" s="2" t="s">
        <v>16</v>
      </c>
      <c r="C1114" s="2" t="s">
        <v>17</v>
      </c>
      <c r="D1114" s="2" t="s">
        <v>18</v>
      </c>
      <c r="E1114">
        <v>144.96</v>
      </c>
      <c r="F1114">
        <v>12.68</v>
      </c>
      <c r="G1114">
        <v>0</v>
      </c>
      <c r="H1114">
        <f t="shared" si="17"/>
        <v>58562.910000000018</v>
      </c>
      <c r="I1114" t="str">
        <f>IF(Sheet1[[#This Row],[Month_Revenue]] &lt; AVERAGE(Sheet1[Month_Revenue]), "Off-Peak", "Peak")</f>
        <v>Peak</v>
      </c>
      <c r="J1114">
        <f xml:space="preserve"> IF(Sheet1[[#This Row],[Ad Spend]] &gt; 0, (Sheet1[[#This Row],[Profit]] / Sheet1[[#This Row],[Ad Spend]]), 0)</f>
        <v>10.43217665615142</v>
      </c>
      <c r="K1114">
        <f>Sheet1[[#This Row],[Revenue]]-Sheet1[[#This Row],[Ad Spend]]</f>
        <v>132.28</v>
      </c>
      <c r="L1114" s="2" t="s">
        <v>22</v>
      </c>
      <c r="M1114">
        <v>4</v>
      </c>
      <c r="N1114" s="2" t="s">
        <v>19</v>
      </c>
      <c r="O1114">
        <v>0</v>
      </c>
    </row>
    <row r="1115" spans="1:15" x14ac:dyDescent="0.3">
      <c r="A1115" s="1">
        <v>45395</v>
      </c>
      <c r="B1115" s="2" t="s">
        <v>16</v>
      </c>
      <c r="C1115" s="2" t="s">
        <v>17</v>
      </c>
      <c r="D1115" s="2" t="s">
        <v>18</v>
      </c>
      <c r="E1115">
        <v>172.6</v>
      </c>
      <c r="F1115">
        <v>33.1</v>
      </c>
      <c r="G1115">
        <v>0</v>
      </c>
      <c r="H1115">
        <f t="shared" si="17"/>
        <v>58562.910000000018</v>
      </c>
      <c r="I1115" t="str">
        <f>IF(Sheet1[[#This Row],[Month_Revenue]] &lt; AVERAGE(Sheet1[Month_Revenue]), "Off-Peak", "Peak")</f>
        <v>Peak</v>
      </c>
      <c r="J1115">
        <f xml:space="preserve"> IF(Sheet1[[#This Row],[Ad Spend]] &gt; 0, (Sheet1[[#This Row],[Profit]] / Sheet1[[#This Row],[Ad Spend]]), 0)</f>
        <v>4.214501510574018</v>
      </c>
      <c r="K1115">
        <f>Sheet1[[#This Row],[Revenue]]-Sheet1[[#This Row],[Ad Spend]]</f>
        <v>139.5</v>
      </c>
      <c r="L1115" s="2" t="s">
        <v>14</v>
      </c>
      <c r="M1115">
        <v>4</v>
      </c>
      <c r="N1115" s="2" t="s">
        <v>19</v>
      </c>
      <c r="O1115">
        <v>0</v>
      </c>
    </row>
    <row r="1116" spans="1:15" x14ac:dyDescent="0.3">
      <c r="A1116" s="1">
        <v>45315</v>
      </c>
      <c r="B1116" s="2" t="s">
        <v>23</v>
      </c>
      <c r="C1116" s="2" t="s">
        <v>17</v>
      </c>
      <c r="D1116" s="2" t="s">
        <v>18</v>
      </c>
      <c r="E1116">
        <v>102.86</v>
      </c>
      <c r="F1116">
        <v>2.25</v>
      </c>
      <c r="G1116">
        <v>1</v>
      </c>
      <c r="H1116">
        <f t="shared" si="17"/>
        <v>61207.979999999989</v>
      </c>
      <c r="I1116" t="str">
        <f>IF(Sheet1[[#This Row],[Month_Revenue]] &lt; AVERAGE(Sheet1[Month_Revenue]), "Off-Peak", "Peak")</f>
        <v>Peak</v>
      </c>
      <c r="J1116">
        <f xml:space="preserve"> IF(Sheet1[[#This Row],[Ad Spend]] &gt; 0, (Sheet1[[#This Row],[Profit]] / Sheet1[[#This Row],[Ad Spend]]), 0)</f>
        <v>44.715555555555554</v>
      </c>
      <c r="K1116">
        <f>Sheet1[[#This Row],[Revenue]]-Sheet1[[#This Row],[Ad Spend]]</f>
        <v>100.61</v>
      </c>
      <c r="L1116" s="2" t="s">
        <v>14</v>
      </c>
      <c r="M1116">
        <v>1</v>
      </c>
      <c r="N1116" s="2" t="s">
        <v>15</v>
      </c>
      <c r="O1116">
        <v>102.86</v>
      </c>
    </row>
    <row r="1117" spans="1:15" x14ac:dyDescent="0.3">
      <c r="A1117" s="1">
        <v>45304</v>
      </c>
      <c r="B1117" s="2" t="s">
        <v>11</v>
      </c>
      <c r="C1117" s="2" t="s">
        <v>17</v>
      </c>
      <c r="D1117" s="2" t="s">
        <v>18</v>
      </c>
      <c r="E1117">
        <v>88.89</v>
      </c>
      <c r="F1117">
        <v>31.61</v>
      </c>
      <c r="G1117">
        <v>0</v>
      </c>
      <c r="H1117">
        <f t="shared" si="17"/>
        <v>61207.979999999989</v>
      </c>
      <c r="I1117" t="str">
        <f>IF(Sheet1[[#This Row],[Month_Revenue]] &lt; AVERAGE(Sheet1[Month_Revenue]), "Off-Peak", "Peak")</f>
        <v>Peak</v>
      </c>
      <c r="J1117">
        <f xml:space="preserve"> IF(Sheet1[[#This Row],[Ad Spend]] &gt; 0, (Sheet1[[#This Row],[Profit]] / Sheet1[[#This Row],[Ad Spend]]), 0)</f>
        <v>1.8120847832964253</v>
      </c>
      <c r="K1117">
        <f>Sheet1[[#This Row],[Revenue]]-Sheet1[[#This Row],[Ad Spend]]</f>
        <v>57.28</v>
      </c>
      <c r="L1117" s="2" t="s">
        <v>22</v>
      </c>
      <c r="M1117">
        <v>1</v>
      </c>
      <c r="N1117" s="2" t="s">
        <v>15</v>
      </c>
      <c r="O1117">
        <v>0</v>
      </c>
    </row>
    <row r="1118" spans="1:15" x14ac:dyDescent="0.3">
      <c r="A1118" s="1">
        <v>45322</v>
      </c>
      <c r="B1118" s="2" t="s">
        <v>11</v>
      </c>
      <c r="C1118" s="2" t="s">
        <v>12</v>
      </c>
      <c r="D1118" s="2" t="s">
        <v>18</v>
      </c>
      <c r="E1118">
        <v>79.989999999999995</v>
      </c>
      <c r="F1118">
        <v>4</v>
      </c>
      <c r="G1118">
        <v>2</v>
      </c>
      <c r="H1118">
        <f t="shared" si="17"/>
        <v>61207.979999999989</v>
      </c>
      <c r="I1118" t="str">
        <f>IF(Sheet1[[#This Row],[Month_Revenue]] &lt; AVERAGE(Sheet1[Month_Revenue]), "Off-Peak", "Peak")</f>
        <v>Peak</v>
      </c>
      <c r="J1118">
        <f xml:space="preserve"> IF(Sheet1[[#This Row],[Ad Spend]] &gt; 0, (Sheet1[[#This Row],[Profit]] / Sheet1[[#This Row],[Ad Spend]]), 0)</f>
        <v>18.997499999999999</v>
      </c>
      <c r="K1118">
        <f>Sheet1[[#This Row],[Revenue]]-Sheet1[[#This Row],[Ad Spend]]</f>
        <v>75.989999999999995</v>
      </c>
      <c r="L1118" s="2" t="s">
        <v>14</v>
      </c>
      <c r="M1118">
        <v>1</v>
      </c>
      <c r="N1118" s="2" t="s">
        <v>15</v>
      </c>
      <c r="O1118">
        <v>39.994999999999997</v>
      </c>
    </row>
    <row r="1119" spans="1:15" x14ac:dyDescent="0.3">
      <c r="A1119" s="1">
        <v>45341</v>
      </c>
      <c r="B1119" s="2" t="s">
        <v>16</v>
      </c>
      <c r="C1119" s="2" t="s">
        <v>21</v>
      </c>
      <c r="D1119" s="2" t="s">
        <v>18</v>
      </c>
      <c r="E1119">
        <v>101.03</v>
      </c>
      <c r="F1119">
        <v>2.93</v>
      </c>
      <c r="G1119">
        <v>1</v>
      </c>
      <c r="H1119">
        <f t="shared" si="17"/>
        <v>48675.899999999936</v>
      </c>
      <c r="I1119" t="str">
        <f>IF(Sheet1[[#This Row],[Month_Revenue]] &lt; AVERAGE(Sheet1[Month_Revenue]), "Off-Peak", "Peak")</f>
        <v>Off-Peak</v>
      </c>
      <c r="J1119">
        <f xml:space="preserve"> IF(Sheet1[[#This Row],[Ad Spend]] &gt; 0, (Sheet1[[#This Row],[Profit]] / Sheet1[[#This Row],[Ad Spend]]), 0)</f>
        <v>33.481228668941974</v>
      </c>
      <c r="K1119">
        <f>Sheet1[[#This Row],[Revenue]]-Sheet1[[#This Row],[Ad Spend]]</f>
        <v>98.1</v>
      </c>
      <c r="L1119" s="2" t="s">
        <v>14</v>
      </c>
      <c r="M1119">
        <v>2</v>
      </c>
      <c r="N1119" s="2" t="s">
        <v>15</v>
      </c>
      <c r="O1119">
        <v>101.03</v>
      </c>
    </row>
    <row r="1120" spans="1:15" x14ac:dyDescent="0.3">
      <c r="A1120" s="1">
        <v>45391</v>
      </c>
      <c r="B1120" s="2" t="s">
        <v>11</v>
      </c>
      <c r="C1120" s="2" t="s">
        <v>12</v>
      </c>
      <c r="D1120" s="2" t="s">
        <v>13</v>
      </c>
      <c r="E1120">
        <v>58.37</v>
      </c>
      <c r="F1120">
        <v>8.82</v>
      </c>
      <c r="G1120">
        <v>0</v>
      </c>
      <c r="H1120">
        <f t="shared" si="17"/>
        <v>58562.910000000018</v>
      </c>
      <c r="I1120" t="str">
        <f>IF(Sheet1[[#This Row],[Month_Revenue]] &lt; AVERAGE(Sheet1[Month_Revenue]), "Off-Peak", "Peak")</f>
        <v>Peak</v>
      </c>
      <c r="J1120">
        <f xml:space="preserve"> IF(Sheet1[[#This Row],[Ad Spend]] &gt; 0, (Sheet1[[#This Row],[Profit]] / Sheet1[[#This Row],[Ad Spend]]), 0)</f>
        <v>5.6179138321995463</v>
      </c>
      <c r="K1120">
        <f>Sheet1[[#This Row],[Revenue]]-Sheet1[[#This Row],[Ad Spend]]</f>
        <v>49.55</v>
      </c>
      <c r="L1120" s="2" t="s">
        <v>22</v>
      </c>
      <c r="M1120">
        <v>4</v>
      </c>
      <c r="N1120" s="2" t="s">
        <v>19</v>
      </c>
      <c r="O1120">
        <v>0</v>
      </c>
    </row>
    <row r="1121" spans="1:15" x14ac:dyDescent="0.3">
      <c r="A1121" s="1">
        <v>45311</v>
      </c>
      <c r="B1121" s="2" t="s">
        <v>11</v>
      </c>
      <c r="C1121" s="2" t="s">
        <v>21</v>
      </c>
      <c r="D1121" s="2" t="s">
        <v>18</v>
      </c>
      <c r="E1121">
        <v>180.19</v>
      </c>
      <c r="F1121">
        <v>43.79</v>
      </c>
      <c r="G1121">
        <v>1</v>
      </c>
      <c r="H1121">
        <f t="shared" si="17"/>
        <v>61207.979999999989</v>
      </c>
      <c r="I1121" t="str">
        <f>IF(Sheet1[[#This Row],[Month_Revenue]] &lt; AVERAGE(Sheet1[Month_Revenue]), "Off-Peak", "Peak")</f>
        <v>Peak</v>
      </c>
      <c r="J1121">
        <f xml:space="preserve"> IF(Sheet1[[#This Row],[Ad Spend]] &gt; 0, (Sheet1[[#This Row],[Profit]] / Sheet1[[#This Row],[Ad Spend]]), 0)</f>
        <v>3.1148664078556751</v>
      </c>
      <c r="K1121">
        <f>Sheet1[[#This Row],[Revenue]]-Sheet1[[#This Row],[Ad Spend]]</f>
        <v>136.4</v>
      </c>
      <c r="L1121" s="2" t="s">
        <v>14</v>
      </c>
      <c r="M1121">
        <v>1</v>
      </c>
      <c r="N1121" s="2" t="s">
        <v>15</v>
      </c>
      <c r="O1121">
        <v>180.19</v>
      </c>
    </row>
    <row r="1122" spans="1:15" x14ac:dyDescent="0.3">
      <c r="A1122" s="1">
        <v>45293</v>
      </c>
      <c r="B1122" s="2" t="s">
        <v>20</v>
      </c>
      <c r="C1122" s="2" t="s">
        <v>17</v>
      </c>
      <c r="D1122" s="2" t="s">
        <v>13</v>
      </c>
      <c r="E1122">
        <v>21.67</v>
      </c>
      <c r="F1122">
        <v>17.829999999999998</v>
      </c>
      <c r="G1122">
        <v>1</v>
      </c>
      <c r="H1122">
        <f t="shared" si="17"/>
        <v>61207.979999999989</v>
      </c>
      <c r="I1122" t="str">
        <f>IF(Sheet1[[#This Row],[Month_Revenue]] &lt; AVERAGE(Sheet1[Month_Revenue]), "Off-Peak", "Peak")</f>
        <v>Peak</v>
      </c>
      <c r="J1122">
        <f xml:space="preserve"> IF(Sheet1[[#This Row],[Ad Spend]] &gt; 0, (Sheet1[[#This Row],[Profit]] / Sheet1[[#This Row],[Ad Spend]]), 0)</f>
        <v>0.21536735838474502</v>
      </c>
      <c r="K1122">
        <f>Sheet1[[#This Row],[Revenue]]-Sheet1[[#This Row],[Ad Spend]]</f>
        <v>3.8400000000000034</v>
      </c>
      <c r="L1122" s="2" t="s">
        <v>14</v>
      </c>
      <c r="M1122">
        <v>1</v>
      </c>
      <c r="N1122" s="2" t="s">
        <v>15</v>
      </c>
      <c r="O1122">
        <v>21.67</v>
      </c>
    </row>
    <row r="1123" spans="1:15" x14ac:dyDescent="0.3">
      <c r="A1123" s="1">
        <v>45389</v>
      </c>
      <c r="B1123" s="2" t="s">
        <v>23</v>
      </c>
      <c r="C1123" s="2" t="s">
        <v>21</v>
      </c>
      <c r="D1123" s="2" t="s">
        <v>13</v>
      </c>
      <c r="E1123">
        <v>39.65</v>
      </c>
      <c r="F1123">
        <v>8.15</v>
      </c>
      <c r="G1123">
        <v>1</v>
      </c>
      <c r="H1123">
        <f t="shared" si="17"/>
        <v>58562.910000000018</v>
      </c>
      <c r="I1123" t="str">
        <f>IF(Sheet1[[#This Row],[Month_Revenue]] &lt; AVERAGE(Sheet1[Month_Revenue]), "Off-Peak", "Peak")</f>
        <v>Peak</v>
      </c>
      <c r="J1123">
        <f xml:space="preserve"> IF(Sheet1[[#This Row],[Ad Spend]] &gt; 0, (Sheet1[[#This Row],[Profit]] / Sheet1[[#This Row],[Ad Spend]]), 0)</f>
        <v>3.8650306748466257</v>
      </c>
      <c r="K1123">
        <f>Sheet1[[#This Row],[Revenue]]-Sheet1[[#This Row],[Ad Spend]]</f>
        <v>31.5</v>
      </c>
      <c r="L1123" s="2" t="s">
        <v>22</v>
      </c>
      <c r="M1123">
        <v>4</v>
      </c>
      <c r="N1123" s="2" t="s">
        <v>19</v>
      </c>
      <c r="O1123">
        <v>39.65</v>
      </c>
    </row>
    <row r="1124" spans="1:15" x14ac:dyDescent="0.3">
      <c r="A1124" s="1">
        <v>45384</v>
      </c>
      <c r="B1124" s="2" t="s">
        <v>16</v>
      </c>
      <c r="C1124" s="2" t="s">
        <v>21</v>
      </c>
      <c r="D1124" s="2" t="s">
        <v>13</v>
      </c>
      <c r="E1124">
        <v>159.06</v>
      </c>
      <c r="F1124">
        <v>1.73</v>
      </c>
      <c r="G1124">
        <v>3</v>
      </c>
      <c r="H1124">
        <f t="shared" si="17"/>
        <v>58562.910000000018</v>
      </c>
      <c r="I1124" t="str">
        <f>IF(Sheet1[[#This Row],[Month_Revenue]] &lt; AVERAGE(Sheet1[Month_Revenue]), "Off-Peak", "Peak")</f>
        <v>Peak</v>
      </c>
      <c r="J1124">
        <f xml:space="preserve"> IF(Sheet1[[#This Row],[Ad Spend]] &gt; 0, (Sheet1[[#This Row],[Profit]] / Sheet1[[#This Row],[Ad Spend]]), 0)</f>
        <v>90.942196531791922</v>
      </c>
      <c r="K1124">
        <f>Sheet1[[#This Row],[Revenue]]-Sheet1[[#This Row],[Ad Spend]]</f>
        <v>157.33000000000001</v>
      </c>
      <c r="L1124" s="2" t="s">
        <v>22</v>
      </c>
      <c r="M1124">
        <v>4</v>
      </c>
      <c r="N1124" s="2" t="s">
        <v>19</v>
      </c>
      <c r="O1124">
        <v>53.02</v>
      </c>
    </row>
    <row r="1125" spans="1:15" x14ac:dyDescent="0.3">
      <c r="A1125" s="1">
        <v>45407</v>
      </c>
      <c r="B1125" s="2" t="s">
        <v>20</v>
      </c>
      <c r="C1125" s="2" t="s">
        <v>21</v>
      </c>
      <c r="D1125" s="2" t="s">
        <v>18</v>
      </c>
      <c r="E1125">
        <v>171.93</v>
      </c>
      <c r="F1125">
        <v>43.71</v>
      </c>
      <c r="G1125">
        <v>3</v>
      </c>
      <c r="H1125">
        <f t="shared" si="17"/>
        <v>58562.910000000018</v>
      </c>
      <c r="I1125" t="str">
        <f>IF(Sheet1[[#This Row],[Month_Revenue]] &lt; AVERAGE(Sheet1[Month_Revenue]), "Off-Peak", "Peak")</f>
        <v>Peak</v>
      </c>
      <c r="J1125">
        <f xml:space="preserve"> IF(Sheet1[[#This Row],[Ad Spend]] &gt; 0, (Sheet1[[#This Row],[Profit]] / Sheet1[[#This Row],[Ad Spend]]), 0)</f>
        <v>2.9334248455730951</v>
      </c>
      <c r="K1125">
        <f>Sheet1[[#This Row],[Revenue]]-Sheet1[[#This Row],[Ad Spend]]</f>
        <v>128.22</v>
      </c>
      <c r="L1125" s="2" t="s">
        <v>22</v>
      </c>
      <c r="M1125">
        <v>4</v>
      </c>
      <c r="N1125" s="2" t="s">
        <v>19</v>
      </c>
      <c r="O1125">
        <v>57.31</v>
      </c>
    </row>
    <row r="1126" spans="1:15" x14ac:dyDescent="0.3">
      <c r="A1126" s="1">
        <v>45388</v>
      </c>
      <c r="B1126" s="2" t="s">
        <v>11</v>
      </c>
      <c r="C1126" s="2" t="s">
        <v>21</v>
      </c>
      <c r="D1126" s="2" t="s">
        <v>18</v>
      </c>
      <c r="E1126">
        <v>156.75</v>
      </c>
      <c r="F1126">
        <v>22.86</v>
      </c>
      <c r="G1126">
        <v>0</v>
      </c>
      <c r="H1126">
        <f t="shared" si="17"/>
        <v>58562.910000000018</v>
      </c>
      <c r="I1126" t="str">
        <f>IF(Sheet1[[#This Row],[Month_Revenue]] &lt; AVERAGE(Sheet1[Month_Revenue]), "Off-Peak", "Peak")</f>
        <v>Peak</v>
      </c>
      <c r="J1126">
        <f xml:space="preserve"> IF(Sheet1[[#This Row],[Ad Spend]] &gt; 0, (Sheet1[[#This Row],[Profit]] / Sheet1[[#This Row],[Ad Spend]]), 0)</f>
        <v>5.8569553805774275</v>
      </c>
      <c r="K1126">
        <f>Sheet1[[#This Row],[Revenue]]-Sheet1[[#This Row],[Ad Spend]]</f>
        <v>133.88999999999999</v>
      </c>
      <c r="L1126" s="2" t="s">
        <v>14</v>
      </c>
      <c r="M1126">
        <v>4</v>
      </c>
      <c r="N1126" s="2" t="s">
        <v>19</v>
      </c>
      <c r="O1126">
        <v>0</v>
      </c>
    </row>
    <row r="1127" spans="1:15" x14ac:dyDescent="0.3">
      <c r="A1127" s="1">
        <v>45375</v>
      </c>
      <c r="B1127" s="2" t="s">
        <v>24</v>
      </c>
      <c r="C1127" s="2" t="s">
        <v>17</v>
      </c>
      <c r="D1127" s="2" t="s">
        <v>13</v>
      </c>
      <c r="E1127">
        <v>89.44</v>
      </c>
      <c r="F1127">
        <v>6.7</v>
      </c>
      <c r="G1127">
        <v>2</v>
      </c>
      <c r="H1127">
        <f t="shared" si="17"/>
        <v>54735.250000000029</v>
      </c>
      <c r="I1127" t="str">
        <f>IF(Sheet1[[#This Row],[Month_Revenue]] &lt; AVERAGE(Sheet1[Month_Revenue]), "Off-Peak", "Peak")</f>
        <v>Off-Peak</v>
      </c>
      <c r="J1127">
        <f xml:space="preserve"> IF(Sheet1[[#This Row],[Ad Spend]] &gt; 0, (Sheet1[[#This Row],[Profit]] / Sheet1[[#This Row],[Ad Spend]]), 0)</f>
        <v>12.349253731343282</v>
      </c>
      <c r="K1127">
        <f>Sheet1[[#This Row],[Revenue]]-Sheet1[[#This Row],[Ad Spend]]</f>
        <v>82.74</v>
      </c>
      <c r="L1127" s="2" t="s">
        <v>14</v>
      </c>
      <c r="M1127">
        <v>3</v>
      </c>
      <c r="N1127" s="2" t="s">
        <v>19</v>
      </c>
      <c r="O1127">
        <v>44.72</v>
      </c>
    </row>
    <row r="1128" spans="1:15" x14ac:dyDescent="0.3">
      <c r="A1128" s="1">
        <v>45355</v>
      </c>
      <c r="B1128" s="2" t="s">
        <v>23</v>
      </c>
      <c r="C1128" s="2" t="s">
        <v>17</v>
      </c>
      <c r="D1128" s="2" t="s">
        <v>13</v>
      </c>
      <c r="E1128">
        <v>75.510000000000005</v>
      </c>
      <c r="F1128">
        <v>34.869999999999997</v>
      </c>
      <c r="G1128">
        <v>1</v>
      </c>
      <c r="H1128">
        <f t="shared" si="17"/>
        <v>54735.250000000029</v>
      </c>
      <c r="I1128" t="str">
        <f>IF(Sheet1[[#This Row],[Month_Revenue]] &lt; AVERAGE(Sheet1[Month_Revenue]), "Off-Peak", "Peak")</f>
        <v>Off-Peak</v>
      </c>
      <c r="J1128">
        <f xml:space="preserve"> IF(Sheet1[[#This Row],[Ad Spend]] &gt; 0, (Sheet1[[#This Row],[Profit]] / Sheet1[[#This Row],[Ad Spend]]), 0)</f>
        <v>1.1654717522225411</v>
      </c>
      <c r="K1128">
        <f>Sheet1[[#This Row],[Revenue]]-Sheet1[[#This Row],[Ad Spend]]</f>
        <v>40.640000000000008</v>
      </c>
      <c r="L1128" s="2" t="s">
        <v>22</v>
      </c>
      <c r="M1128">
        <v>3</v>
      </c>
      <c r="N1128" s="2" t="s">
        <v>19</v>
      </c>
      <c r="O1128">
        <v>75.510000000000005</v>
      </c>
    </row>
    <row r="1129" spans="1:15" x14ac:dyDescent="0.3">
      <c r="A1129" s="1">
        <v>45313</v>
      </c>
      <c r="B1129" s="2" t="s">
        <v>16</v>
      </c>
      <c r="C1129" s="2" t="s">
        <v>17</v>
      </c>
      <c r="D1129" s="2" t="s">
        <v>18</v>
      </c>
      <c r="E1129">
        <v>157.84</v>
      </c>
      <c r="F1129">
        <v>20.23</v>
      </c>
      <c r="G1129">
        <v>0</v>
      </c>
      <c r="H1129">
        <f t="shared" si="17"/>
        <v>61207.979999999989</v>
      </c>
      <c r="I1129" t="str">
        <f>IF(Sheet1[[#This Row],[Month_Revenue]] &lt; AVERAGE(Sheet1[Month_Revenue]), "Off-Peak", "Peak")</f>
        <v>Peak</v>
      </c>
      <c r="J1129">
        <f xml:space="preserve"> IF(Sheet1[[#This Row],[Ad Spend]] &gt; 0, (Sheet1[[#This Row],[Profit]] / Sheet1[[#This Row],[Ad Spend]]), 0)</f>
        <v>6.8022738507167579</v>
      </c>
      <c r="K1129">
        <f>Sheet1[[#This Row],[Revenue]]-Sheet1[[#This Row],[Ad Spend]]</f>
        <v>137.61000000000001</v>
      </c>
      <c r="L1129" s="2" t="s">
        <v>14</v>
      </c>
      <c r="M1129">
        <v>1</v>
      </c>
      <c r="N1129" s="2" t="s">
        <v>15</v>
      </c>
      <c r="O1129">
        <v>0</v>
      </c>
    </row>
    <row r="1130" spans="1:15" x14ac:dyDescent="0.3">
      <c r="A1130" s="1">
        <v>45400</v>
      </c>
      <c r="B1130" s="2" t="s">
        <v>16</v>
      </c>
      <c r="C1130" s="2" t="s">
        <v>21</v>
      </c>
      <c r="D1130" s="2" t="s">
        <v>13</v>
      </c>
      <c r="E1130">
        <v>124.68</v>
      </c>
      <c r="F1130">
        <v>3.02</v>
      </c>
      <c r="G1130">
        <v>0</v>
      </c>
      <c r="H1130">
        <f t="shared" si="17"/>
        <v>58562.910000000018</v>
      </c>
      <c r="I1130" t="str">
        <f>IF(Sheet1[[#This Row],[Month_Revenue]] &lt; AVERAGE(Sheet1[Month_Revenue]), "Off-Peak", "Peak")</f>
        <v>Peak</v>
      </c>
      <c r="J1130">
        <f xml:space="preserve"> IF(Sheet1[[#This Row],[Ad Spend]] &gt; 0, (Sheet1[[#This Row],[Profit]] / Sheet1[[#This Row],[Ad Spend]]), 0)</f>
        <v>40.284768211920536</v>
      </c>
      <c r="K1130">
        <f>Sheet1[[#This Row],[Revenue]]-Sheet1[[#This Row],[Ad Spend]]</f>
        <v>121.66000000000001</v>
      </c>
      <c r="L1130" s="2" t="s">
        <v>22</v>
      </c>
      <c r="M1130">
        <v>4</v>
      </c>
      <c r="N1130" s="2" t="s">
        <v>19</v>
      </c>
      <c r="O1130">
        <v>0</v>
      </c>
    </row>
    <row r="1131" spans="1:15" x14ac:dyDescent="0.3">
      <c r="A1131" s="1">
        <v>45347</v>
      </c>
      <c r="B1131" s="2" t="s">
        <v>23</v>
      </c>
      <c r="C1131" s="2" t="s">
        <v>17</v>
      </c>
      <c r="D1131" s="2" t="s">
        <v>18</v>
      </c>
      <c r="E1131">
        <v>154.5</v>
      </c>
      <c r="F1131">
        <v>13.49</v>
      </c>
      <c r="G1131">
        <v>1</v>
      </c>
      <c r="H1131">
        <f t="shared" si="17"/>
        <v>48675.899999999936</v>
      </c>
      <c r="I1131" t="str">
        <f>IF(Sheet1[[#This Row],[Month_Revenue]] &lt; AVERAGE(Sheet1[Month_Revenue]), "Off-Peak", "Peak")</f>
        <v>Off-Peak</v>
      </c>
      <c r="J1131">
        <f xml:space="preserve"> IF(Sheet1[[#This Row],[Ad Spend]] &gt; 0, (Sheet1[[#This Row],[Profit]] / Sheet1[[#This Row],[Ad Spend]]), 0)</f>
        <v>10.452928094885099</v>
      </c>
      <c r="K1131">
        <f>Sheet1[[#This Row],[Revenue]]-Sheet1[[#This Row],[Ad Spend]]</f>
        <v>141.01</v>
      </c>
      <c r="L1131" s="2" t="s">
        <v>22</v>
      </c>
      <c r="M1131">
        <v>2</v>
      </c>
      <c r="N1131" s="2" t="s">
        <v>15</v>
      </c>
      <c r="O1131">
        <v>154.5</v>
      </c>
    </row>
    <row r="1132" spans="1:15" x14ac:dyDescent="0.3">
      <c r="A1132" s="1">
        <v>45371</v>
      </c>
      <c r="B1132" s="2" t="s">
        <v>24</v>
      </c>
      <c r="C1132" s="2" t="s">
        <v>12</v>
      </c>
      <c r="D1132" s="2" t="s">
        <v>13</v>
      </c>
      <c r="E1132">
        <v>169.16</v>
      </c>
      <c r="F1132">
        <v>29.21</v>
      </c>
      <c r="G1132">
        <v>2</v>
      </c>
      <c r="H1132">
        <f t="shared" si="17"/>
        <v>54735.250000000029</v>
      </c>
      <c r="I1132" t="str">
        <f>IF(Sheet1[[#This Row],[Month_Revenue]] &lt; AVERAGE(Sheet1[Month_Revenue]), "Off-Peak", "Peak")</f>
        <v>Off-Peak</v>
      </c>
      <c r="J1132">
        <f xml:space="preserve"> IF(Sheet1[[#This Row],[Ad Spend]] &gt; 0, (Sheet1[[#This Row],[Profit]] / Sheet1[[#This Row],[Ad Spend]]), 0)</f>
        <v>4.7911674084217726</v>
      </c>
      <c r="K1132">
        <f>Sheet1[[#This Row],[Revenue]]-Sheet1[[#This Row],[Ad Spend]]</f>
        <v>139.94999999999999</v>
      </c>
      <c r="L1132" s="2" t="s">
        <v>14</v>
      </c>
      <c r="M1132">
        <v>3</v>
      </c>
      <c r="N1132" s="2" t="s">
        <v>19</v>
      </c>
      <c r="O1132">
        <v>84.58</v>
      </c>
    </row>
    <row r="1133" spans="1:15" x14ac:dyDescent="0.3">
      <c r="A1133" s="1">
        <v>45357</v>
      </c>
      <c r="B1133" s="2" t="s">
        <v>11</v>
      </c>
      <c r="C1133" s="2" t="s">
        <v>12</v>
      </c>
      <c r="D1133" s="2" t="s">
        <v>13</v>
      </c>
      <c r="E1133">
        <v>149.78</v>
      </c>
      <c r="F1133">
        <v>2.8</v>
      </c>
      <c r="G1133">
        <v>1</v>
      </c>
      <c r="H1133">
        <f t="shared" si="17"/>
        <v>54735.250000000029</v>
      </c>
      <c r="I1133" t="str">
        <f>IF(Sheet1[[#This Row],[Month_Revenue]] &lt; AVERAGE(Sheet1[Month_Revenue]), "Off-Peak", "Peak")</f>
        <v>Off-Peak</v>
      </c>
      <c r="J1133">
        <f xml:space="preserve"> IF(Sheet1[[#This Row],[Ad Spend]] &gt; 0, (Sheet1[[#This Row],[Profit]] / Sheet1[[#This Row],[Ad Spend]]), 0)</f>
        <v>52.49285714285714</v>
      </c>
      <c r="K1133">
        <f>Sheet1[[#This Row],[Revenue]]-Sheet1[[#This Row],[Ad Spend]]</f>
        <v>146.97999999999999</v>
      </c>
      <c r="L1133" s="2" t="s">
        <v>22</v>
      </c>
      <c r="M1133">
        <v>3</v>
      </c>
      <c r="N1133" s="2" t="s">
        <v>19</v>
      </c>
      <c r="O1133">
        <v>149.78</v>
      </c>
    </row>
    <row r="1134" spans="1:15" x14ac:dyDescent="0.3">
      <c r="A1134" s="1">
        <v>45399</v>
      </c>
      <c r="B1134" s="2" t="s">
        <v>20</v>
      </c>
      <c r="C1134" s="2" t="s">
        <v>12</v>
      </c>
      <c r="D1134" s="2" t="s">
        <v>13</v>
      </c>
      <c r="E1134">
        <v>97.25</v>
      </c>
      <c r="F1134">
        <v>25.35</v>
      </c>
      <c r="G1134">
        <v>3</v>
      </c>
      <c r="H1134">
        <f t="shared" si="17"/>
        <v>58562.910000000018</v>
      </c>
      <c r="I1134" t="str">
        <f>IF(Sheet1[[#This Row],[Month_Revenue]] &lt; AVERAGE(Sheet1[Month_Revenue]), "Off-Peak", "Peak")</f>
        <v>Peak</v>
      </c>
      <c r="J1134">
        <f xml:space="preserve"> IF(Sheet1[[#This Row],[Ad Spend]] &gt; 0, (Sheet1[[#This Row],[Profit]] / Sheet1[[#This Row],[Ad Spend]]), 0)</f>
        <v>2.8362919132149904</v>
      </c>
      <c r="K1134">
        <f>Sheet1[[#This Row],[Revenue]]-Sheet1[[#This Row],[Ad Spend]]</f>
        <v>71.900000000000006</v>
      </c>
      <c r="L1134" s="2" t="s">
        <v>14</v>
      </c>
      <c r="M1134">
        <v>4</v>
      </c>
      <c r="N1134" s="2" t="s">
        <v>19</v>
      </c>
      <c r="O1134">
        <v>32.416666666666664</v>
      </c>
    </row>
    <row r="1135" spans="1:15" x14ac:dyDescent="0.3">
      <c r="A1135" s="1">
        <v>45320</v>
      </c>
      <c r="B1135" s="2" t="s">
        <v>24</v>
      </c>
      <c r="C1135" s="2" t="s">
        <v>12</v>
      </c>
      <c r="D1135" s="2" t="s">
        <v>13</v>
      </c>
      <c r="E1135">
        <v>122.23</v>
      </c>
      <c r="F1135">
        <v>17.48</v>
      </c>
      <c r="G1135">
        <v>0</v>
      </c>
      <c r="H1135">
        <f t="shared" si="17"/>
        <v>61207.979999999989</v>
      </c>
      <c r="I1135" t="str">
        <f>IF(Sheet1[[#This Row],[Month_Revenue]] &lt; AVERAGE(Sheet1[Month_Revenue]), "Off-Peak", "Peak")</f>
        <v>Peak</v>
      </c>
      <c r="J1135">
        <f xml:space="preserve"> IF(Sheet1[[#This Row],[Ad Spend]] &gt; 0, (Sheet1[[#This Row],[Profit]] / Sheet1[[#This Row],[Ad Spend]]), 0)</f>
        <v>5.9925629290617843</v>
      </c>
      <c r="K1135">
        <f>Sheet1[[#This Row],[Revenue]]-Sheet1[[#This Row],[Ad Spend]]</f>
        <v>104.75</v>
      </c>
      <c r="L1135" s="2" t="s">
        <v>14</v>
      </c>
      <c r="M1135">
        <v>1</v>
      </c>
      <c r="N1135" s="2" t="s">
        <v>15</v>
      </c>
      <c r="O1135">
        <v>0</v>
      </c>
    </row>
    <row r="1136" spans="1:15" x14ac:dyDescent="0.3">
      <c r="A1136" s="1">
        <v>45308</v>
      </c>
      <c r="B1136" s="2" t="s">
        <v>16</v>
      </c>
      <c r="C1136" s="2" t="s">
        <v>17</v>
      </c>
      <c r="D1136" s="2" t="s">
        <v>13</v>
      </c>
      <c r="E1136">
        <v>173.72</v>
      </c>
      <c r="F1136">
        <v>49.26</v>
      </c>
      <c r="G1136">
        <v>1</v>
      </c>
      <c r="H1136">
        <f t="shared" si="17"/>
        <v>61207.979999999989</v>
      </c>
      <c r="I1136" t="str">
        <f>IF(Sheet1[[#This Row],[Month_Revenue]] &lt; AVERAGE(Sheet1[Month_Revenue]), "Off-Peak", "Peak")</f>
        <v>Peak</v>
      </c>
      <c r="J1136">
        <f xml:space="preserve"> IF(Sheet1[[#This Row],[Ad Spend]] &gt; 0, (Sheet1[[#This Row],[Profit]] / Sheet1[[#This Row],[Ad Spend]]), 0)</f>
        <v>2.5265935850588717</v>
      </c>
      <c r="K1136">
        <f>Sheet1[[#This Row],[Revenue]]-Sheet1[[#This Row],[Ad Spend]]</f>
        <v>124.46000000000001</v>
      </c>
      <c r="L1136" s="2" t="s">
        <v>14</v>
      </c>
      <c r="M1136">
        <v>1</v>
      </c>
      <c r="N1136" s="2" t="s">
        <v>15</v>
      </c>
      <c r="O1136">
        <v>173.72</v>
      </c>
    </row>
    <row r="1137" spans="1:15" x14ac:dyDescent="0.3">
      <c r="A1137" s="1">
        <v>45398</v>
      </c>
      <c r="B1137" s="2" t="s">
        <v>11</v>
      </c>
      <c r="C1137" s="2" t="s">
        <v>12</v>
      </c>
      <c r="D1137" s="2" t="s">
        <v>13</v>
      </c>
      <c r="E1137">
        <v>188.15</v>
      </c>
      <c r="F1137">
        <v>33.21</v>
      </c>
      <c r="G1137">
        <v>3</v>
      </c>
      <c r="H1137">
        <f t="shared" si="17"/>
        <v>58562.910000000018</v>
      </c>
      <c r="I1137" t="str">
        <f>IF(Sheet1[[#This Row],[Month_Revenue]] &lt; AVERAGE(Sheet1[Month_Revenue]), "Off-Peak", "Peak")</f>
        <v>Peak</v>
      </c>
      <c r="J1137">
        <f xml:space="preserve"> IF(Sheet1[[#This Row],[Ad Spend]] &gt; 0, (Sheet1[[#This Row],[Profit]] / Sheet1[[#This Row],[Ad Spend]]), 0)</f>
        <v>4.6654622101776573</v>
      </c>
      <c r="K1137">
        <f>Sheet1[[#This Row],[Revenue]]-Sheet1[[#This Row],[Ad Spend]]</f>
        <v>154.94</v>
      </c>
      <c r="L1137" s="2" t="s">
        <v>22</v>
      </c>
      <c r="M1137">
        <v>4</v>
      </c>
      <c r="N1137" s="2" t="s">
        <v>19</v>
      </c>
      <c r="O1137">
        <v>62.716666666666669</v>
      </c>
    </row>
    <row r="1138" spans="1:15" x14ac:dyDescent="0.3">
      <c r="A1138" s="1">
        <v>45331</v>
      </c>
      <c r="B1138" s="2" t="s">
        <v>23</v>
      </c>
      <c r="C1138" s="2" t="s">
        <v>21</v>
      </c>
      <c r="D1138" s="2" t="s">
        <v>18</v>
      </c>
      <c r="E1138">
        <v>35.549999999999997</v>
      </c>
      <c r="F1138">
        <v>20.22</v>
      </c>
      <c r="G1138">
        <v>2</v>
      </c>
      <c r="H1138">
        <f t="shared" si="17"/>
        <v>48675.899999999936</v>
      </c>
      <c r="I1138" t="str">
        <f>IF(Sheet1[[#This Row],[Month_Revenue]] &lt; AVERAGE(Sheet1[Month_Revenue]), "Off-Peak", "Peak")</f>
        <v>Off-Peak</v>
      </c>
      <c r="J1138">
        <f xml:space="preserve"> IF(Sheet1[[#This Row],[Ad Spend]] &gt; 0, (Sheet1[[#This Row],[Profit]] / Sheet1[[#This Row],[Ad Spend]]), 0)</f>
        <v>0.75816023738872396</v>
      </c>
      <c r="K1138">
        <f>Sheet1[[#This Row],[Revenue]]-Sheet1[[#This Row],[Ad Spend]]</f>
        <v>15.329999999999998</v>
      </c>
      <c r="L1138" s="2" t="s">
        <v>22</v>
      </c>
      <c r="M1138">
        <v>2</v>
      </c>
      <c r="N1138" s="2" t="s">
        <v>15</v>
      </c>
      <c r="O1138">
        <v>17.774999999999999</v>
      </c>
    </row>
    <row r="1139" spans="1:15" x14ac:dyDescent="0.3">
      <c r="A1139" s="1">
        <v>45373</v>
      </c>
      <c r="B1139" s="2" t="s">
        <v>20</v>
      </c>
      <c r="C1139" s="2" t="s">
        <v>17</v>
      </c>
      <c r="D1139" s="2" t="s">
        <v>13</v>
      </c>
      <c r="E1139">
        <v>173.97</v>
      </c>
      <c r="F1139">
        <v>25.7</v>
      </c>
      <c r="G1139">
        <v>3</v>
      </c>
      <c r="H1139">
        <f t="shared" si="17"/>
        <v>54735.250000000029</v>
      </c>
      <c r="I1139" t="str">
        <f>IF(Sheet1[[#This Row],[Month_Revenue]] &lt; AVERAGE(Sheet1[Month_Revenue]), "Off-Peak", "Peak")</f>
        <v>Off-Peak</v>
      </c>
      <c r="J1139">
        <f xml:space="preserve"> IF(Sheet1[[#This Row],[Ad Spend]] &gt; 0, (Sheet1[[#This Row],[Profit]] / Sheet1[[#This Row],[Ad Spend]]), 0)</f>
        <v>5.7692607003891059</v>
      </c>
      <c r="K1139">
        <f>Sheet1[[#This Row],[Revenue]]-Sheet1[[#This Row],[Ad Spend]]</f>
        <v>148.27000000000001</v>
      </c>
      <c r="L1139" s="2" t="s">
        <v>22</v>
      </c>
      <c r="M1139">
        <v>3</v>
      </c>
      <c r="N1139" s="2" t="s">
        <v>19</v>
      </c>
      <c r="O1139">
        <v>57.99</v>
      </c>
    </row>
    <row r="1140" spans="1:15" x14ac:dyDescent="0.3">
      <c r="A1140" s="1">
        <v>45395</v>
      </c>
      <c r="B1140" s="2" t="s">
        <v>23</v>
      </c>
      <c r="C1140" s="2" t="s">
        <v>12</v>
      </c>
      <c r="D1140" s="2" t="s">
        <v>18</v>
      </c>
      <c r="E1140">
        <v>186.6</v>
      </c>
      <c r="F1140">
        <v>21.91</v>
      </c>
      <c r="G1140">
        <v>0</v>
      </c>
      <c r="H1140">
        <f t="shared" si="17"/>
        <v>58562.910000000018</v>
      </c>
      <c r="I1140" t="str">
        <f>IF(Sheet1[[#This Row],[Month_Revenue]] &lt; AVERAGE(Sheet1[Month_Revenue]), "Off-Peak", "Peak")</f>
        <v>Peak</v>
      </c>
      <c r="J1140">
        <f xml:space="preserve"> IF(Sheet1[[#This Row],[Ad Spend]] &gt; 0, (Sheet1[[#This Row],[Profit]] / Sheet1[[#This Row],[Ad Spend]]), 0)</f>
        <v>7.51665905979005</v>
      </c>
      <c r="K1140">
        <f>Sheet1[[#This Row],[Revenue]]-Sheet1[[#This Row],[Ad Spend]]</f>
        <v>164.69</v>
      </c>
      <c r="L1140" s="2" t="s">
        <v>22</v>
      </c>
      <c r="M1140">
        <v>4</v>
      </c>
      <c r="N1140" s="2" t="s">
        <v>19</v>
      </c>
      <c r="O1140">
        <v>0</v>
      </c>
    </row>
    <row r="1141" spans="1:15" x14ac:dyDescent="0.3">
      <c r="A1141" s="1">
        <v>45315</v>
      </c>
      <c r="B1141" s="2" t="s">
        <v>11</v>
      </c>
      <c r="C1141" s="2" t="s">
        <v>21</v>
      </c>
      <c r="D1141" s="2" t="s">
        <v>13</v>
      </c>
      <c r="E1141">
        <v>163.87</v>
      </c>
      <c r="F1141">
        <v>9.11</v>
      </c>
      <c r="G1141">
        <v>0</v>
      </c>
      <c r="H1141">
        <f t="shared" si="17"/>
        <v>61207.979999999989</v>
      </c>
      <c r="I1141" t="str">
        <f>IF(Sheet1[[#This Row],[Month_Revenue]] &lt; AVERAGE(Sheet1[Month_Revenue]), "Off-Peak", "Peak")</f>
        <v>Peak</v>
      </c>
      <c r="J1141">
        <f xml:space="preserve"> IF(Sheet1[[#This Row],[Ad Spend]] &gt; 0, (Sheet1[[#This Row],[Profit]] / Sheet1[[#This Row],[Ad Spend]]), 0)</f>
        <v>16.987925356750825</v>
      </c>
      <c r="K1141">
        <f>Sheet1[[#This Row],[Revenue]]-Sheet1[[#This Row],[Ad Spend]]</f>
        <v>154.76</v>
      </c>
      <c r="L1141" s="2" t="s">
        <v>22</v>
      </c>
      <c r="M1141">
        <v>1</v>
      </c>
      <c r="N1141" s="2" t="s">
        <v>15</v>
      </c>
      <c r="O1141">
        <v>0</v>
      </c>
    </row>
    <row r="1142" spans="1:15" x14ac:dyDescent="0.3">
      <c r="A1142" s="1">
        <v>45334</v>
      </c>
      <c r="B1142" s="2" t="s">
        <v>20</v>
      </c>
      <c r="C1142" s="2" t="s">
        <v>12</v>
      </c>
      <c r="D1142" s="2" t="s">
        <v>18</v>
      </c>
      <c r="E1142">
        <v>115.84</v>
      </c>
      <c r="F1142">
        <v>12.26</v>
      </c>
      <c r="G1142">
        <v>1</v>
      </c>
      <c r="H1142">
        <f t="shared" si="17"/>
        <v>48675.899999999936</v>
      </c>
      <c r="I1142" t="str">
        <f>IF(Sheet1[[#This Row],[Month_Revenue]] &lt; AVERAGE(Sheet1[Month_Revenue]), "Off-Peak", "Peak")</f>
        <v>Off-Peak</v>
      </c>
      <c r="J1142">
        <f xml:space="preserve"> IF(Sheet1[[#This Row],[Ad Spend]] &gt; 0, (Sheet1[[#This Row],[Profit]] / Sheet1[[#This Row],[Ad Spend]]), 0)</f>
        <v>8.4486133768352367</v>
      </c>
      <c r="K1142">
        <f>Sheet1[[#This Row],[Revenue]]-Sheet1[[#This Row],[Ad Spend]]</f>
        <v>103.58</v>
      </c>
      <c r="L1142" s="2" t="s">
        <v>22</v>
      </c>
      <c r="M1142">
        <v>2</v>
      </c>
      <c r="N1142" s="2" t="s">
        <v>15</v>
      </c>
      <c r="O1142">
        <v>115.84</v>
      </c>
    </row>
    <row r="1143" spans="1:15" x14ac:dyDescent="0.3">
      <c r="A1143" s="1">
        <v>45394</v>
      </c>
      <c r="B1143" s="2" t="s">
        <v>20</v>
      </c>
      <c r="C1143" s="2" t="s">
        <v>12</v>
      </c>
      <c r="D1143" s="2" t="s">
        <v>13</v>
      </c>
      <c r="E1143">
        <v>77.97</v>
      </c>
      <c r="F1143">
        <v>46.13</v>
      </c>
      <c r="G1143">
        <v>2</v>
      </c>
      <c r="H1143">
        <f t="shared" si="17"/>
        <v>58562.910000000018</v>
      </c>
      <c r="I1143" t="str">
        <f>IF(Sheet1[[#This Row],[Month_Revenue]] &lt; AVERAGE(Sheet1[Month_Revenue]), "Off-Peak", "Peak")</f>
        <v>Peak</v>
      </c>
      <c r="J1143">
        <f xml:space="preserve"> IF(Sheet1[[#This Row],[Ad Spend]] &gt; 0, (Sheet1[[#This Row],[Profit]] / Sheet1[[#This Row],[Ad Spend]]), 0)</f>
        <v>0.69022328202904826</v>
      </c>
      <c r="K1143">
        <f>Sheet1[[#This Row],[Revenue]]-Sheet1[[#This Row],[Ad Spend]]</f>
        <v>31.839999999999996</v>
      </c>
      <c r="L1143" s="2" t="s">
        <v>14</v>
      </c>
      <c r="M1143">
        <v>4</v>
      </c>
      <c r="N1143" s="2" t="s">
        <v>19</v>
      </c>
      <c r="O1143">
        <v>38.984999999999999</v>
      </c>
    </row>
    <row r="1144" spans="1:15" x14ac:dyDescent="0.3">
      <c r="A1144" s="1">
        <v>45336</v>
      </c>
      <c r="B1144" s="2" t="s">
        <v>23</v>
      </c>
      <c r="C1144" s="2" t="s">
        <v>21</v>
      </c>
      <c r="D1144" s="2" t="s">
        <v>18</v>
      </c>
      <c r="E1144">
        <v>126.47</v>
      </c>
      <c r="F1144">
        <v>34.4</v>
      </c>
      <c r="G1144">
        <v>3</v>
      </c>
      <c r="H1144">
        <f t="shared" si="17"/>
        <v>48675.899999999936</v>
      </c>
      <c r="I1144" t="str">
        <f>IF(Sheet1[[#This Row],[Month_Revenue]] &lt; AVERAGE(Sheet1[Month_Revenue]), "Off-Peak", "Peak")</f>
        <v>Off-Peak</v>
      </c>
      <c r="J1144">
        <f xml:space="preserve"> IF(Sheet1[[#This Row],[Ad Spend]] &gt; 0, (Sheet1[[#This Row],[Profit]] / Sheet1[[#This Row],[Ad Spend]]), 0)</f>
        <v>2.676453488372093</v>
      </c>
      <c r="K1144">
        <f>Sheet1[[#This Row],[Revenue]]-Sheet1[[#This Row],[Ad Spend]]</f>
        <v>92.07</v>
      </c>
      <c r="L1144" s="2" t="s">
        <v>22</v>
      </c>
      <c r="M1144">
        <v>2</v>
      </c>
      <c r="N1144" s="2" t="s">
        <v>15</v>
      </c>
      <c r="O1144">
        <v>42.156666666666666</v>
      </c>
    </row>
    <row r="1145" spans="1:15" x14ac:dyDescent="0.3">
      <c r="A1145" s="1">
        <v>45340</v>
      </c>
      <c r="B1145" s="2" t="s">
        <v>11</v>
      </c>
      <c r="C1145" s="2" t="s">
        <v>12</v>
      </c>
      <c r="D1145" s="2" t="s">
        <v>13</v>
      </c>
      <c r="E1145">
        <v>189.42</v>
      </c>
      <c r="F1145">
        <v>41.61</v>
      </c>
      <c r="G1145">
        <v>0</v>
      </c>
      <c r="H1145">
        <f t="shared" si="17"/>
        <v>48675.899999999936</v>
      </c>
      <c r="I1145" t="str">
        <f>IF(Sheet1[[#This Row],[Month_Revenue]] &lt; AVERAGE(Sheet1[Month_Revenue]), "Off-Peak", "Peak")</f>
        <v>Off-Peak</v>
      </c>
      <c r="J1145">
        <f xml:space="preserve"> IF(Sheet1[[#This Row],[Ad Spend]] &gt; 0, (Sheet1[[#This Row],[Profit]] / Sheet1[[#This Row],[Ad Spend]]), 0)</f>
        <v>3.5522710886806057</v>
      </c>
      <c r="K1145">
        <f>Sheet1[[#This Row],[Revenue]]-Sheet1[[#This Row],[Ad Spend]]</f>
        <v>147.81</v>
      </c>
      <c r="L1145" s="2" t="s">
        <v>22</v>
      </c>
      <c r="M1145">
        <v>2</v>
      </c>
      <c r="N1145" s="2" t="s">
        <v>15</v>
      </c>
      <c r="O1145">
        <v>0</v>
      </c>
    </row>
    <row r="1146" spans="1:15" x14ac:dyDescent="0.3">
      <c r="A1146" s="1">
        <v>45375</v>
      </c>
      <c r="B1146" s="2" t="s">
        <v>11</v>
      </c>
      <c r="C1146" s="2" t="s">
        <v>21</v>
      </c>
      <c r="D1146" s="2" t="s">
        <v>13</v>
      </c>
      <c r="E1146">
        <v>93.3</v>
      </c>
      <c r="F1146">
        <v>38.67</v>
      </c>
      <c r="G1146">
        <v>3</v>
      </c>
      <c r="H1146">
        <f t="shared" si="17"/>
        <v>54735.250000000029</v>
      </c>
      <c r="I1146" t="str">
        <f>IF(Sheet1[[#This Row],[Month_Revenue]] &lt; AVERAGE(Sheet1[Month_Revenue]), "Off-Peak", "Peak")</f>
        <v>Off-Peak</v>
      </c>
      <c r="J1146">
        <f xml:space="preserve"> IF(Sheet1[[#This Row],[Ad Spend]] &gt; 0, (Sheet1[[#This Row],[Profit]] / Sheet1[[#This Row],[Ad Spend]]), 0)</f>
        <v>1.412723041117145</v>
      </c>
      <c r="K1146">
        <f>Sheet1[[#This Row],[Revenue]]-Sheet1[[#This Row],[Ad Spend]]</f>
        <v>54.629999999999995</v>
      </c>
      <c r="L1146" s="2" t="s">
        <v>14</v>
      </c>
      <c r="M1146">
        <v>3</v>
      </c>
      <c r="N1146" s="2" t="s">
        <v>19</v>
      </c>
      <c r="O1146">
        <v>31.099999999999998</v>
      </c>
    </row>
    <row r="1147" spans="1:15" x14ac:dyDescent="0.3">
      <c r="A1147" s="1">
        <v>45387</v>
      </c>
      <c r="B1147" s="2" t="s">
        <v>20</v>
      </c>
      <c r="C1147" s="2" t="s">
        <v>21</v>
      </c>
      <c r="D1147" s="2" t="s">
        <v>13</v>
      </c>
      <c r="E1147">
        <v>72.84</v>
      </c>
      <c r="F1147">
        <v>45.03</v>
      </c>
      <c r="G1147">
        <v>3</v>
      </c>
      <c r="H1147">
        <f t="shared" si="17"/>
        <v>58562.910000000018</v>
      </c>
      <c r="I1147" t="str">
        <f>IF(Sheet1[[#This Row],[Month_Revenue]] &lt; AVERAGE(Sheet1[Month_Revenue]), "Off-Peak", "Peak")</f>
        <v>Peak</v>
      </c>
      <c r="J1147">
        <f xml:space="preserve"> IF(Sheet1[[#This Row],[Ad Spend]] &gt; 0, (Sheet1[[#This Row],[Profit]] / Sheet1[[#This Row],[Ad Spend]]), 0)</f>
        <v>0.61758827448367759</v>
      </c>
      <c r="K1147">
        <f>Sheet1[[#This Row],[Revenue]]-Sheet1[[#This Row],[Ad Spend]]</f>
        <v>27.810000000000002</v>
      </c>
      <c r="L1147" s="2" t="s">
        <v>14</v>
      </c>
      <c r="M1147">
        <v>4</v>
      </c>
      <c r="N1147" s="2" t="s">
        <v>19</v>
      </c>
      <c r="O1147">
        <v>24.28</v>
      </c>
    </row>
    <row r="1148" spans="1:15" x14ac:dyDescent="0.3">
      <c r="A1148" s="1">
        <v>45365</v>
      </c>
      <c r="B1148" s="2" t="s">
        <v>11</v>
      </c>
      <c r="C1148" s="2" t="s">
        <v>17</v>
      </c>
      <c r="D1148" s="2" t="s">
        <v>18</v>
      </c>
      <c r="E1148">
        <v>194.76</v>
      </c>
      <c r="F1148">
        <v>16.34</v>
      </c>
      <c r="G1148">
        <v>3</v>
      </c>
      <c r="H1148">
        <f t="shared" si="17"/>
        <v>54735.250000000029</v>
      </c>
      <c r="I1148" t="str">
        <f>IF(Sheet1[[#This Row],[Month_Revenue]] &lt; AVERAGE(Sheet1[Month_Revenue]), "Off-Peak", "Peak")</f>
        <v>Off-Peak</v>
      </c>
      <c r="J1148">
        <f xml:space="preserve"> IF(Sheet1[[#This Row],[Ad Spend]] &gt; 0, (Sheet1[[#This Row],[Profit]] / Sheet1[[#This Row],[Ad Spend]]), 0)</f>
        <v>10.919216646266829</v>
      </c>
      <c r="K1148">
        <f>Sheet1[[#This Row],[Revenue]]-Sheet1[[#This Row],[Ad Spend]]</f>
        <v>178.42</v>
      </c>
      <c r="L1148" s="2" t="s">
        <v>14</v>
      </c>
      <c r="M1148">
        <v>3</v>
      </c>
      <c r="N1148" s="2" t="s">
        <v>19</v>
      </c>
      <c r="O1148">
        <v>64.92</v>
      </c>
    </row>
    <row r="1149" spans="1:15" x14ac:dyDescent="0.3">
      <c r="A1149" s="1">
        <v>45356</v>
      </c>
      <c r="B1149" s="2" t="s">
        <v>16</v>
      </c>
      <c r="C1149" s="2" t="s">
        <v>17</v>
      </c>
      <c r="D1149" s="2" t="s">
        <v>18</v>
      </c>
      <c r="E1149">
        <v>100.95</v>
      </c>
      <c r="F1149">
        <v>44.98</v>
      </c>
      <c r="G1149">
        <v>0</v>
      </c>
      <c r="H1149">
        <f t="shared" si="17"/>
        <v>54735.250000000029</v>
      </c>
      <c r="I1149" t="str">
        <f>IF(Sheet1[[#This Row],[Month_Revenue]] &lt; AVERAGE(Sheet1[Month_Revenue]), "Off-Peak", "Peak")</f>
        <v>Off-Peak</v>
      </c>
      <c r="J1149">
        <f xml:space="preserve"> IF(Sheet1[[#This Row],[Ad Spend]] &gt; 0, (Sheet1[[#This Row],[Profit]] / Sheet1[[#This Row],[Ad Spend]]), 0)</f>
        <v>1.2443308136949758</v>
      </c>
      <c r="K1149">
        <f>Sheet1[[#This Row],[Revenue]]-Sheet1[[#This Row],[Ad Spend]]</f>
        <v>55.970000000000006</v>
      </c>
      <c r="L1149" s="2" t="s">
        <v>22</v>
      </c>
      <c r="M1149">
        <v>3</v>
      </c>
      <c r="N1149" s="2" t="s">
        <v>19</v>
      </c>
      <c r="O1149">
        <v>0</v>
      </c>
    </row>
    <row r="1150" spans="1:15" x14ac:dyDescent="0.3">
      <c r="A1150" s="1">
        <v>45294</v>
      </c>
      <c r="B1150" s="2" t="s">
        <v>16</v>
      </c>
      <c r="C1150" s="2" t="s">
        <v>21</v>
      </c>
      <c r="D1150" s="2" t="s">
        <v>13</v>
      </c>
      <c r="E1150">
        <v>75.17</v>
      </c>
      <c r="F1150">
        <v>5.12</v>
      </c>
      <c r="G1150">
        <v>1</v>
      </c>
      <c r="H1150">
        <f t="shared" si="17"/>
        <v>61207.979999999989</v>
      </c>
      <c r="I1150" t="str">
        <f>IF(Sheet1[[#This Row],[Month_Revenue]] &lt; AVERAGE(Sheet1[Month_Revenue]), "Off-Peak", "Peak")</f>
        <v>Peak</v>
      </c>
      <c r="J1150">
        <f xml:space="preserve"> IF(Sheet1[[#This Row],[Ad Spend]] &gt; 0, (Sheet1[[#This Row],[Profit]] / Sheet1[[#This Row],[Ad Spend]]), 0)</f>
        <v>13.681640625</v>
      </c>
      <c r="K1150">
        <f>Sheet1[[#This Row],[Revenue]]-Sheet1[[#This Row],[Ad Spend]]</f>
        <v>70.05</v>
      </c>
      <c r="L1150" s="2" t="s">
        <v>22</v>
      </c>
      <c r="M1150">
        <v>1</v>
      </c>
      <c r="N1150" s="2" t="s">
        <v>15</v>
      </c>
      <c r="O1150">
        <v>75.17</v>
      </c>
    </row>
    <row r="1151" spans="1:15" x14ac:dyDescent="0.3">
      <c r="A1151" s="1">
        <v>45408</v>
      </c>
      <c r="B1151" s="2" t="s">
        <v>20</v>
      </c>
      <c r="C1151" s="2" t="s">
        <v>12</v>
      </c>
      <c r="D1151" s="2" t="s">
        <v>13</v>
      </c>
      <c r="E1151">
        <v>165.07</v>
      </c>
      <c r="F1151">
        <v>5.31</v>
      </c>
      <c r="G1151">
        <v>1</v>
      </c>
      <c r="H1151">
        <f t="shared" si="17"/>
        <v>58562.910000000018</v>
      </c>
      <c r="I1151" t="str">
        <f>IF(Sheet1[[#This Row],[Month_Revenue]] &lt; AVERAGE(Sheet1[Month_Revenue]), "Off-Peak", "Peak")</f>
        <v>Peak</v>
      </c>
      <c r="J1151">
        <f xml:space="preserve"> IF(Sheet1[[#This Row],[Ad Spend]] &gt; 0, (Sheet1[[#This Row],[Profit]] / Sheet1[[#This Row],[Ad Spend]]), 0)</f>
        <v>30.086629001883239</v>
      </c>
      <c r="K1151">
        <f>Sheet1[[#This Row],[Revenue]]-Sheet1[[#This Row],[Ad Spend]]</f>
        <v>159.76</v>
      </c>
      <c r="L1151" s="2" t="s">
        <v>22</v>
      </c>
      <c r="M1151">
        <v>4</v>
      </c>
      <c r="N1151" s="2" t="s">
        <v>19</v>
      </c>
      <c r="O1151">
        <v>165.07</v>
      </c>
    </row>
    <row r="1152" spans="1:15" x14ac:dyDescent="0.3">
      <c r="A1152" s="1">
        <v>45355</v>
      </c>
      <c r="B1152" s="2" t="s">
        <v>11</v>
      </c>
      <c r="C1152" s="2" t="s">
        <v>17</v>
      </c>
      <c r="D1152" s="2" t="s">
        <v>13</v>
      </c>
      <c r="E1152">
        <v>164.9</v>
      </c>
      <c r="F1152">
        <v>42.41</v>
      </c>
      <c r="G1152">
        <v>3</v>
      </c>
      <c r="H1152">
        <f t="shared" si="17"/>
        <v>54735.250000000029</v>
      </c>
      <c r="I1152" t="str">
        <f>IF(Sheet1[[#This Row],[Month_Revenue]] &lt; AVERAGE(Sheet1[Month_Revenue]), "Off-Peak", "Peak")</f>
        <v>Off-Peak</v>
      </c>
      <c r="J1152">
        <f xml:space="preserve"> IF(Sheet1[[#This Row],[Ad Spend]] &gt; 0, (Sheet1[[#This Row],[Profit]] / Sheet1[[#This Row],[Ad Spend]]), 0)</f>
        <v>2.888233907097383</v>
      </c>
      <c r="K1152">
        <f>Sheet1[[#This Row],[Revenue]]-Sheet1[[#This Row],[Ad Spend]]</f>
        <v>122.49000000000001</v>
      </c>
      <c r="L1152" s="2" t="s">
        <v>22</v>
      </c>
      <c r="M1152">
        <v>3</v>
      </c>
      <c r="N1152" s="2" t="s">
        <v>19</v>
      </c>
      <c r="O1152">
        <v>54.966666666666669</v>
      </c>
    </row>
    <row r="1153" spans="1:15" x14ac:dyDescent="0.3">
      <c r="A1153" s="1">
        <v>45371</v>
      </c>
      <c r="B1153" s="2" t="s">
        <v>20</v>
      </c>
      <c r="C1153" s="2" t="s">
        <v>17</v>
      </c>
      <c r="D1153" s="2" t="s">
        <v>18</v>
      </c>
      <c r="E1153">
        <v>53.18</v>
      </c>
      <c r="F1153">
        <v>45.5</v>
      </c>
      <c r="G1153">
        <v>2</v>
      </c>
      <c r="H1153">
        <f t="shared" si="17"/>
        <v>54735.250000000029</v>
      </c>
      <c r="I1153" t="str">
        <f>IF(Sheet1[[#This Row],[Month_Revenue]] &lt; AVERAGE(Sheet1[Month_Revenue]), "Off-Peak", "Peak")</f>
        <v>Off-Peak</v>
      </c>
      <c r="J1153">
        <f xml:space="preserve"> IF(Sheet1[[#This Row],[Ad Spend]] &gt; 0, (Sheet1[[#This Row],[Profit]] / Sheet1[[#This Row],[Ad Spend]]), 0)</f>
        <v>0.16879120879120879</v>
      </c>
      <c r="K1153">
        <f>Sheet1[[#This Row],[Revenue]]-Sheet1[[#This Row],[Ad Spend]]</f>
        <v>7.68</v>
      </c>
      <c r="L1153" s="2" t="s">
        <v>14</v>
      </c>
      <c r="M1153">
        <v>3</v>
      </c>
      <c r="N1153" s="2" t="s">
        <v>19</v>
      </c>
      <c r="O1153">
        <v>26.59</v>
      </c>
    </row>
    <row r="1154" spans="1:15" x14ac:dyDescent="0.3">
      <c r="A1154" s="1">
        <v>45293</v>
      </c>
      <c r="B1154" s="2" t="s">
        <v>20</v>
      </c>
      <c r="C1154" s="2" t="s">
        <v>12</v>
      </c>
      <c r="D1154" s="2" t="s">
        <v>18</v>
      </c>
      <c r="E1154">
        <v>21.95</v>
      </c>
      <c r="F1154">
        <v>36.450000000000003</v>
      </c>
      <c r="G1154">
        <v>3</v>
      </c>
      <c r="H1154">
        <f t="shared" ref="H1154:H1217" si="18">SUMIFS($E$2:$E$2001, $M$2:$M$2001, M1154)</f>
        <v>61207.979999999989</v>
      </c>
      <c r="I1154" t="str">
        <f>IF(Sheet1[[#This Row],[Month_Revenue]] &lt; AVERAGE(Sheet1[Month_Revenue]), "Off-Peak", "Peak")</f>
        <v>Peak</v>
      </c>
      <c r="J1154">
        <f xml:space="preserve"> IF(Sheet1[[#This Row],[Ad Spend]] &gt; 0, (Sheet1[[#This Row],[Profit]] / Sheet1[[#This Row],[Ad Spend]]), 0)</f>
        <v>-0.39780521262002749</v>
      </c>
      <c r="K1154">
        <f>Sheet1[[#This Row],[Revenue]]-Sheet1[[#This Row],[Ad Spend]]</f>
        <v>-14.500000000000004</v>
      </c>
      <c r="L1154" s="2" t="s">
        <v>14</v>
      </c>
      <c r="M1154">
        <v>1</v>
      </c>
      <c r="N1154" s="2" t="s">
        <v>15</v>
      </c>
      <c r="O1154">
        <v>7.3166666666666664</v>
      </c>
    </row>
    <row r="1155" spans="1:15" x14ac:dyDescent="0.3">
      <c r="A1155" s="1">
        <v>45394</v>
      </c>
      <c r="B1155" s="2" t="s">
        <v>24</v>
      </c>
      <c r="C1155" s="2" t="s">
        <v>17</v>
      </c>
      <c r="D1155" s="2" t="s">
        <v>18</v>
      </c>
      <c r="E1155">
        <v>150.34</v>
      </c>
      <c r="F1155">
        <v>41.48</v>
      </c>
      <c r="G1155">
        <v>3</v>
      </c>
      <c r="H1155">
        <f t="shared" si="18"/>
        <v>58562.910000000018</v>
      </c>
      <c r="I1155" t="str">
        <f>IF(Sheet1[[#This Row],[Month_Revenue]] &lt; AVERAGE(Sheet1[Month_Revenue]), "Off-Peak", "Peak")</f>
        <v>Peak</v>
      </c>
      <c r="J1155">
        <f xml:space="preserve"> IF(Sheet1[[#This Row],[Ad Spend]] &gt; 0, (Sheet1[[#This Row],[Profit]] / Sheet1[[#This Row],[Ad Spend]]), 0)</f>
        <v>2.6243972999035683</v>
      </c>
      <c r="K1155">
        <f>Sheet1[[#This Row],[Revenue]]-Sheet1[[#This Row],[Ad Spend]]</f>
        <v>108.86000000000001</v>
      </c>
      <c r="L1155" s="2" t="s">
        <v>22</v>
      </c>
      <c r="M1155">
        <v>4</v>
      </c>
      <c r="N1155" s="2" t="s">
        <v>19</v>
      </c>
      <c r="O1155">
        <v>50.113333333333337</v>
      </c>
    </row>
    <row r="1156" spans="1:15" x14ac:dyDescent="0.3">
      <c r="A1156" s="1">
        <v>45399</v>
      </c>
      <c r="B1156" s="2" t="s">
        <v>11</v>
      </c>
      <c r="C1156" s="2" t="s">
        <v>12</v>
      </c>
      <c r="D1156" s="2" t="s">
        <v>13</v>
      </c>
      <c r="E1156">
        <v>98.19</v>
      </c>
      <c r="F1156">
        <v>7.76</v>
      </c>
      <c r="G1156">
        <v>2</v>
      </c>
      <c r="H1156">
        <f t="shared" si="18"/>
        <v>58562.910000000018</v>
      </c>
      <c r="I1156" t="str">
        <f>IF(Sheet1[[#This Row],[Month_Revenue]] &lt; AVERAGE(Sheet1[Month_Revenue]), "Off-Peak", "Peak")</f>
        <v>Peak</v>
      </c>
      <c r="J1156">
        <f xml:space="preserve"> IF(Sheet1[[#This Row],[Ad Spend]] &gt; 0, (Sheet1[[#This Row],[Profit]] / Sheet1[[#This Row],[Ad Spend]]), 0)</f>
        <v>11.653350515463917</v>
      </c>
      <c r="K1156">
        <f>Sheet1[[#This Row],[Revenue]]-Sheet1[[#This Row],[Ad Spend]]</f>
        <v>90.429999999999993</v>
      </c>
      <c r="L1156" s="2" t="s">
        <v>14</v>
      </c>
      <c r="M1156">
        <v>4</v>
      </c>
      <c r="N1156" s="2" t="s">
        <v>19</v>
      </c>
      <c r="O1156">
        <v>49.094999999999999</v>
      </c>
    </row>
    <row r="1157" spans="1:15" x14ac:dyDescent="0.3">
      <c r="A1157" s="1">
        <v>45404</v>
      </c>
      <c r="B1157" s="2" t="s">
        <v>20</v>
      </c>
      <c r="C1157" s="2" t="s">
        <v>12</v>
      </c>
      <c r="D1157" s="2" t="s">
        <v>18</v>
      </c>
      <c r="E1157">
        <v>109.63</v>
      </c>
      <c r="F1157">
        <v>26.63</v>
      </c>
      <c r="G1157">
        <v>0</v>
      </c>
      <c r="H1157">
        <f t="shared" si="18"/>
        <v>58562.910000000018</v>
      </c>
      <c r="I1157" t="str">
        <f>IF(Sheet1[[#This Row],[Month_Revenue]] &lt; AVERAGE(Sheet1[Month_Revenue]), "Off-Peak", "Peak")</f>
        <v>Peak</v>
      </c>
      <c r="J1157">
        <f xml:space="preserve"> IF(Sheet1[[#This Row],[Ad Spend]] &gt; 0, (Sheet1[[#This Row],[Profit]] / Sheet1[[#This Row],[Ad Spend]]), 0)</f>
        <v>3.1167855801727375</v>
      </c>
      <c r="K1157">
        <f>Sheet1[[#This Row],[Revenue]]-Sheet1[[#This Row],[Ad Spend]]</f>
        <v>83</v>
      </c>
      <c r="L1157" s="2" t="s">
        <v>22</v>
      </c>
      <c r="M1157">
        <v>4</v>
      </c>
      <c r="N1157" s="2" t="s">
        <v>19</v>
      </c>
      <c r="O1157">
        <v>0</v>
      </c>
    </row>
    <row r="1158" spans="1:15" x14ac:dyDescent="0.3">
      <c r="A1158" s="1">
        <v>45293</v>
      </c>
      <c r="B1158" s="2" t="s">
        <v>16</v>
      </c>
      <c r="C1158" s="2" t="s">
        <v>12</v>
      </c>
      <c r="D1158" s="2" t="s">
        <v>18</v>
      </c>
      <c r="E1158">
        <v>79.73</v>
      </c>
      <c r="F1158">
        <v>11.82</v>
      </c>
      <c r="G1158">
        <v>0</v>
      </c>
      <c r="H1158">
        <f t="shared" si="18"/>
        <v>61207.979999999989</v>
      </c>
      <c r="I1158" t="str">
        <f>IF(Sheet1[[#This Row],[Month_Revenue]] &lt; AVERAGE(Sheet1[Month_Revenue]), "Off-Peak", "Peak")</f>
        <v>Peak</v>
      </c>
      <c r="J1158">
        <f xml:space="preserve"> IF(Sheet1[[#This Row],[Ad Spend]] &gt; 0, (Sheet1[[#This Row],[Profit]] / Sheet1[[#This Row],[Ad Spend]]), 0)</f>
        <v>5.7453468697123515</v>
      </c>
      <c r="K1158">
        <f>Sheet1[[#This Row],[Revenue]]-Sheet1[[#This Row],[Ad Spend]]</f>
        <v>67.91</v>
      </c>
      <c r="L1158" s="2" t="s">
        <v>22</v>
      </c>
      <c r="M1158">
        <v>1</v>
      </c>
      <c r="N1158" s="2" t="s">
        <v>15</v>
      </c>
      <c r="O1158">
        <v>0</v>
      </c>
    </row>
    <row r="1159" spans="1:15" x14ac:dyDescent="0.3">
      <c r="A1159" s="1">
        <v>45411</v>
      </c>
      <c r="B1159" s="2" t="s">
        <v>24</v>
      </c>
      <c r="C1159" s="2" t="s">
        <v>12</v>
      </c>
      <c r="D1159" s="2" t="s">
        <v>13</v>
      </c>
      <c r="E1159">
        <v>64.17</v>
      </c>
      <c r="F1159">
        <v>1.4</v>
      </c>
      <c r="G1159">
        <v>1</v>
      </c>
      <c r="H1159">
        <f t="shared" si="18"/>
        <v>58562.910000000018</v>
      </c>
      <c r="I1159" t="str">
        <f>IF(Sheet1[[#This Row],[Month_Revenue]] &lt; AVERAGE(Sheet1[Month_Revenue]), "Off-Peak", "Peak")</f>
        <v>Peak</v>
      </c>
      <c r="J1159">
        <f xml:space="preserve"> IF(Sheet1[[#This Row],[Ad Spend]] &gt; 0, (Sheet1[[#This Row],[Profit]] / Sheet1[[#This Row],[Ad Spend]]), 0)</f>
        <v>44.835714285714289</v>
      </c>
      <c r="K1159">
        <f>Sheet1[[#This Row],[Revenue]]-Sheet1[[#This Row],[Ad Spend]]</f>
        <v>62.77</v>
      </c>
      <c r="L1159" s="2" t="s">
        <v>22</v>
      </c>
      <c r="M1159">
        <v>4</v>
      </c>
      <c r="N1159" s="2" t="s">
        <v>19</v>
      </c>
      <c r="O1159">
        <v>64.17</v>
      </c>
    </row>
    <row r="1160" spans="1:15" x14ac:dyDescent="0.3">
      <c r="A1160" s="1">
        <v>45317</v>
      </c>
      <c r="B1160" s="2" t="s">
        <v>23</v>
      </c>
      <c r="C1160" s="2" t="s">
        <v>17</v>
      </c>
      <c r="D1160" s="2" t="s">
        <v>13</v>
      </c>
      <c r="E1160">
        <v>94.06</v>
      </c>
      <c r="F1160">
        <v>26.9</v>
      </c>
      <c r="G1160">
        <v>0</v>
      </c>
      <c r="H1160">
        <f t="shared" si="18"/>
        <v>61207.979999999989</v>
      </c>
      <c r="I1160" t="str">
        <f>IF(Sheet1[[#This Row],[Month_Revenue]] &lt; AVERAGE(Sheet1[Month_Revenue]), "Off-Peak", "Peak")</f>
        <v>Peak</v>
      </c>
      <c r="J1160">
        <f xml:space="preserve"> IF(Sheet1[[#This Row],[Ad Spend]] &gt; 0, (Sheet1[[#This Row],[Profit]] / Sheet1[[#This Row],[Ad Spend]]), 0)</f>
        <v>2.4966542750929368</v>
      </c>
      <c r="K1160">
        <f>Sheet1[[#This Row],[Revenue]]-Sheet1[[#This Row],[Ad Spend]]</f>
        <v>67.16</v>
      </c>
      <c r="L1160" s="2" t="s">
        <v>14</v>
      </c>
      <c r="M1160">
        <v>1</v>
      </c>
      <c r="N1160" s="2" t="s">
        <v>15</v>
      </c>
      <c r="O1160">
        <v>0</v>
      </c>
    </row>
    <row r="1161" spans="1:15" x14ac:dyDescent="0.3">
      <c r="A1161" s="1">
        <v>45369</v>
      </c>
      <c r="B1161" s="2" t="s">
        <v>16</v>
      </c>
      <c r="C1161" s="2" t="s">
        <v>17</v>
      </c>
      <c r="D1161" s="2" t="s">
        <v>13</v>
      </c>
      <c r="E1161">
        <v>171.11</v>
      </c>
      <c r="F1161">
        <v>14.6</v>
      </c>
      <c r="G1161">
        <v>2</v>
      </c>
      <c r="H1161">
        <f t="shared" si="18"/>
        <v>54735.250000000029</v>
      </c>
      <c r="I1161" t="str">
        <f>IF(Sheet1[[#This Row],[Month_Revenue]] &lt; AVERAGE(Sheet1[Month_Revenue]), "Off-Peak", "Peak")</f>
        <v>Off-Peak</v>
      </c>
      <c r="J1161">
        <f xml:space="preserve"> IF(Sheet1[[#This Row],[Ad Spend]] &gt; 0, (Sheet1[[#This Row],[Profit]] / Sheet1[[#This Row],[Ad Spend]]), 0)</f>
        <v>10.719863013698632</v>
      </c>
      <c r="K1161">
        <f>Sheet1[[#This Row],[Revenue]]-Sheet1[[#This Row],[Ad Spend]]</f>
        <v>156.51000000000002</v>
      </c>
      <c r="L1161" s="2" t="s">
        <v>22</v>
      </c>
      <c r="M1161">
        <v>3</v>
      </c>
      <c r="N1161" s="2" t="s">
        <v>19</v>
      </c>
      <c r="O1161">
        <v>85.555000000000007</v>
      </c>
    </row>
    <row r="1162" spans="1:15" x14ac:dyDescent="0.3">
      <c r="A1162" s="1">
        <v>45393</v>
      </c>
      <c r="B1162" s="2" t="s">
        <v>11</v>
      </c>
      <c r="C1162" s="2" t="s">
        <v>17</v>
      </c>
      <c r="D1162" s="2" t="s">
        <v>18</v>
      </c>
      <c r="E1162">
        <v>121.94</v>
      </c>
      <c r="F1162">
        <v>34.35</v>
      </c>
      <c r="G1162">
        <v>2</v>
      </c>
      <c r="H1162">
        <f t="shared" si="18"/>
        <v>58562.910000000018</v>
      </c>
      <c r="I1162" t="str">
        <f>IF(Sheet1[[#This Row],[Month_Revenue]] &lt; AVERAGE(Sheet1[Month_Revenue]), "Off-Peak", "Peak")</f>
        <v>Peak</v>
      </c>
      <c r="J1162">
        <f xml:space="preserve"> IF(Sheet1[[#This Row],[Ad Spend]] &gt; 0, (Sheet1[[#This Row],[Profit]] / Sheet1[[#This Row],[Ad Spend]]), 0)</f>
        <v>2.5499272197962153</v>
      </c>
      <c r="K1162">
        <f>Sheet1[[#This Row],[Revenue]]-Sheet1[[#This Row],[Ad Spend]]</f>
        <v>87.59</v>
      </c>
      <c r="L1162" s="2" t="s">
        <v>22</v>
      </c>
      <c r="M1162">
        <v>4</v>
      </c>
      <c r="N1162" s="2" t="s">
        <v>19</v>
      </c>
      <c r="O1162">
        <v>60.97</v>
      </c>
    </row>
    <row r="1163" spans="1:15" x14ac:dyDescent="0.3">
      <c r="A1163" s="1">
        <v>45381</v>
      </c>
      <c r="B1163" s="2" t="s">
        <v>16</v>
      </c>
      <c r="C1163" s="2" t="s">
        <v>12</v>
      </c>
      <c r="D1163" s="2" t="s">
        <v>18</v>
      </c>
      <c r="E1163">
        <v>35.83</v>
      </c>
      <c r="F1163">
        <v>1.26</v>
      </c>
      <c r="G1163">
        <v>3</v>
      </c>
      <c r="H1163">
        <f t="shared" si="18"/>
        <v>54735.250000000029</v>
      </c>
      <c r="I1163" t="str">
        <f>IF(Sheet1[[#This Row],[Month_Revenue]] &lt; AVERAGE(Sheet1[Month_Revenue]), "Off-Peak", "Peak")</f>
        <v>Off-Peak</v>
      </c>
      <c r="J1163">
        <f xml:space="preserve"> IF(Sheet1[[#This Row],[Ad Spend]] &gt; 0, (Sheet1[[#This Row],[Profit]] / Sheet1[[#This Row],[Ad Spend]]), 0)</f>
        <v>27.436507936507937</v>
      </c>
      <c r="K1163">
        <f>Sheet1[[#This Row],[Revenue]]-Sheet1[[#This Row],[Ad Spend]]</f>
        <v>34.57</v>
      </c>
      <c r="L1163" s="2" t="s">
        <v>22</v>
      </c>
      <c r="M1163">
        <v>3</v>
      </c>
      <c r="N1163" s="2" t="s">
        <v>19</v>
      </c>
      <c r="O1163">
        <v>11.943333333333333</v>
      </c>
    </row>
    <row r="1164" spans="1:15" x14ac:dyDescent="0.3">
      <c r="A1164" s="1">
        <v>45408</v>
      </c>
      <c r="B1164" s="2" t="s">
        <v>11</v>
      </c>
      <c r="C1164" s="2" t="s">
        <v>17</v>
      </c>
      <c r="D1164" s="2" t="s">
        <v>18</v>
      </c>
      <c r="E1164">
        <v>143.63</v>
      </c>
      <c r="F1164">
        <v>39.46</v>
      </c>
      <c r="G1164">
        <v>3</v>
      </c>
      <c r="H1164">
        <f t="shared" si="18"/>
        <v>58562.910000000018</v>
      </c>
      <c r="I1164" t="str">
        <f>IF(Sheet1[[#This Row],[Month_Revenue]] &lt; AVERAGE(Sheet1[Month_Revenue]), "Off-Peak", "Peak")</f>
        <v>Peak</v>
      </c>
      <c r="J1164">
        <f xml:space="preserve"> IF(Sheet1[[#This Row],[Ad Spend]] &gt; 0, (Sheet1[[#This Row],[Profit]] / Sheet1[[#This Row],[Ad Spend]]), 0)</f>
        <v>2.6398884946781549</v>
      </c>
      <c r="K1164">
        <f>Sheet1[[#This Row],[Revenue]]-Sheet1[[#This Row],[Ad Spend]]</f>
        <v>104.16999999999999</v>
      </c>
      <c r="L1164" s="2" t="s">
        <v>14</v>
      </c>
      <c r="M1164">
        <v>4</v>
      </c>
      <c r="N1164" s="2" t="s">
        <v>19</v>
      </c>
      <c r="O1164">
        <v>47.876666666666665</v>
      </c>
    </row>
    <row r="1165" spans="1:15" x14ac:dyDescent="0.3">
      <c r="A1165" s="1">
        <v>45357</v>
      </c>
      <c r="B1165" s="2" t="s">
        <v>24</v>
      </c>
      <c r="C1165" s="2" t="s">
        <v>21</v>
      </c>
      <c r="D1165" s="2" t="s">
        <v>18</v>
      </c>
      <c r="E1165">
        <v>151.33000000000001</v>
      </c>
      <c r="F1165">
        <v>32.75</v>
      </c>
      <c r="G1165">
        <v>0</v>
      </c>
      <c r="H1165">
        <f t="shared" si="18"/>
        <v>54735.250000000029</v>
      </c>
      <c r="I1165" t="str">
        <f>IF(Sheet1[[#This Row],[Month_Revenue]] &lt; AVERAGE(Sheet1[Month_Revenue]), "Off-Peak", "Peak")</f>
        <v>Off-Peak</v>
      </c>
      <c r="J1165">
        <f xml:space="preserve"> IF(Sheet1[[#This Row],[Ad Spend]] &gt; 0, (Sheet1[[#This Row],[Profit]] / Sheet1[[#This Row],[Ad Spend]]), 0)</f>
        <v>3.6207633587786265</v>
      </c>
      <c r="K1165">
        <f>Sheet1[[#This Row],[Revenue]]-Sheet1[[#This Row],[Ad Spend]]</f>
        <v>118.58000000000001</v>
      </c>
      <c r="L1165" s="2" t="s">
        <v>14</v>
      </c>
      <c r="M1165">
        <v>3</v>
      </c>
      <c r="N1165" s="2" t="s">
        <v>19</v>
      </c>
      <c r="O1165">
        <v>0</v>
      </c>
    </row>
    <row r="1166" spans="1:15" x14ac:dyDescent="0.3">
      <c r="A1166" s="1">
        <v>45327</v>
      </c>
      <c r="B1166" s="2" t="s">
        <v>11</v>
      </c>
      <c r="C1166" s="2" t="s">
        <v>17</v>
      </c>
      <c r="D1166" s="2" t="s">
        <v>18</v>
      </c>
      <c r="E1166">
        <v>43.06</v>
      </c>
      <c r="F1166">
        <v>8.92</v>
      </c>
      <c r="G1166">
        <v>3</v>
      </c>
      <c r="H1166">
        <f t="shared" si="18"/>
        <v>48675.899999999936</v>
      </c>
      <c r="I1166" t="str">
        <f>IF(Sheet1[[#This Row],[Month_Revenue]] &lt; AVERAGE(Sheet1[Month_Revenue]), "Off-Peak", "Peak")</f>
        <v>Off-Peak</v>
      </c>
      <c r="J1166">
        <f xml:space="preserve"> IF(Sheet1[[#This Row],[Ad Spend]] &gt; 0, (Sheet1[[#This Row],[Profit]] / Sheet1[[#This Row],[Ad Spend]]), 0)</f>
        <v>3.8273542600896864</v>
      </c>
      <c r="K1166">
        <f>Sheet1[[#This Row],[Revenue]]-Sheet1[[#This Row],[Ad Spend]]</f>
        <v>34.14</v>
      </c>
      <c r="L1166" s="2" t="s">
        <v>14</v>
      </c>
      <c r="M1166">
        <v>2</v>
      </c>
      <c r="N1166" s="2" t="s">
        <v>15</v>
      </c>
      <c r="O1166">
        <v>14.353333333333333</v>
      </c>
    </row>
    <row r="1167" spans="1:15" x14ac:dyDescent="0.3">
      <c r="A1167" s="1">
        <v>45362</v>
      </c>
      <c r="B1167" s="2" t="s">
        <v>16</v>
      </c>
      <c r="C1167" s="2" t="s">
        <v>21</v>
      </c>
      <c r="D1167" s="2" t="s">
        <v>13</v>
      </c>
      <c r="E1167">
        <v>95.59</v>
      </c>
      <c r="F1167">
        <v>8.31</v>
      </c>
      <c r="G1167">
        <v>2</v>
      </c>
      <c r="H1167">
        <f t="shared" si="18"/>
        <v>54735.250000000029</v>
      </c>
      <c r="I1167" t="str">
        <f>IF(Sheet1[[#This Row],[Month_Revenue]] &lt; AVERAGE(Sheet1[Month_Revenue]), "Off-Peak", "Peak")</f>
        <v>Off-Peak</v>
      </c>
      <c r="J1167">
        <f xml:space="preserve"> IF(Sheet1[[#This Row],[Ad Spend]] &gt; 0, (Sheet1[[#This Row],[Profit]] / Sheet1[[#This Row],[Ad Spend]]), 0)</f>
        <v>10.50300842358604</v>
      </c>
      <c r="K1167">
        <f>Sheet1[[#This Row],[Revenue]]-Sheet1[[#This Row],[Ad Spend]]</f>
        <v>87.28</v>
      </c>
      <c r="L1167" s="2" t="s">
        <v>22</v>
      </c>
      <c r="M1167">
        <v>3</v>
      </c>
      <c r="N1167" s="2" t="s">
        <v>19</v>
      </c>
      <c r="O1167">
        <v>47.795000000000002</v>
      </c>
    </row>
    <row r="1168" spans="1:15" x14ac:dyDescent="0.3">
      <c r="A1168" s="1">
        <v>45318</v>
      </c>
      <c r="B1168" s="2" t="s">
        <v>16</v>
      </c>
      <c r="C1168" s="2" t="s">
        <v>12</v>
      </c>
      <c r="D1168" s="2" t="s">
        <v>18</v>
      </c>
      <c r="E1168">
        <v>70.83</v>
      </c>
      <c r="F1168">
        <v>32.97</v>
      </c>
      <c r="G1168">
        <v>2</v>
      </c>
      <c r="H1168">
        <f t="shared" si="18"/>
        <v>61207.979999999989</v>
      </c>
      <c r="I1168" t="str">
        <f>IF(Sheet1[[#This Row],[Month_Revenue]] &lt; AVERAGE(Sheet1[Month_Revenue]), "Off-Peak", "Peak")</f>
        <v>Peak</v>
      </c>
      <c r="J1168">
        <f xml:space="preserve"> IF(Sheet1[[#This Row],[Ad Spend]] &gt; 0, (Sheet1[[#This Row],[Profit]] / Sheet1[[#This Row],[Ad Spend]]), 0)</f>
        <v>1.148316651501365</v>
      </c>
      <c r="K1168">
        <f>Sheet1[[#This Row],[Revenue]]-Sheet1[[#This Row],[Ad Spend]]</f>
        <v>37.86</v>
      </c>
      <c r="L1168" s="2" t="s">
        <v>22</v>
      </c>
      <c r="M1168">
        <v>1</v>
      </c>
      <c r="N1168" s="2" t="s">
        <v>15</v>
      </c>
      <c r="O1168">
        <v>35.414999999999999</v>
      </c>
    </row>
    <row r="1169" spans="1:15" x14ac:dyDescent="0.3">
      <c r="A1169" s="1">
        <v>45317</v>
      </c>
      <c r="B1169" s="2" t="s">
        <v>11</v>
      </c>
      <c r="C1169" s="2" t="s">
        <v>17</v>
      </c>
      <c r="D1169" s="2" t="s">
        <v>13</v>
      </c>
      <c r="E1169">
        <v>28.54</v>
      </c>
      <c r="F1169">
        <v>13.24</v>
      </c>
      <c r="G1169">
        <v>2</v>
      </c>
      <c r="H1169">
        <f t="shared" si="18"/>
        <v>61207.979999999989</v>
      </c>
      <c r="I1169" t="str">
        <f>IF(Sheet1[[#This Row],[Month_Revenue]] &lt; AVERAGE(Sheet1[Month_Revenue]), "Off-Peak", "Peak")</f>
        <v>Peak</v>
      </c>
      <c r="J1169">
        <f xml:space="preserve"> IF(Sheet1[[#This Row],[Ad Spend]] &gt; 0, (Sheet1[[#This Row],[Profit]] / Sheet1[[#This Row],[Ad Spend]]), 0)</f>
        <v>1.1555891238670695</v>
      </c>
      <c r="K1169">
        <f>Sheet1[[#This Row],[Revenue]]-Sheet1[[#This Row],[Ad Spend]]</f>
        <v>15.299999999999999</v>
      </c>
      <c r="L1169" s="2" t="s">
        <v>22</v>
      </c>
      <c r="M1169">
        <v>1</v>
      </c>
      <c r="N1169" s="2" t="s">
        <v>15</v>
      </c>
      <c r="O1169">
        <v>14.27</v>
      </c>
    </row>
    <row r="1170" spans="1:15" x14ac:dyDescent="0.3">
      <c r="A1170" s="1">
        <v>45370</v>
      </c>
      <c r="B1170" s="2" t="s">
        <v>16</v>
      </c>
      <c r="C1170" s="2" t="s">
        <v>21</v>
      </c>
      <c r="D1170" s="2" t="s">
        <v>18</v>
      </c>
      <c r="E1170">
        <v>37.33</v>
      </c>
      <c r="F1170">
        <v>44.02</v>
      </c>
      <c r="G1170">
        <v>0</v>
      </c>
      <c r="H1170">
        <f t="shared" si="18"/>
        <v>54735.250000000029</v>
      </c>
      <c r="I1170" t="str">
        <f>IF(Sheet1[[#This Row],[Month_Revenue]] &lt; AVERAGE(Sheet1[Month_Revenue]), "Off-Peak", "Peak")</f>
        <v>Off-Peak</v>
      </c>
      <c r="J1170">
        <f xml:space="preserve"> IF(Sheet1[[#This Row],[Ad Spend]] &gt; 0, (Sheet1[[#This Row],[Profit]] / Sheet1[[#This Row],[Ad Spend]]), 0)</f>
        <v>-0.15197637437528405</v>
      </c>
      <c r="K1170">
        <f>Sheet1[[#This Row],[Revenue]]-Sheet1[[#This Row],[Ad Spend]]</f>
        <v>-6.6900000000000048</v>
      </c>
      <c r="L1170" s="2" t="s">
        <v>22</v>
      </c>
      <c r="M1170">
        <v>3</v>
      </c>
      <c r="N1170" s="2" t="s">
        <v>19</v>
      </c>
      <c r="O1170">
        <v>0</v>
      </c>
    </row>
    <row r="1171" spans="1:15" x14ac:dyDescent="0.3">
      <c r="A1171" s="1">
        <v>45345</v>
      </c>
      <c r="B1171" s="2" t="s">
        <v>20</v>
      </c>
      <c r="C1171" s="2" t="s">
        <v>17</v>
      </c>
      <c r="D1171" s="2" t="s">
        <v>13</v>
      </c>
      <c r="E1171">
        <v>180.73</v>
      </c>
      <c r="F1171">
        <v>6</v>
      </c>
      <c r="G1171">
        <v>2</v>
      </c>
      <c r="H1171">
        <f t="shared" si="18"/>
        <v>48675.899999999936</v>
      </c>
      <c r="I1171" t="str">
        <f>IF(Sheet1[[#This Row],[Month_Revenue]] &lt; AVERAGE(Sheet1[Month_Revenue]), "Off-Peak", "Peak")</f>
        <v>Off-Peak</v>
      </c>
      <c r="J1171">
        <f xml:space="preserve"> IF(Sheet1[[#This Row],[Ad Spend]] &gt; 0, (Sheet1[[#This Row],[Profit]] / Sheet1[[#This Row],[Ad Spend]]), 0)</f>
        <v>29.121666666666666</v>
      </c>
      <c r="K1171">
        <f>Sheet1[[#This Row],[Revenue]]-Sheet1[[#This Row],[Ad Spend]]</f>
        <v>174.73</v>
      </c>
      <c r="L1171" s="2" t="s">
        <v>22</v>
      </c>
      <c r="M1171">
        <v>2</v>
      </c>
      <c r="N1171" s="2" t="s">
        <v>15</v>
      </c>
      <c r="O1171">
        <v>90.364999999999995</v>
      </c>
    </row>
    <row r="1172" spans="1:15" x14ac:dyDescent="0.3">
      <c r="A1172" s="1">
        <v>45325</v>
      </c>
      <c r="B1172" s="2" t="s">
        <v>23</v>
      </c>
      <c r="C1172" s="2" t="s">
        <v>21</v>
      </c>
      <c r="D1172" s="2" t="s">
        <v>18</v>
      </c>
      <c r="E1172">
        <v>29.03</v>
      </c>
      <c r="F1172">
        <v>15.73</v>
      </c>
      <c r="G1172">
        <v>3</v>
      </c>
      <c r="H1172">
        <f t="shared" si="18"/>
        <v>48675.899999999936</v>
      </c>
      <c r="I1172" t="str">
        <f>IF(Sheet1[[#This Row],[Month_Revenue]] &lt; AVERAGE(Sheet1[Month_Revenue]), "Off-Peak", "Peak")</f>
        <v>Off-Peak</v>
      </c>
      <c r="J1172">
        <f xml:space="preserve"> IF(Sheet1[[#This Row],[Ad Spend]] &gt; 0, (Sheet1[[#This Row],[Profit]] / Sheet1[[#This Row],[Ad Spend]]), 0)</f>
        <v>0.84551811824539103</v>
      </c>
      <c r="K1172">
        <f>Sheet1[[#This Row],[Revenue]]-Sheet1[[#This Row],[Ad Spend]]</f>
        <v>13.3</v>
      </c>
      <c r="L1172" s="2" t="s">
        <v>22</v>
      </c>
      <c r="M1172">
        <v>2</v>
      </c>
      <c r="N1172" s="2" t="s">
        <v>15</v>
      </c>
      <c r="O1172">
        <v>9.6766666666666676</v>
      </c>
    </row>
    <row r="1173" spans="1:15" x14ac:dyDescent="0.3">
      <c r="A1173" s="1">
        <v>45411</v>
      </c>
      <c r="B1173" s="2" t="s">
        <v>20</v>
      </c>
      <c r="C1173" s="2" t="s">
        <v>17</v>
      </c>
      <c r="D1173" s="2" t="s">
        <v>13</v>
      </c>
      <c r="E1173">
        <v>48.82</v>
      </c>
      <c r="F1173">
        <v>10.24</v>
      </c>
      <c r="G1173">
        <v>0</v>
      </c>
      <c r="H1173">
        <f t="shared" si="18"/>
        <v>58562.910000000018</v>
      </c>
      <c r="I1173" t="str">
        <f>IF(Sheet1[[#This Row],[Month_Revenue]] &lt; AVERAGE(Sheet1[Month_Revenue]), "Off-Peak", "Peak")</f>
        <v>Peak</v>
      </c>
      <c r="J1173">
        <f xml:space="preserve"> IF(Sheet1[[#This Row],[Ad Spend]] &gt; 0, (Sheet1[[#This Row],[Profit]] / Sheet1[[#This Row],[Ad Spend]]), 0)</f>
        <v>3.7675781249999996</v>
      </c>
      <c r="K1173">
        <f>Sheet1[[#This Row],[Revenue]]-Sheet1[[#This Row],[Ad Spend]]</f>
        <v>38.58</v>
      </c>
      <c r="L1173" s="2" t="s">
        <v>22</v>
      </c>
      <c r="M1173">
        <v>4</v>
      </c>
      <c r="N1173" s="2" t="s">
        <v>19</v>
      </c>
      <c r="O1173">
        <v>0</v>
      </c>
    </row>
    <row r="1174" spans="1:15" x14ac:dyDescent="0.3">
      <c r="A1174" s="1">
        <v>45353</v>
      </c>
      <c r="B1174" s="2" t="s">
        <v>23</v>
      </c>
      <c r="C1174" s="2" t="s">
        <v>17</v>
      </c>
      <c r="D1174" s="2" t="s">
        <v>13</v>
      </c>
      <c r="E1174">
        <v>115.37</v>
      </c>
      <c r="F1174">
        <v>39.340000000000003</v>
      </c>
      <c r="G1174">
        <v>1</v>
      </c>
      <c r="H1174">
        <f t="shared" si="18"/>
        <v>54735.250000000029</v>
      </c>
      <c r="I1174" t="str">
        <f>IF(Sheet1[[#This Row],[Month_Revenue]] &lt; AVERAGE(Sheet1[Month_Revenue]), "Off-Peak", "Peak")</f>
        <v>Off-Peak</v>
      </c>
      <c r="J1174">
        <f xml:space="preserve"> IF(Sheet1[[#This Row],[Ad Spend]] &gt; 0, (Sheet1[[#This Row],[Profit]] / Sheet1[[#This Row],[Ad Spend]]), 0)</f>
        <v>1.9326385358413827</v>
      </c>
      <c r="K1174">
        <f>Sheet1[[#This Row],[Revenue]]-Sheet1[[#This Row],[Ad Spend]]</f>
        <v>76.03</v>
      </c>
      <c r="L1174" s="2" t="s">
        <v>14</v>
      </c>
      <c r="M1174">
        <v>3</v>
      </c>
      <c r="N1174" s="2" t="s">
        <v>19</v>
      </c>
      <c r="O1174">
        <v>115.37</v>
      </c>
    </row>
    <row r="1175" spans="1:15" x14ac:dyDescent="0.3">
      <c r="A1175" s="1">
        <v>45382</v>
      </c>
      <c r="B1175" s="2" t="s">
        <v>24</v>
      </c>
      <c r="C1175" s="2" t="s">
        <v>12</v>
      </c>
      <c r="D1175" s="2" t="s">
        <v>13</v>
      </c>
      <c r="E1175">
        <v>82.63</v>
      </c>
      <c r="F1175">
        <v>30.44</v>
      </c>
      <c r="G1175">
        <v>1</v>
      </c>
      <c r="H1175">
        <f t="shared" si="18"/>
        <v>54735.250000000029</v>
      </c>
      <c r="I1175" t="str">
        <f>IF(Sheet1[[#This Row],[Month_Revenue]] &lt; AVERAGE(Sheet1[Month_Revenue]), "Off-Peak", "Peak")</f>
        <v>Off-Peak</v>
      </c>
      <c r="J1175">
        <f xml:space="preserve"> IF(Sheet1[[#This Row],[Ad Spend]] &gt; 0, (Sheet1[[#This Row],[Profit]] / Sheet1[[#This Row],[Ad Spend]]), 0)</f>
        <v>1.714520367936925</v>
      </c>
      <c r="K1175">
        <f>Sheet1[[#This Row],[Revenue]]-Sheet1[[#This Row],[Ad Spend]]</f>
        <v>52.19</v>
      </c>
      <c r="L1175" s="2" t="s">
        <v>14</v>
      </c>
      <c r="M1175">
        <v>3</v>
      </c>
      <c r="N1175" s="2" t="s">
        <v>19</v>
      </c>
      <c r="O1175">
        <v>82.63</v>
      </c>
    </row>
    <row r="1176" spans="1:15" x14ac:dyDescent="0.3">
      <c r="A1176" s="1">
        <v>45333</v>
      </c>
      <c r="B1176" s="2" t="s">
        <v>11</v>
      </c>
      <c r="C1176" s="2" t="s">
        <v>21</v>
      </c>
      <c r="D1176" s="2" t="s">
        <v>18</v>
      </c>
      <c r="E1176">
        <v>33.6</v>
      </c>
      <c r="F1176">
        <v>30.81</v>
      </c>
      <c r="G1176">
        <v>2</v>
      </c>
      <c r="H1176">
        <f t="shared" si="18"/>
        <v>48675.899999999936</v>
      </c>
      <c r="I1176" t="str">
        <f>IF(Sheet1[[#This Row],[Month_Revenue]] &lt; AVERAGE(Sheet1[Month_Revenue]), "Off-Peak", "Peak")</f>
        <v>Off-Peak</v>
      </c>
      <c r="J1176">
        <f xml:space="preserve"> IF(Sheet1[[#This Row],[Ad Spend]] &gt; 0, (Sheet1[[#This Row],[Profit]] / Sheet1[[#This Row],[Ad Spend]]), 0)</f>
        <v>9.0555014605647605E-2</v>
      </c>
      <c r="K1176">
        <f>Sheet1[[#This Row],[Revenue]]-Sheet1[[#This Row],[Ad Spend]]</f>
        <v>2.7900000000000027</v>
      </c>
      <c r="L1176" s="2" t="s">
        <v>14</v>
      </c>
      <c r="M1176">
        <v>2</v>
      </c>
      <c r="N1176" s="2" t="s">
        <v>15</v>
      </c>
      <c r="O1176">
        <v>16.8</v>
      </c>
    </row>
    <row r="1177" spans="1:15" x14ac:dyDescent="0.3">
      <c r="A1177" s="1">
        <v>45324</v>
      </c>
      <c r="B1177" s="2" t="s">
        <v>11</v>
      </c>
      <c r="C1177" s="2" t="s">
        <v>12</v>
      </c>
      <c r="D1177" s="2" t="s">
        <v>18</v>
      </c>
      <c r="E1177">
        <v>28.28</v>
      </c>
      <c r="F1177">
        <v>48.26</v>
      </c>
      <c r="G1177">
        <v>2</v>
      </c>
      <c r="H1177">
        <f t="shared" si="18"/>
        <v>48675.899999999936</v>
      </c>
      <c r="I1177" t="str">
        <f>IF(Sheet1[[#This Row],[Month_Revenue]] &lt; AVERAGE(Sheet1[Month_Revenue]), "Off-Peak", "Peak")</f>
        <v>Off-Peak</v>
      </c>
      <c r="J1177">
        <f xml:space="preserve"> IF(Sheet1[[#This Row],[Ad Spend]] &gt; 0, (Sheet1[[#This Row],[Profit]] / Sheet1[[#This Row],[Ad Spend]]), 0)</f>
        <v>-0.41400745959386653</v>
      </c>
      <c r="K1177">
        <f>Sheet1[[#This Row],[Revenue]]-Sheet1[[#This Row],[Ad Spend]]</f>
        <v>-19.979999999999997</v>
      </c>
      <c r="L1177" s="2" t="s">
        <v>14</v>
      </c>
      <c r="M1177">
        <v>2</v>
      </c>
      <c r="N1177" s="2" t="s">
        <v>15</v>
      </c>
      <c r="O1177">
        <v>14.14</v>
      </c>
    </row>
    <row r="1178" spans="1:15" x14ac:dyDescent="0.3">
      <c r="A1178" s="1">
        <v>45328</v>
      </c>
      <c r="B1178" s="2" t="s">
        <v>16</v>
      </c>
      <c r="C1178" s="2" t="s">
        <v>21</v>
      </c>
      <c r="D1178" s="2" t="s">
        <v>18</v>
      </c>
      <c r="E1178">
        <v>146.52000000000001</v>
      </c>
      <c r="F1178">
        <v>28.58</v>
      </c>
      <c r="G1178">
        <v>0</v>
      </c>
      <c r="H1178">
        <f t="shared" si="18"/>
        <v>48675.899999999936</v>
      </c>
      <c r="I1178" t="str">
        <f>IF(Sheet1[[#This Row],[Month_Revenue]] &lt; AVERAGE(Sheet1[Month_Revenue]), "Off-Peak", "Peak")</f>
        <v>Off-Peak</v>
      </c>
      <c r="J1178">
        <f xml:space="preserve"> IF(Sheet1[[#This Row],[Ad Spend]] &gt; 0, (Sheet1[[#This Row],[Profit]] / Sheet1[[#This Row],[Ad Spend]]), 0)</f>
        <v>4.1266620013995805</v>
      </c>
      <c r="K1178">
        <f>Sheet1[[#This Row],[Revenue]]-Sheet1[[#This Row],[Ad Spend]]</f>
        <v>117.94000000000001</v>
      </c>
      <c r="L1178" s="2" t="s">
        <v>22</v>
      </c>
      <c r="M1178">
        <v>2</v>
      </c>
      <c r="N1178" s="2" t="s">
        <v>15</v>
      </c>
      <c r="O1178">
        <v>0</v>
      </c>
    </row>
    <row r="1179" spans="1:15" x14ac:dyDescent="0.3">
      <c r="A1179" s="1">
        <v>45396</v>
      </c>
      <c r="B1179" s="2" t="s">
        <v>23</v>
      </c>
      <c r="C1179" s="2" t="s">
        <v>12</v>
      </c>
      <c r="D1179" s="2" t="s">
        <v>18</v>
      </c>
      <c r="E1179">
        <v>41.12</v>
      </c>
      <c r="F1179">
        <v>27.52</v>
      </c>
      <c r="G1179">
        <v>0</v>
      </c>
      <c r="H1179">
        <f t="shared" si="18"/>
        <v>58562.910000000018</v>
      </c>
      <c r="I1179" t="str">
        <f>IF(Sheet1[[#This Row],[Month_Revenue]] &lt; AVERAGE(Sheet1[Month_Revenue]), "Off-Peak", "Peak")</f>
        <v>Peak</v>
      </c>
      <c r="J1179">
        <f xml:space="preserve"> IF(Sheet1[[#This Row],[Ad Spend]] &gt; 0, (Sheet1[[#This Row],[Profit]] / Sheet1[[#This Row],[Ad Spend]]), 0)</f>
        <v>0.49418604651162784</v>
      </c>
      <c r="K1179">
        <f>Sheet1[[#This Row],[Revenue]]-Sheet1[[#This Row],[Ad Spend]]</f>
        <v>13.599999999999998</v>
      </c>
      <c r="L1179" s="2" t="s">
        <v>22</v>
      </c>
      <c r="M1179">
        <v>4</v>
      </c>
      <c r="N1179" s="2" t="s">
        <v>19</v>
      </c>
      <c r="O1179">
        <v>0</v>
      </c>
    </row>
    <row r="1180" spans="1:15" x14ac:dyDescent="0.3">
      <c r="A1180" s="1">
        <v>45332</v>
      </c>
      <c r="B1180" s="2" t="s">
        <v>20</v>
      </c>
      <c r="C1180" s="2" t="s">
        <v>12</v>
      </c>
      <c r="D1180" s="2" t="s">
        <v>13</v>
      </c>
      <c r="E1180">
        <v>190.33</v>
      </c>
      <c r="F1180">
        <v>46.52</v>
      </c>
      <c r="G1180">
        <v>2</v>
      </c>
      <c r="H1180">
        <f t="shared" si="18"/>
        <v>48675.899999999936</v>
      </c>
      <c r="I1180" t="str">
        <f>IF(Sheet1[[#This Row],[Month_Revenue]] &lt; AVERAGE(Sheet1[Month_Revenue]), "Off-Peak", "Peak")</f>
        <v>Off-Peak</v>
      </c>
      <c r="J1180">
        <f xml:space="preserve"> IF(Sheet1[[#This Row],[Ad Spend]] &gt; 0, (Sheet1[[#This Row],[Profit]] / Sheet1[[#This Row],[Ad Spend]]), 0)</f>
        <v>3.0913585554600171</v>
      </c>
      <c r="K1180">
        <f>Sheet1[[#This Row],[Revenue]]-Sheet1[[#This Row],[Ad Spend]]</f>
        <v>143.81</v>
      </c>
      <c r="L1180" s="2" t="s">
        <v>22</v>
      </c>
      <c r="M1180">
        <v>2</v>
      </c>
      <c r="N1180" s="2" t="s">
        <v>15</v>
      </c>
      <c r="O1180">
        <v>95.165000000000006</v>
      </c>
    </row>
    <row r="1181" spans="1:15" x14ac:dyDescent="0.3">
      <c r="A1181" s="1">
        <v>45328</v>
      </c>
      <c r="B1181" s="2" t="s">
        <v>24</v>
      </c>
      <c r="C1181" s="2" t="s">
        <v>17</v>
      </c>
      <c r="D1181" s="2" t="s">
        <v>18</v>
      </c>
      <c r="E1181">
        <v>62.46</v>
      </c>
      <c r="F1181">
        <v>20.87</v>
      </c>
      <c r="G1181">
        <v>0</v>
      </c>
      <c r="H1181">
        <f t="shared" si="18"/>
        <v>48675.899999999936</v>
      </c>
      <c r="I1181" t="str">
        <f>IF(Sheet1[[#This Row],[Month_Revenue]] &lt; AVERAGE(Sheet1[Month_Revenue]), "Off-Peak", "Peak")</f>
        <v>Off-Peak</v>
      </c>
      <c r="J1181">
        <f xml:space="preserve"> IF(Sheet1[[#This Row],[Ad Spend]] &gt; 0, (Sheet1[[#This Row],[Profit]] / Sheet1[[#This Row],[Ad Spend]]), 0)</f>
        <v>1.992812649736464</v>
      </c>
      <c r="K1181">
        <f>Sheet1[[#This Row],[Revenue]]-Sheet1[[#This Row],[Ad Spend]]</f>
        <v>41.59</v>
      </c>
      <c r="L1181" s="2" t="s">
        <v>14</v>
      </c>
      <c r="M1181">
        <v>2</v>
      </c>
      <c r="N1181" s="2" t="s">
        <v>15</v>
      </c>
      <c r="O1181">
        <v>0</v>
      </c>
    </row>
    <row r="1182" spans="1:15" x14ac:dyDescent="0.3">
      <c r="A1182" s="1">
        <v>45390</v>
      </c>
      <c r="B1182" s="2" t="s">
        <v>24</v>
      </c>
      <c r="C1182" s="2" t="s">
        <v>12</v>
      </c>
      <c r="D1182" s="2" t="s">
        <v>18</v>
      </c>
      <c r="E1182">
        <v>99.48</v>
      </c>
      <c r="F1182">
        <v>37.450000000000003</v>
      </c>
      <c r="G1182">
        <v>1</v>
      </c>
      <c r="H1182">
        <f t="shared" si="18"/>
        <v>58562.910000000018</v>
      </c>
      <c r="I1182" t="str">
        <f>IF(Sheet1[[#This Row],[Month_Revenue]] &lt; AVERAGE(Sheet1[Month_Revenue]), "Off-Peak", "Peak")</f>
        <v>Peak</v>
      </c>
      <c r="J1182">
        <f xml:space="preserve"> IF(Sheet1[[#This Row],[Ad Spend]] &gt; 0, (Sheet1[[#This Row],[Profit]] / Sheet1[[#This Row],[Ad Spend]]), 0)</f>
        <v>1.6563417890520693</v>
      </c>
      <c r="K1182">
        <f>Sheet1[[#This Row],[Revenue]]-Sheet1[[#This Row],[Ad Spend]]</f>
        <v>62.03</v>
      </c>
      <c r="L1182" s="2" t="s">
        <v>22</v>
      </c>
      <c r="M1182">
        <v>4</v>
      </c>
      <c r="N1182" s="2" t="s">
        <v>19</v>
      </c>
      <c r="O1182">
        <v>99.48</v>
      </c>
    </row>
    <row r="1183" spans="1:15" x14ac:dyDescent="0.3">
      <c r="A1183" s="1">
        <v>45365</v>
      </c>
      <c r="B1183" s="2" t="s">
        <v>23</v>
      </c>
      <c r="C1183" s="2" t="s">
        <v>17</v>
      </c>
      <c r="D1183" s="2" t="s">
        <v>13</v>
      </c>
      <c r="E1183">
        <v>119.99</v>
      </c>
      <c r="F1183">
        <v>7.96</v>
      </c>
      <c r="G1183">
        <v>0</v>
      </c>
      <c r="H1183">
        <f t="shared" si="18"/>
        <v>54735.250000000029</v>
      </c>
      <c r="I1183" t="str">
        <f>IF(Sheet1[[#This Row],[Month_Revenue]] &lt; AVERAGE(Sheet1[Month_Revenue]), "Off-Peak", "Peak")</f>
        <v>Off-Peak</v>
      </c>
      <c r="J1183">
        <f xml:space="preserve"> IF(Sheet1[[#This Row],[Ad Spend]] &gt; 0, (Sheet1[[#This Row],[Profit]] / Sheet1[[#This Row],[Ad Spend]]), 0)</f>
        <v>14.074120603015075</v>
      </c>
      <c r="K1183">
        <f>Sheet1[[#This Row],[Revenue]]-Sheet1[[#This Row],[Ad Spend]]</f>
        <v>112.03</v>
      </c>
      <c r="L1183" s="2" t="s">
        <v>22</v>
      </c>
      <c r="M1183">
        <v>3</v>
      </c>
      <c r="N1183" s="2" t="s">
        <v>19</v>
      </c>
      <c r="O1183">
        <v>0</v>
      </c>
    </row>
    <row r="1184" spans="1:15" x14ac:dyDescent="0.3">
      <c r="A1184" s="1">
        <v>45332</v>
      </c>
      <c r="B1184" s="2" t="s">
        <v>24</v>
      </c>
      <c r="C1184" s="2" t="s">
        <v>21</v>
      </c>
      <c r="D1184" s="2" t="s">
        <v>13</v>
      </c>
      <c r="E1184">
        <v>165.68</v>
      </c>
      <c r="F1184">
        <v>8.56</v>
      </c>
      <c r="G1184">
        <v>2</v>
      </c>
      <c r="H1184">
        <f t="shared" si="18"/>
        <v>48675.899999999936</v>
      </c>
      <c r="I1184" t="str">
        <f>IF(Sheet1[[#This Row],[Month_Revenue]] &lt; AVERAGE(Sheet1[Month_Revenue]), "Off-Peak", "Peak")</f>
        <v>Off-Peak</v>
      </c>
      <c r="J1184">
        <f xml:space="preserve"> IF(Sheet1[[#This Row],[Ad Spend]] &gt; 0, (Sheet1[[#This Row],[Profit]] / Sheet1[[#This Row],[Ad Spend]]), 0)</f>
        <v>18.355140186915886</v>
      </c>
      <c r="K1184">
        <f>Sheet1[[#This Row],[Revenue]]-Sheet1[[#This Row],[Ad Spend]]</f>
        <v>157.12</v>
      </c>
      <c r="L1184" s="2" t="s">
        <v>22</v>
      </c>
      <c r="M1184">
        <v>2</v>
      </c>
      <c r="N1184" s="2" t="s">
        <v>15</v>
      </c>
      <c r="O1184">
        <v>82.84</v>
      </c>
    </row>
    <row r="1185" spans="1:15" x14ac:dyDescent="0.3">
      <c r="A1185" s="1">
        <v>45402</v>
      </c>
      <c r="B1185" s="2" t="s">
        <v>11</v>
      </c>
      <c r="C1185" s="2" t="s">
        <v>12</v>
      </c>
      <c r="D1185" s="2" t="s">
        <v>13</v>
      </c>
      <c r="E1185">
        <v>151.77000000000001</v>
      </c>
      <c r="F1185">
        <v>18.2</v>
      </c>
      <c r="G1185">
        <v>2</v>
      </c>
      <c r="H1185">
        <f t="shared" si="18"/>
        <v>58562.910000000018</v>
      </c>
      <c r="I1185" t="str">
        <f>IF(Sheet1[[#This Row],[Month_Revenue]] &lt; AVERAGE(Sheet1[Month_Revenue]), "Off-Peak", "Peak")</f>
        <v>Peak</v>
      </c>
      <c r="J1185">
        <f xml:space="preserve"> IF(Sheet1[[#This Row],[Ad Spend]] &gt; 0, (Sheet1[[#This Row],[Profit]] / Sheet1[[#This Row],[Ad Spend]]), 0)</f>
        <v>7.3390109890109905</v>
      </c>
      <c r="K1185">
        <f>Sheet1[[#This Row],[Revenue]]-Sheet1[[#This Row],[Ad Spend]]</f>
        <v>133.57000000000002</v>
      </c>
      <c r="L1185" s="2" t="s">
        <v>22</v>
      </c>
      <c r="M1185">
        <v>4</v>
      </c>
      <c r="N1185" s="2" t="s">
        <v>19</v>
      </c>
      <c r="O1185">
        <v>75.885000000000005</v>
      </c>
    </row>
    <row r="1186" spans="1:15" x14ac:dyDescent="0.3">
      <c r="A1186" s="1">
        <v>45343</v>
      </c>
      <c r="B1186" s="2" t="s">
        <v>23</v>
      </c>
      <c r="C1186" s="2" t="s">
        <v>21</v>
      </c>
      <c r="D1186" s="2" t="s">
        <v>13</v>
      </c>
      <c r="E1186">
        <v>133.01</v>
      </c>
      <c r="F1186">
        <v>23.02</v>
      </c>
      <c r="G1186">
        <v>3</v>
      </c>
      <c r="H1186">
        <f t="shared" si="18"/>
        <v>48675.899999999936</v>
      </c>
      <c r="I1186" t="str">
        <f>IF(Sheet1[[#This Row],[Month_Revenue]] &lt; AVERAGE(Sheet1[Month_Revenue]), "Off-Peak", "Peak")</f>
        <v>Off-Peak</v>
      </c>
      <c r="J1186">
        <f xml:space="preserve"> IF(Sheet1[[#This Row],[Ad Spend]] &gt; 0, (Sheet1[[#This Row],[Profit]] / Sheet1[[#This Row],[Ad Spend]]), 0)</f>
        <v>4.7780191138140742</v>
      </c>
      <c r="K1186">
        <f>Sheet1[[#This Row],[Revenue]]-Sheet1[[#This Row],[Ad Spend]]</f>
        <v>109.99</v>
      </c>
      <c r="L1186" s="2" t="s">
        <v>14</v>
      </c>
      <c r="M1186">
        <v>2</v>
      </c>
      <c r="N1186" s="2" t="s">
        <v>15</v>
      </c>
      <c r="O1186">
        <v>44.336666666666666</v>
      </c>
    </row>
    <row r="1187" spans="1:15" x14ac:dyDescent="0.3">
      <c r="A1187" s="1">
        <v>45362</v>
      </c>
      <c r="B1187" s="2" t="s">
        <v>16</v>
      </c>
      <c r="C1187" s="2" t="s">
        <v>17</v>
      </c>
      <c r="D1187" s="2" t="s">
        <v>18</v>
      </c>
      <c r="E1187">
        <v>131.59</v>
      </c>
      <c r="F1187">
        <v>42.19</v>
      </c>
      <c r="G1187">
        <v>2</v>
      </c>
      <c r="H1187">
        <f t="shared" si="18"/>
        <v>54735.250000000029</v>
      </c>
      <c r="I1187" t="str">
        <f>IF(Sheet1[[#This Row],[Month_Revenue]] &lt; AVERAGE(Sheet1[Month_Revenue]), "Off-Peak", "Peak")</f>
        <v>Off-Peak</v>
      </c>
      <c r="J1187">
        <f xml:space="preserve"> IF(Sheet1[[#This Row],[Ad Spend]] &gt; 0, (Sheet1[[#This Row],[Profit]] / Sheet1[[#This Row],[Ad Spend]]), 0)</f>
        <v>2.1189855415975352</v>
      </c>
      <c r="K1187">
        <f>Sheet1[[#This Row],[Revenue]]-Sheet1[[#This Row],[Ad Spend]]</f>
        <v>89.4</v>
      </c>
      <c r="L1187" s="2" t="s">
        <v>14</v>
      </c>
      <c r="M1187">
        <v>3</v>
      </c>
      <c r="N1187" s="2" t="s">
        <v>19</v>
      </c>
      <c r="O1187">
        <v>65.795000000000002</v>
      </c>
    </row>
    <row r="1188" spans="1:15" x14ac:dyDescent="0.3">
      <c r="A1188" s="1">
        <v>45380</v>
      </c>
      <c r="B1188" s="2" t="s">
        <v>20</v>
      </c>
      <c r="C1188" s="2" t="s">
        <v>21</v>
      </c>
      <c r="D1188" s="2" t="s">
        <v>18</v>
      </c>
      <c r="E1188">
        <v>148.13999999999999</v>
      </c>
      <c r="F1188">
        <v>16.64</v>
      </c>
      <c r="G1188">
        <v>1</v>
      </c>
      <c r="H1188">
        <f t="shared" si="18"/>
        <v>54735.250000000029</v>
      </c>
      <c r="I1188" t="str">
        <f>IF(Sheet1[[#This Row],[Month_Revenue]] &lt; AVERAGE(Sheet1[Month_Revenue]), "Off-Peak", "Peak")</f>
        <v>Off-Peak</v>
      </c>
      <c r="J1188">
        <f xml:space="preserve"> IF(Sheet1[[#This Row],[Ad Spend]] &gt; 0, (Sheet1[[#This Row],[Profit]] / Sheet1[[#This Row],[Ad Spend]]), 0)</f>
        <v>7.9026442307692308</v>
      </c>
      <c r="K1188">
        <f>Sheet1[[#This Row],[Revenue]]-Sheet1[[#This Row],[Ad Spend]]</f>
        <v>131.5</v>
      </c>
      <c r="L1188" s="2" t="s">
        <v>14</v>
      </c>
      <c r="M1188">
        <v>3</v>
      </c>
      <c r="N1188" s="2" t="s">
        <v>19</v>
      </c>
      <c r="O1188">
        <v>148.13999999999999</v>
      </c>
    </row>
    <row r="1189" spans="1:15" x14ac:dyDescent="0.3">
      <c r="A1189" s="1">
        <v>45364</v>
      </c>
      <c r="B1189" s="2" t="s">
        <v>16</v>
      </c>
      <c r="C1189" s="2" t="s">
        <v>17</v>
      </c>
      <c r="D1189" s="2" t="s">
        <v>13</v>
      </c>
      <c r="E1189">
        <v>166.63</v>
      </c>
      <c r="F1189">
        <v>25.94</v>
      </c>
      <c r="G1189">
        <v>0</v>
      </c>
      <c r="H1189">
        <f t="shared" si="18"/>
        <v>54735.250000000029</v>
      </c>
      <c r="I1189" t="str">
        <f>IF(Sheet1[[#This Row],[Month_Revenue]] &lt; AVERAGE(Sheet1[Month_Revenue]), "Off-Peak", "Peak")</f>
        <v>Off-Peak</v>
      </c>
      <c r="J1189">
        <f xml:space="preserve"> IF(Sheet1[[#This Row],[Ad Spend]] &gt; 0, (Sheet1[[#This Row],[Profit]] / Sheet1[[#This Row],[Ad Spend]]), 0)</f>
        <v>5.4236700077100997</v>
      </c>
      <c r="K1189">
        <f>Sheet1[[#This Row],[Revenue]]-Sheet1[[#This Row],[Ad Spend]]</f>
        <v>140.69</v>
      </c>
      <c r="L1189" s="2" t="s">
        <v>22</v>
      </c>
      <c r="M1189">
        <v>3</v>
      </c>
      <c r="N1189" s="2" t="s">
        <v>19</v>
      </c>
      <c r="O1189">
        <v>0</v>
      </c>
    </row>
    <row r="1190" spans="1:15" x14ac:dyDescent="0.3">
      <c r="A1190" s="1">
        <v>45337</v>
      </c>
      <c r="B1190" s="2" t="s">
        <v>11</v>
      </c>
      <c r="C1190" s="2" t="s">
        <v>21</v>
      </c>
      <c r="D1190" s="2" t="s">
        <v>13</v>
      </c>
      <c r="E1190">
        <v>65.8</v>
      </c>
      <c r="F1190">
        <v>22.86</v>
      </c>
      <c r="G1190">
        <v>3</v>
      </c>
      <c r="H1190">
        <f t="shared" si="18"/>
        <v>48675.899999999936</v>
      </c>
      <c r="I1190" t="str">
        <f>IF(Sheet1[[#This Row],[Month_Revenue]] &lt; AVERAGE(Sheet1[Month_Revenue]), "Off-Peak", "Peak")</f>
        <v>Off-Peak</v>
      </c>
      <c r="J1190">
        <f xml:space="preserve"> IF(Sheet1[[#This Row],[Ad Spend]] &gt; 0, (Sheet1[[#This Row],[Profit]] / Sheet1[[#This Row],[Ad Spend]]), 0)</f>
        <v>1.8783902012248468</v>
      </c>
      <c r="K1190">
        <f>Sheet1[[#This Row],[Revenue]]-Sheet1[[#This Row],[Ad Spend]]</f>
        <v>42.94</v>
      </c>
      <c r="L1190" s="2" t="s">
        <v>14</v>
      </c>
      <c r="M1190">
        <v>2</v>
      </c>
      <c r="N1190" s="2" t="s">
        <v>15</v>
      </c>
      <c r="O1190">
        <v>21.933333333333334</v>
      </c>
    </row>
    <row r="1191" spans="1:15" x14ac:dyDescent="0.3">
      <c r="A1191" s="1">
        <v>45401</v>
      </c>
      <c r="B1191" s="2" t="s">
        <v>23</v>
      </c>
      <c r="C1191" s="2" t="s">
        <v>21</v>
      </c>
      <c r="D1191" s="2" t="s">
        <v>13</v>
      </c>
      <c r="E1191">
        <v>26.97</v>
      </c>
      <c r="F1191">
        <v>39.5</v>
      </c>
      <c r="G1191">
        <v>0</v>
      </c>
      <c r="H1191">
        <f t="shared" si="18"/>
        <v>58562.910000000018</v>
      </c>
      <c r="I1191" t="str">
        <f>IF(Sheet1[[#This Row],[Month_Revenue]] &lt; AVERAGE(Sheet1[Month_Revenue]), "Off-Peak", "Peak")</f>
        <v>Peak</v>
      </c>
      <c r="J1191">
        <f xml:space="preserve"> IF(Sheet1[[#This Row],[Ad Spend]] &gt; 0, (Sheet1[[#This Row],[Profit]] / Sheet1[[#This Row],[Ad Spend]]), 0)</f>
        <v>-0.31721518987341774</v>
      </c>
      <c r="K1191">
        <f>Sheet1[[#This Row],[Revenue]]-Sheet1[[#This Row],[Ad Spend]]</f>
        <v>-12.530000000000001</v>
      </c>
      <c r="L1191" s="2" t="s">
        <v>14</v>
      </c>
      <c r="M1191">
        <v>4</v>
      </c>
      <c r="N1191" s="2" t="s">
        <v>19</v>
      </c>
      <c r="O1191">
        <v>0</v>
      </c>
    </row>
    <row r="1192" spans="1:15" x14ac:dyDescent="0.3">
      <c r="A1192" s="1">
        <v>45327</v>
      </c>
      <c r="B1192" s="2" t="s">
        <v>11</v>
      </c>
      <c r="C1192" s="2" t="s">
        <v>12</v>
      </c>
      <c r="D1192" s="2" t="s">
        <v>18</v>
      </c>
      <c r="E1192">
        <v>87.69</v>
      </c>
      <c r="F1192">
        <v>39.590000000000003</v>
      </c>
      <c r="G1192">
        <v>3</v>
      </c>
      <c r="H1192">
        <f t="shared" si="18"/>
        <v>48675.899999999936</v>
      </c>
      <c r="I1192" t="str">
        <f>IF(Sheet1[[#This Row],[Month_Revenue]] &lt; AVERAGE(Sheet1[Month_Revenue]), "Off-Peak", "Peak")</f>
        <v>Off-Peak</v>
      </c>
      <c r="J1192">
        <f xml:space="preserve"> IF(Sheet1[[#This Row],[Ad Spend]] &gt; 0, (Sheet1[[#This Row],[Profit]] / Sheet1[[#This Row],[Ad Spend]]), 0)</f>
        <v>1.2149532710280371</v>
      </c>
      <c r="K1192">
        <f>Sheet1[[#This Row],[Revenue]]-Sheet1[[#This Row],[Ad Spend]]</f>
        <v>48.099999999999994</v>
      </c>
      <c r="L1192" s="2" t="s">
        <v>14</v>
      </c>
      <c r="M1192">
        <v>2</v>
      </c>
      <c r="N1192" s="2" t="s">
        <v>15</v>
      </c>
      <c r="O1192">
        <v>29.23</v>
      </c>
    </row>
    <row r="1193" spans="1:15" x14ac:dyDescent="0.3">
      <c r="A1193" s="1">
        <v>45301</v>
      </c>
      <c r="B1193" s="2" t="s">
        <v>23</v>
      </c>
      <c r="C1193" s="2" t="s">
        <v>17</v>
      </c>
      <c r="D1193" s="2" t="s">
        <v>18</v>
      </c>
      <c r="E1193">
        <v>132.76</v>
      </c>
      <c r="F1193">
        <v>3.66</v>
      </c>
      <c r="G1193">
        <v>0</v>
      </c>
      <c r="H1193">
        <f t="shared" si="18"/>
        <v>61207.979999999989</v>
      </c>
      <c r="I1193" t="str">
        <f>IF(Sheet1[[#This Row],[Month_Revenue]] &lt; AVERAGE(Sheet1[Month_Revenue]), "Off-Peak", "Peak")</f>
        <v>Peak</v>
      </c>
      <c r="J1193">
        <f xml:space="preserve"> IF(Sheet1[[#This Row],[Ad Spend]] &gt; 0, (Sheet1[[#This Row],[Profit]] / Sheet1[[#This Row],[Ad Spend]]), 0)</f>
        <v>35.273224043715842</v>
      </c>
      <c r="K1193">
        <f>Sheet1[[#This Row],[Revenue]]-Sheet1[[#This Row],[Ad Spend]]</f>
        <v>129.1</v>
      </c>
      <c r="L1193" s="2" t="s">
        <v>22</v>
      </c>
      <c r="M1193">
        <v>1</v>
      </c>
      <c r="N1193" s="2" t="s">
        <v>15</v>
      </c>
      <c r="O1193">
        <v>0</v>
      </c>
    </row>
    <row r="1194" spans="1:15" x14ac:dyDescent="0.3">
      <c r="A1194" s="1">
        <v>45354</v>
      </c>
      <c r="B1194" s="2" t="s">
        <v>24</v>
      </c>
      <c r="C1194" s="2" t="s">
        <v>12</v>
      </c>
      <c r="D1194" s="2" t="s">
        <v>18</v>
      </c>
      <c r="E1194">
        <v>26.91</v>
      </c>
      <c r="F1194">
        <v>37.840000000000003</v>
      </c>
      <c r="G1194">
        <v>1</v>
      </c>
      <c r="H1194">
        <f t="shared" si="18"/>
        <v>54735.250000000029</v>
      </c>
      <c r="I1194" t="str">
        <f>IF(Sheet1[[#This Row],[Month_Revenue]] &lt; AVERAGE(Sheet1[Month_Revenue]), "Off-Peak", "Peak")</f>
        <v>Off-Peak</v>
      </c>
      <c r="J1194">
        <f xml:space="preserve"> IF(Sheet1[[#This Row],[Ad Spend]] &gt; 0, (Sheet1[[#This Row],[Profit]] / Sheet1[[#This Row],[Ad Spend]]), 0)</f>
        <v>-0.28884778012684997</v>
      </c>
      <c r="K1194">
        <f>Sheet1[[#This Row],[Revenue]]-Sheet1[[#This Row],[Ad Spend]]</f>
        <v>-10.930000000000003</v>
      </c>
      <c r="L1194" s="2" t="s">
        <v>14</v>
      </c>
      <c r="M1194">
        <v>3</v>
      </c>
      <c r="N1194" s="2" t="s">
        <v>19</v>
      </c>
      <c r="O1194">
        <v>26.91</v>
      </c>
    </row>
    <row r="1195" spans="1:15" x14ac:dyDescent="0.3">
      <c r="A1195" s="1">
        <v>45395</v>
      </c>
      <c r="B1195" s="2" t="s">
        <v>20</v>
      </c>
      <c r="C1195" s="2" t="s">
        <v>21</v>
      </c>
      <c r="D1195" s="2" t="s">
        <v>13</v>
      </c>
      <c r="E1195">
        <v>145.56</v>
      </c>
      <c r="F1195">
        <v>15.16</v>
      </c>
      <c r="G1195">
        <v>3</v>
      </c>
      <c r="H1195">
        <f t="shared" si="18"/>
        <v>58562.910000000018</v>
      </c>
      <c r="I1195" t="str">
        <f>IF(Sheet1[[#This Row],[Month_Revenue]] &lt; AVERAGE(Sheet1[Month_Revenue]), "Off-Peak", "Peak")</f>
        <v>Peak</v>
      </c>
      <c r="J1195">
        <f xml:space="preserve"> IF(Sheet1[[#This Row],[Ad Spend]] &gt; 0, (Sheet1[[#This Row],[Profit]] / Sheet1[[#This Row],[Ad Spend]]), 0)</f>
        <v>8.6015831134564653</v>
      </c>
      <c r="K1195">
        <f>Sheet1[[#This Row],[Revenue]]-Sheet1[[#This Row],[Ad Spend]]</f>
        <v>130.4</v>
      </c>
      <c r="L1195" s="2" t="s">
        <v>14</v>
      </c>
      <c r="M1195">
        <v>4</v>
      </c>
      <c r="N1195" s="2" t="s">
        <v>19</v>
      </c>
      <c r="O1195">
        <v>48.52</v>
      </c>
    </row>
    <row r="1196" spans="1:15" x14ac:dyDescent="0.3">
      <c r="A1196" s="1">
        <v>45390</v>
      </c>
      <c r="B1196" s="2" t="s">
        <v>24</v>
      </c>
      <c r="C1196" s="2" t="s">
        <v>17</v>
      </c>
      <c r="D1196" s="2" t="s">
        <v>18</v>
      </c>
      <c r="E1196">
        <v>102.44</v>
      </c>
      <c r="F1196">
        <v>43.5</v>
      </c>
      <c r="G1196">
        <v>2</v>
      </c>
      <c r="H1196">
        <f t="shared" si="18"/>
        <v>58562.910000000018</v>
      </c>
      <c r="I1196" t="str">
        <f>IF(Sheet1[[#This Row],[Month_Revenue]] &lt; AVERAGE(Sheet1[Month_Revenue]), "Off-Peak", "Peak")</f>
        <v>Peak</v>
      </c>
      <c r="J1196">
        <f xml:space="preserve"> IF(Sheet1[[#This Row],[Ad Spend]] &gt; 0, (Sheet1[[#This Row],[Profit]] / Sheet1[[#This Row],[Ad Spend]]), 0)</f>
        <v>1.354942528735632</v>
      </c>
      <c r="K1196">
        <f>Sheet1[[#This Row],[Revenue]]-Sheet1[[#This Row],[Ad Spend]]</f>
        <v>58.94</v>
      </c>
      <c r="L1196" s="2" t="s">
        <v>14</v>
      </c>
      <c r="M1196">
        <v>4</v>
      </c>
      <c r="N1196" s="2" t="s">
        <v>19</v>
      </c>
      <c r="O1196">
        <v>51.22</v>
      </c>
    </row>
    <row r="1197" spans="1:15" x14ac:dyDescent="0.3">
      <c r="A1197" s="1">
        <v>45334</v>
      </c>
      <c r="B1197" s="2" t="s">
        <v>23</v>
      </c>
      <c r="C1197" s="2" t="s">
        <v>12</v>
      </c>
      <c r="D1197" s="2" t="s">
        <v>18</v>
      </c>
      <c r="E1197">
        <v>113.59</v>
      </c>
      <c r="F1197">
        <v>21.2</v>
      </c>
      <c r="G1197">
        <v>2</v>
      </c>
      <c r="H1197">
        <f t="shared" si="18"/>
        <v>48675.899999999936</v>
      </c>
      <c r="I1197" t="str">
        <f>IF(Sheet1[[#This Row],[Month_Revenue]] &lt; AVERAGE(Sheet1[Month_Revenue]), "Off-Peak", "Peak")</f>
        <v>Off-Peak</v>
      </c>
      <c r="J1197">
        <f xml:space="preserve"> IF(Sheet1[[#This Row],[Ad Spend]] &gt; 0, (Sheet1[[#This Row],[Profit]] / Sheet1[[#This Row],[Ad Spend]]), 0)</f>
        <v>4.3580188679245282</v>
      </c>
      <c r="K1197">
        <f>Sheet1[[#This Row],[Revenue]]-Sheet1[[#This Row],[Ad Spend]]</f>
        <v>92.39</v>
      </c>
      <c r="L1197" s="2" t="s">
        <v>22</v>
      </c>
      <c r="M1197">
        <v>2</v>
      </c>
      <c r="N1197" s="2" t="s">
        <v>15</v>
      </c>
      <c r="O1197">
        <v>56.795000000000002</v>
      </c>
    </row>
    <row r="1198" spans="1:15" x14ac:dyDescent="0.3">
      <c r="A1198" s="1">
        <v>45383</v>
      </c>
      <c r="B1198" s="2" t="s">
        <v>20</v>
      </c>
      <c r="C1198" s="2" t="s">
        <v>17</v>
      </c>
      <c r="D1198" s="2" t="s">
        <v>13</v>
      </c>
      <c r="E1198">
        <v>35.020000000000003</v>
      </c>
      <c r="F1198">
        <v>13.28</v>
      </c>
      <c r="G1198">
        <v>2</v>
      </c>
      <c r="H1198">
        <f t="shared" si="18"/>
        <v>58562.910000000018</v>
      </c>
      <c r="I1198" t="str">
        <f>IF(Sheet1[[#This Row],[Month_Revenue]] &lt; AVERAGE(Sheet1[Month_Revenue]), "Off-Peak", "Peak")</f>
        <v>Peak</v>
      </c>
      <c r="J1198">
        <f xml:space="preserve"> IF(Sheet1[[#This Row],[Ad Spend]] &gt; 0, (Sheet1[[#This Row],[Profit]] / Sheet1[[#This Row],[Ad Spend]]), 0)</f>
        <v>1.6370481927710845</v>
      </c>
      <c r="K1198">
        <f>Sheet1[[#This Row],[Revenue]]-Sheet1[[#This Row],[Ad Spend]]</f>
        <v>21.740000000000002</v>
      </c>
      <c r="L1198" s="2" t="s">
        <v>22</v>
      </c>
      <c r="M1198">
        <v>4</v>
      </c>
      <c r="N1198" s="2" t="s">
        <v>19</v>
      </c>
      <c r="O1198">
        <v>17.510000000000002</v>
      </c>
    </row>
    <row r="1199" spans="1:15" x14ac:dyDescent="0.3">
      <c r="A1199" s="1">
        <v>45377</v>
      </c>
      <c r="B1199" s="2" t="s">
        <v>24</v>
      </c>
      <c r="C1199" s="2" t="s">
        <v>17</v>
      </c>
      <c r="D1199" s="2" t="s">
        <v>13</v>
      </c>
      <c r="E1199">
        <v>136.65</v>
      </c>
      <c r="F1199">
        <v>3.69</v>
      </c>
      <c r="G1199">
        <v>3</v>
      </c>
      <c r="H1199">
        <f t="shared" si="18"/>
        <v>54735.250000000029</v>
      </c>
      <c r="I1199" t="str">
        <f>IF(Sheet1[[#This Row],[Month_Revenue]] &lt; AVERAGE(Sheet1[Month_Revenue]), "Off-Peak", "Peak")</f>
        <v>Off-Peak</v>
      </c>
      <c r="J1199">
        <f xml:space="preserve"> IF(Sheet1[[#This Row],[Ad Spend]] &gt; 0, (Sheet1[[#This Row],[Profit]] / Sheet1[[#This Row],[Ad Spend]]), 0)</f>
        <v>36.032520325203258</v>
      </c>
      <c r="K1199">
        <f>Sheet1[[#This Row],[Revenue]]-Sheet1[[#This Row],[Ad Spend]]</f>
        <v>132.96</v>
      </c>
      <c r="L1199" s="2" t="s">
        <v>14</v>
      </c>
      <c r="M1199">
        <v>3</v>
      </c>
      <c r="N1199" s="2" t="s">
        <v>19</v>
      </c>
      <c r="O1199">
        <v>45.550000000000004</v>
      </c>
    </row>
    <row r="1200" spans="1:15" x14ac:dyDescent="0.3">
      <c r="A1200" s="1">
        <v>45365</v>
      </c>
      <c r="B1200" s="2" t="s">
        <v>24</v>
      </c>
      <c r="C1200" s="2" t="s">
        <v>21</v>
      </c>
      <c r="D1200" s="2" t="s">
        <v>18</v>
      </c>
      <c r="E1200">
        <v>94.99</v>
      </c>
      <c r="F1200">
        <v>26.45</v>
      </c>
      <c r="G1200">
        <v>2</v>
      </c>
      <c r="H1200">
        <f t="shared" si="18"/>
        <v>54735.250000000029</v>
      </c>
      <c r="I1200" t="str">
        <f>IF(Sheet1[[#This Row],[Month_Revenue]] &lt; AVERAGE(Sheet1[Month_Revenue]), "Off-Peak", "Peak")</f>
        <v>Off-Peak</v>
      </c>
      <c r="J1200">
        <f xml:space="preserve"> IF(Sheet1[[#This Row],[Ad Spend]] &gt; 0, (Sheet1[[#This Row],[Profit]] / Sheet1[[#This Row],[Ad Spend]]), 0)</f>
        <v>2.5913043478260867</v>
      </c>
      <c r="K1200">
        <f>Sheet1[[#This Row],[Revenue]]-Sheet1[[#This Row],[Ad Spend]]</f>
        <v>68.539999999999992</v>
      </c>
      <c r="L1200" s="2" t="s">
        <v>14</v>
      </c>
      <c r="M1200">
        <v>3</v>
      </c>
      <c r="N1200" s="2" t="s">
        <v>19</v>
      </c>
      <c r="O1200">
        <v>47.494999999999997</v>
      </c>
    </row>
    <row r="1201" spans="1:15" x14ac:dyDescent="0.3">
      <c r="A1201" s="1">
        <v>45404</v>
      </c>
      <c r="B1201" s="2" t="s">
        <v>23</v>
      </c>
      <c r="C1201" s="2" t="s">
        <v>12</v>
      </c>
      <c r="D1201" s="2" t="s">
        <v>13</v>
      </c>
      <c r="E1201">
        <v>171.68</v>
      </c>
      <c r="F1201">
        <v>39.770000000000003</v>
      </c>
      <c r="G1201">
        <v>2</v>
      </c>
      <c r="H1201">
        <f t="shared" si="18"/>
        <v>58562.910000000018</v>
      </c>
      <c r="I1201" t="str">
        <f>IF(Sheet1[[#This Row],[Month_Revenue]] &lt; AVERAGE(Sheet1[Month_Revenue]), "Off-Peak", "Peak")</f>
        <v>Peak</v>
      </c>
      <c r="J1201">
        <f xml:space="preserve"> IF(Sheet1[[#This Row],[Ad Spend]] &gt; 0, (Sheet1[[#This Row],[Profit]] / Sheet1[[#This Row],[Ad Spend]]), 0)</f>
        <v>3.3168217249182796</v>
      </c>
      <c r="K1201">
        <f>Sheet1[[#This Row],[Revenue]]-Sheet1[[#This Row],[Ad Spend]]</f>
        <v>131.91</v>
      </c>
      <c r="L1201" s="2" t="s">
        <v>22</v>
      </c>
      <c r="M1201">
        <v>4</v>
      </c>
      <c r="N1201" s="2" t="s">
        <v>19</v>
      </c>
      <c r="O1201">
        <v>85.84</v>
      </c>
    </row>
    <row r="1202" spans="1:15" x14ac:dyDescent="0.3">
      <c r="A1202" s="1">
        <v>45389</v>
      </c>
      <c r="B1202" s="2" t="s">
        <v>16</v>
      </c>
      <c r="C1202" s="2" t="s">
        <v>17</v>
      </c>
      <c r="D1202" s="2" t="s">
        <v>18</v>
      </c>
      <c r="E1202">
        <v>42.43</v>
      </c>
      <c r="F1202">
        <v>31.07</v>
      </c>
      <c r="G1202">
        <v>1</v>
      </c>
      <c r="H1202">
        <f t="shared" si="18"/>
        <v>58562.910000000018</v>
      </c>
      <c r="I1202" t="str">
        <f>IF(Sheet1[[#This Row],[Month_Revenue]] &lt; AVERAGE(Sheet1[Month_Revenue]), "Off-Peak", "Peak")</f>
        <v>Peak</v>
      </c>
      <c r="J1202">
        <f xml:space="preserve"> IF(Sheet1[[#This Row],[Ad Spend]] &gt; 0, (Sheet1[[#This Row],[Profit]] / Sheet1[[#This Row],[Ad Spend]]), 0)</f>
        <v>0.36562600579336979</v>
      </c>
      <c r="K1202">
        <f>Sheet1[[#This Row],[Revenue]]-Sheet1[[#This Row],[Ad Spend]]</f>
        <v>11.36</v>
      </c>
      <c r="L1202" s="2" t="s">
        <v>22</v>
      </c>
      <c r="M1202">
        <v>4</v>
      </c>
      <c r="N1202" s="2" t="s">
        <v>19</v>
      </c>
      <c r="O1202">
        <v>42.43</v>
      </c>
    </row>
    <row r="1203" spans="1:15" x14ac:dyDescent="0.3">
      <c r="A1203" s="1">
        <v>45338</v>
      </c>
      <c r="B1203" s="2" t="s">
        <v>20</v>
      </c>
      <c r="C1203" s="2" t="s">
        <v>21</v>
      </c>
      <c r="D1203" s="2" t="s">
        <v>18</v>
      </c>
      <c r="E1203">
        <v>120.73</v>
      </c>
      <c r="F1203">
        <v>27.31</v>
      </c>
      <c r="G1203">
        <v>3</v>
      </c>
      <c r="H1203">
        <f t="shared" si="18"/>
        <v>48675.899999999936</v>
      </c>
      <c r="I1203" t="str">
        <f>IF(Sheet1[[#This Row],[Month_Revenue]] &lt; AVERAGE(Sheet1[Month_Revenue]), "Off-Peak", "Peak")</f>
        <v>Off-Peak</v>
      </c>
      <c r="J1203">
        <f xml:space="preserve"> IF(Sheet1[[#This Row],[Ad Spend]] &gt; 0, (Sheet1[[#This Row],[Profit]] / Sheet1[[#This Row],[Ad Spend]]), 0)</f>
        <v>3.4207250091541561</v>
      </c>
      <c r="K1203">
        <f>Sheet1[[#This Row],[Revenue]]-Sheet1[[#This Row],[Ad Spend]]</f>
        <v>93.42</v>
      </c>
      <c r="L1203" s="2" t="s">
        <v>22</v>
      </c>
      <c r="M1203">
        <v>2</v>
      </c>
      <c r="N1203" s="2" t="s">
        <v>15</v>
      </c>
      <c r="O1203">
        <v>40.243333333333332</v>
      </c>
    </row>
    <row r="1204" spans="1:15" x14ac:dyDescent="0.3">
      <c r="A1204" s="1">
        <v>45388</v>
      </c>
      <c r="B1204" s="2" t="s">
        <v>11</v>
      </c>
      <c r="C1204" s="2" t="s">
        <v>12</v>
      </c>
      <c r="D1204" s="2" t="s">
        <v>18</v>
      </c>
      <c r="E1204">
        <v>152.84</v>
      </c>
      <c r="F1204">
        <v>19.22</v>
      </c>
      <c r="G1204">
        <v>0</v>
      </c>
      <c r="H1204">
        <f t="shared" si="18"/>
        <v>58562.910000000018</v>
      </c>
      <c r="I1204" t="str">
        <f>IF(Sheet1[[#This Row],[Month_Revenue]] &lt; AVERAGE(Sheet1[Month_Revenue]), "Off-Peak", "Peak")</f>
        <v>Peak</v>
      </c>
      <c r="J1204">
        <f xml:space="preserve"> IF(Sheet1[[#This Row],[Ad Spend]] &gt; 0, (Sheet1[[#This Row],[Profit]] / Sheet1[[#This Row],[Ad Spend]]), 0)</f>
        <v>6.9521331945889706</v>
      </c>
      <c r="K1204">
        <f>Sheet1[[#This Row],[Revenue]]-Sheet1[[#This Row],[Ad Spend]]</f>
        <v>133.62</v>
      </c>
      <c r="L1204" s="2" t="s">
        <v>22</v>
      </c>
      <c r="M1204">
        <v>4</v>
      </c>
      <c r="N1204" s="2" t="s">
        <v>19</v>
      </c>
      <c r="O1204">
        <v>0</v>
      </c>
    </row>
    <row r="1205" spans="1:15" x14ac:dyDescent="0.3">
      <c r="A1205" s="1">
        <v>45399</v>
      </c>
      <c r="B1205" s="2" t="s">
        <v>20</v>
      </c>
      <c r="C1205" s="2" t="s">
        <v>12</v>
      </c>
      <c r="D1205" s="2" t="s">
        <v>13</v>
      </c>
      <c r="E1205">
        <v>36.68</v>
      </c>
      <c r="F1205">
        <v>45.45</v>
      </c>
      <c r="G1205">
        <v>2</v>
      </c>
      <c r="H1205">
        <f t="shared" si="18"/>
        <v>58562.910000000018</v>
      </c>
      <c r="I1205" t="str">
        <f>IF(Sheet1[[#This Row],[Month_Revenue]] &lt; AVERAGE(Sheet1[Month_Revenue]), "Off-Peak", "Peak")</f>
        <v>Peak</v>
      </c>
      <c r="J1205">
        <f xml:space="preserve"> IF(Sheet1[[#This Row],[Ad Spend]] &gt; 0, (Sheet1[[#This Row],[Profit]] / Sheet1[[#This Row],[Ad Spend]]), 0)</f>
        <v>-0.19295929592959302</v>
      </c>
      <c r="K1205">
        <f>Sheet1[[#This Row],[Revenue]]-Sheet1[[#This Row],[Ad Spend]]</f>
        <v>-8.7700000000000031</v>
      </c>
      <c r="L1205" s="2" t="s">
        <v>22</v>
      </c>
      <c r="M1205">
        <v>4</v>
      </c>
      <c r="N1205" s="2" t="s">
        <v>19</v>
      </c>
      <c r="O1205">
        <v>18.34</v>
      </c>
    </row>
    <row r="1206" spans="1:15" x14ac:dyDescent="0.3">
      <c r="A1206" s="1">
        <v>45410</v>
      </c>
      <c r="B1206" s="2" t="s">
        <v>20</v>
      </c>
      <c r="C1206" s="2" t="s">
        <v>21</v>
      </c>
      <c r="D1206" s="2" t="s">
        <v>18</v>
      </c>
      <c r="E1206">
        <v>183.37</v>
      </c>
      <c r="F1206">
        <v>29.36</v>
      </c>
      <c r="G1206">
        <v>2</v>
      </c>
      <c r="H1206">
        <f t="shared" si="18"/>
        <v>58562.910000000018</v>
      </c>
      <c r="I1206" t="str">
        <f>IF(Sheet1[[#This Row],[Month_Revenue]] &lt; AVERAGE(Sheet1[Month_Revenue]), "Off-Peak", "Peak")</f>
        <v>Peak</v>
      </c>
      <c r="J1206">
        <f xml:space="preserve"> IF(Sheet1[[#This Row],[Ad Spend]] &gt; 0, (Sheet1[[#This Row],[Profit]] / Sheet1[[#This Row],[Ad Spend]]), 0)</f>
        <v>5.2455722070844688</v>
      </c>
      <c r="K1206">
        <f>Sheet1[[#This Row],[Revenue]]-Sheet1[[#This Row],[Ad Spend]]</f>
        <v>154.01</v>
      </c>
      <c r="L1206" s="2" t="s">
        <v>22</v>
      </c>
      <c r="M1206">
        <v>4</v>
      </c>
      <c r="N1206" s="2" t="s">
        <v>19</v>
      </c>
      <c r="O1206">
        <v>91.685000000000002</v>
      </c>
    </row>
    <row r="1207" spans="1:15" x14ac:dyDescent="0.3">
      <c r="A1207" s="1">
        <v>45314</v>
      </c>
      <c r="B1207" s="2" t="s">
        <v>11</v>
      </c>
      <c r="C1207" s="2" t="s">
        <v>21</v>
      </c>
      <c r="D1207" s="2" t="s">
        <v>13</v>
      </c>
      <c r="E1207">
        <v>66.44</v>
      </c>
      <c r="F1207">
        <v>11.03</v>
      </c>
      <c r="G1207">
        <v>2</v>
      </c>
      <c r="H1207">
        <f t="shared" si="18"/>
        <v>61207.979999999989</v>
      </c>
      <c r="I1207" t="str">
        <f>IF(Sheet1[[#This Row],[Month_Revenue]] &lt; AVERAGE(Sheet1[Month_Revenue]), "Off-Peak", "Peak")</f>
        <v>Peak</v>
      </c>
      <c r="J1207">
        <f xml:space="preserve"> IF(Sheet1[[#This Row],[Ad Spend]] &gt; 0, (Sheet1[[#This Row],[Profit]] / Sheet1[[#This Row],[Ad Spend]]), 0)</f>
        <v>5.0235720761559381</v>
      </c>
      <c r="K1207">
        <f>Sheet1[[#This Row],[Revenue]]-Sheet1[[#This Row],[Ad Spend]]</f>
        <v>55.41</v>
      </c>
      <c r="L1207" s="2" t="s">
        <v>14</v>
      </c>
      <c r="M1207">
        <v>1</v>
      </c>
      <c r="N1207" s="2" t="s">
        <v>15</v>
      </c>
      <c r="O1207">
        <v>33.22</v>
      </c>
    </row>
    <row r="1208" spans="1:15" x14ac:dyDescent="0.3">
      <c r="A1208" s="1">
        <v>45313</v>
      </c>
      <c r="B1208" s="2" t="s">
        <v>23</v>
      </c>
      <c r="C1208" s="2" t="s">
        <v>21</v>
      </c>
      <c r="D1208" s="2" t="s">
        <v>13</v>
      </c>
      <c r="E1208">
        <v>158.49</v>
      </c>
      <c r="F1208">
        <v>8.09</v>
      </c>
      <c r="G1208">
        <v>3</v>
      </c>
      <c r="H1208">
        <f t="shared" si="18"/>
        <v>61207.979999999989</v>
      </c>
      <c r="I1208" t="str">
        <f>IF(Sheet1[[#This Row],[Month_Revenue]] &lt; AVERAGE(Sheet1[Month_Revenue]), "Off-Peak", "Peak")</f>
        <v>Peak</v>
      </c>
      <c r="J1208">
        <f xml:space="preserve"> IF(Sheet1[[#This Row],[Ad Spend]] &gt; 0, (Sheet1[[#This Row],[Profit]] / Sheet1[[#This Row],[Ad Spend]]), 0)</f>
        <v>18.590852904820768</v>
      </c>
      <c r="K1208">
        <f>Sheet1[[#This Row],[Revenue]]-Sheet1[[#This Row],[Ad Spend]]</f>
        <v>150.4</v>
      </c>
      <c r="L1208" s="2" t="s">
        <v>14</v>
      </c>
      <c r="M1208">
        <v>1</v>
      </c>
      <c r="N1208" s="2" t="s">
        <v>15</v>
      </c>
      <c r="O1208">
        <v>52.830000000000005</v>
      </c>
    </row>
    <row r="1209" spans="1:15" x14ac:dyDescent="0.3">
      <c r="A1209" s="1">
        <v>45412</v>
      </c>
      <c r="B1209" s="2" t="s">
        <v>20</v>
      </c>
      <c r="C1209" s="2" t="s">
        <v>17</v>
      </c>
      <c r="D1209" s="2" t="s">
        <v>13</v>
      </c>
      <c r="E1209">
        <v>176.29</v>
      </c>
      <c r="F1209">
        <v>33.68</v>
      </c>
      <c r="G1209">
        <v>0</v>
      </c>
      <c r="H1209">
        <f t="shared" si="18"/>
        <v>58562.910000000018</v>
      </c>
      <c r="I1209" t="str">
        <f>IF(Sheet1[[#This Row],[Month_Revenue]] &lt; AVERAGE(Sheet1[Month_Revenue]), "Off-Peak", "Peak")</f>
        <v>Peak</v>
      </c>
      <c r="J1209">
        <f xml:space="preserve"> IF(Sheet1[[#This Row],[Ad Spend]] &gt; 0, (Sheet1[[#This Row],[Profit]] / Sheet1[[#This Row],[Ad Spend]]), 0)</f>
        <v>4.2342636579572446</v>
      </c>
      <c r="K1209">
        <f>Sheet1[[#This Row],[Revenue]]-Sheet1[[#This Row],[Ad Spend]]</f>
        <v>142.60999999999999</v>
      </c>
      <c r="L1209" s="2" t="s">
        <v>14</v>
      </c>
      <c r="M1209">
        <v>4</v>
      </c>
      <c r="N1209" s="2" t="s">
        <v>19</v>
      </c>
      <c r="O1209">
        <v>0</v>
      </c>
    </row>
    <row r="1210" spans="1:15" x14ac:dyDescent="0.3">
      <c r="A1210" s="1">
        <v>45359</v>
      </c>
      <c r="B1210" s="2" t="s">
        <v>20</v>
      </c>
      <c r="C1210" s="2" t="s">
        <v>12</v>
      </c>
      <c r="D1210" s="2" t="s">
        <v>18</v>
      </c>
      <c r="E1210">
        <v>124.46</v>
      </c>
      <c r="F1210">
        <v>15.99</v>
      </c>
      <c r="G1210">
        <v>0</v>
      </c>
      <c r="H1210">
        <f t="shared" si="18"/>
        <v>54735.250000000029</v>
      </c>
      <c r="I1210" t="str">
        <f>IF(Sheet1[[#This Row],[Month_Revenue]] &lt; AVERAGE(Sheet1[Month_Revenue]), "Off-Peak", "Peak")</f>
        <v>Off-Peak</v>
      </c>
      <c r="J1210">
        <f xml:space="preserve"> IF(Sheet1[[#This Row],[Ad Spend]] &gt; 0, (Sheet1[[#This Row],[Profit]] / Sheet1[[#This Row],[Ad Spend]]), 0)</f>
        <v>6.7836147592245153</v>
      </c>
      <c r="K1210">
        <f>Sheet1[[#This Row],[Revenue]]-Sheet1[[#This Row],[Ad Spend]]</f>
        <v>108.47</v>
      </c>
      <c r="L1210" s="2" t="s">
        <v>22</v>
      </c>
      <c r="M1210">
        <v>3</v>
      </c>
      <c r="N1210" s="2" t="s">
        <v>19</v>
      </c>
      <c r="O1210">
        <v>0</v>
      </c>
    </row>
    <row r="1211" spans="1:15" x14ac:dyDescent="0.3">
      <c r="A1211" s="1">
        <v>45342</v>
      </c>
      <c r="B1211" s="2" t="s">
        <v>16</v>
      </c>
      <c r="C1211" s="2" t="s">
        <v>17</v>
      </c>
      <c r="D1211" s="2" t="s">
        <v>18</v>
      </c>
      <c r="E1211">
        <v>48.41</v>
      </c>
      <c r="F1211">
        <v>48.1</v>
      </c>
      <c r="G1211">
        <v>0</v>
      </c>
      <c r="H1211">
        <f t="shared" si="18"/>
        <v>48675.899999999936</v>
      </c>
      <c r="I1211" t="str">
        <f>IF(Sheet1[[#This Row],[Month_Revenue]] &lt; AVERAGE(Sheet1[Month_Revenue]), "Off-Peak", "Peak")</f>
        <v>Off-Peak</v>
      </c>
      <c r="J1211">
        <f xml:space="preserve"> IF(Sheet1[[#This Row],[Ad Spend]] &gt; 0, (Sheet1[[#This Row],[Profit]] / Sheet1[[#This Row],[Ad Spend]]), 0)</f>
        <v>6.4449064449063447E-3</v>
      </c>
      <c r="K1211">
        <f>Sheet1[[#This Row],[Revenue]]-Sheet1[[#This Row],[Ad Spend]]</f>
        <v>0.30999999999999517</v>
      </c>
      <c r="L1211" s="2" t="s">
        <v>14</v>
      </c>
      <c r="M1211">
        <v>2</v>
      </c>
      <c r="N1211" s="2" t="s">
        <v>15</v>
      </c>
      <c r="O1211">
        <v>0</v>
      </c>
    </row>
    <row r="1212" spans="1:15" x14ac:dyDescent="0.3">
      <c r="A1212" s="1">
        <v>45346</v>
      </c>
      <c r="B1212" s="2" t="s">
        <v>24</v>
      </c>
      <c r="C1212" s="2" t="s">
        <v>17</v>
      </c>
      <c r="D1212" s="2" t="s">
        <v>18</v>
      </c>
      <c r="E1212">
        <v>190.12</v>
      </c>
      <c r="F1212">
        <v>22.8</v>
      </c>
      <c r="G1212">
        <v>1</v>
      </c>
      <c r="H1212">
        <f t="shared" si="18"/>
        <v>48675.899999999936</v>
      </c>
      <c r="I1212" t="str">
        <f>IF(Sheet1[[#This Row],[Month_Revenue]] &lt; AVERAGE(Sheet1[Month_Revenue]), "Off-Peak", "Peak")</f>
        <v>Off-Peak</v>
      </c>
      <c r="J1212">
        <f xml:space="preserve"> IF(Sheet1[[#This Row],[Ad Spend]] &gt; 0, (Sheet1[[#This Row],[Profit]] / Sheet1[[#This Row],[Ad Spend]]), 0)</f>
        <v>7.3385964912280697</v>
      </c>
      <c r="K1212">
        <f>Sheet1[[#This Row],[Revenue]]-Sheet1[[#This Row],[Ad Spend]]</f>
        <v>167.32</v>
      </c>
      <c r="L1212" s="2" t="s">
        <v>22</v>
      </c>
      <c r="M1212">
        <v>2</v>
      </c>
      <c r="N1212" s="2" t="s">
        <v>15</v>
      </c>
      <c r="O1212">
        <v>190.12</v>
      </c>
    </row>
    <row r="1213" spans="1:15" x14ac:dyDescent="0.3">
      <c r="A1213" s="1">
        <v>45396</v>
      </c>
      <c r="B1213" s="2" t="s">
        <v>23</v>
      </c>
      <c r="C1213" s="2" t="s">
        <v>17</v>
      </c>
      <c r="D1213" s="2" t="s">
        <v>18</v>
      </c>
      <c r="E1213">
        <v>132.61000000000001</v>
      </c>
      <c r="F1213">
        <v>12.55</v>
      </c>
      <c r="G1213">
        <v>3</v>
      </c>
      <c r="H1213">
        <f t="shared" si="18"/>
        <v>58562.910000000018</v>
      </c>
      <c r="I1213" t="str">
        <f>IF(Sheet1[[#This Row],[Month_Revenue]] &lt; AVERAGE(Sheet1[Month_Revenue]), "Off-Peak", "Peak")</f>
        <v>Peak</v>
      </c>
      <c r="J1213">
        <f xml:space="preserve"> IF(Sheet1[[#This Row],[Ad Spend]] &gt; 0, (Sheet1[[#This Row],[Profit]] / Sheet1[[#This Row],[Ad Spend]]), 0)</f>
        <v>9.5665338645418334</v>
      </c>
      <c r="K1213">
        <f>Sheet1[[#This Row],[Revenue]]-Sheet1[[#This Row],[Ad Spend]]</f>
        <v>120.06000000000002</v>
      </c>
      <c r="L1213" s="2" t="s">
        <v>14</v>
      </c>
      <c r="M1213">
        <v>4</v>
      </c>
      <c r="N1213" s="2" t="s">
        <v>19</v>
      </c>
      <c r="O1213">
        <v>44.20333333333334</v>
      </c>
    </row>
    <row r="1214" spans="1:15" x14ac:dyDescent="0.3">
      <c r="A1214" s="1">
        <v>45296</v>
      </c>
      <c r="B1214" s="2" t="s">
        <v>16</v>
      </c>
      <c r="C1214" s="2" t="s">
        <v>21</v>
      </c>
      <c r="D1214" s="2" t="s">
        <v>18</v>
      </c>
      <c r="E1214">
        <v>114.67</v>
      </c>
      <c r="F1214">
        <v>29.43</v>
      </c>
      <c r="G1214">
        <v>1</v>
      </c>
      <c r="H1214">
        <f t="shared" si="18"/>
        <v>61207.979999999989</v>
      </c>
      <c r="I1214" t="str">
        <f>IF(Sheet1[[#This Row],[Month_Revenue]] &lt; AVERAGE(Sheet1[Month_Revenue]), "Off-Peak", "Peak")</f>
        <v>Peak</v>
      </c>
      <c r="J1214">
        <f xml:space="preserve"> IF(Sheet1[[#This Row],[Ad Spend]] &gt; 0, (Sheet1[[#This Row],[Profit]] / Sheet1[[#This Row],[Ad Spend]]), 0)</f>
        <v>2.8963642541624197</v>
      </c>
      <c r="K1214">
        <f>Sheet1[[#This Row],[Revenue]]-Sheet1[[#This Row],[Ad Spend]]</f>
        <v>85.240000000000009</v>
      </c>
      <c r="L1214" s="2" t="s">
        <v>22</v>
      </c>
      <c r="M1214">
        <v>1</v>
      </c>
      <c r="N1214" s="2" t="s">
        <v>15</v>
      </c>
      <c r="O1214">
        <v>114.67</v>
      </c>
    </row>
    <row r="1215" spans="1:15" x14ac:dyDescent="0.3">
      <c r="A1215" s="1">
        <v>45352</v>
      </c>
      <c r="B1215" s="2" t="s">
        <v>11</v>
      </c>
      <c r="C1215" s="2" t="s">
        <v>12</v>
      </c>
      <c r="D1215" s="2" t="s">
        <v>13</v>
      </c>
      <c r="E1215">
        <v>164.07</v>
      </c>
      <c r="F1215">
        <v>13.94</v>
      </c>
      <c r="G1215">
        <v>3</v>
      </c>
      <c r="H1215">
        <f t="shared" si="18"/>
        <v>54735.250000000029</v>
      </c>
      <c r="I1215" t="str">
        <f>IF(Sheet1[[#This Row],[Month_Revenue]] &lt; AVERAGE(Sheet1[Month_Revenue]), "Off-Peak", "Peak")</f>
        <v>Off-Peak</v>
      </c>
      <c r="J1215">
        <f xml:space="preserve"> IF(Sheet1[[#This Row],[Ad Spend]] &gt; 0, (Sheet1[[#This Row],[Profit]] / Sheet1[[#This Row],[Ad Spend]]), 0)</f>
        <v>10.769727403156384</v>
      </c>
      <c r="K1215">
        <f>Sheet1[[#This Row],[Revenue]]-Sheet1[[#This Row],[Ad Spend]]</f>
        <v>150.13</v>
      </c>
      <c r="L1215" s="2" t="s">
        <v>22</v>
      </c>
      <c r="M1215">
        <v>3</v>
      </c>
      <c r="N1215" s="2" t="s">
        <v>19</v>
      </c>
      <c r="O1215">
        <v>54.69</v>
      </c>
    </row>
    <row r="1216" spans="1:15" x14ac:dyDescent="0.3">
      <c r="A1216" s="1">
        <v>45294</v>
      </c>
      <c r="B1216" s="2" t="s">
        <v>11</v>
      </c>
      <c r="C1216" s="2" t="s">
        <v>17</v>
      </c>
      <c r="D1216" s="2" t="s">
        <v>18</v>
      </c>
      <c r="E1216">
        <v>108.98</v>
      </c>
      <c r="F1216">
        <v>15.56</v>
      </c>
      <c r="G1216">
        <v>2</v>
      </c>
      <c r="H1216">
        <f t="shared" si="18"/>
        <v>61207.979999999989</v>
      </c>
      <c r="I1216" t="str">
        <f>IF(Sheet1[[#This Row],[Month_Revenue]] &lt; AVERAGE(Sheet1[Month_Revenue]), "Off-Peak", "Peak")</f>
        <v>Peak</v>
      </c>
      <c r="J1216">
        <f xml:space="preserve"> IF(Sheet1[[#This Row],[Ad Spend]] &gt; 0, (Sheet1[[#This Row],[Profit]] / Sheet1[[#This Row],[Ad Spend]]), 0)</f>
        <v>6.0038560411311055</v>
      </c>
      <c r="K1216">
        <f>Sheet1[[#This Row],[Revenue]]-Sheet1[[#This Row],[Ad Spend]]</f>
        <v>93.42</v>
      </c>
      <c r="L1216" s="2" t="s">
        <v>22</v>
      </c>
      <c r="M1216">
        <v>1</v>
      </c>
      <c r="N1216" s="2" t="s">
        <v>15</v>
      </c>
      <c r="O1216">
        <v>54.49</v>
      </c>
    </row>
    <row r="1217" spans="1:15" x14ac:dyDescent="0.3">
      <c r="A1217" s="1">
        <v>45412</v>
      </c>
      <c r="B1217" s="2" t="s">
        <v>24</v>
      </c>
      <c r="C1217" s="2" t="s">
        <v>21</v>
      </c>
      <c r="D1217" s="2" t="s">
        <v>13</v>
      </c>
      <c r="E1217">
        <v>187.76</v>
      </c>
      <c r="F1217">
        <v>36.25</v>
      </c>
      <c r="G1217">
        <v>0</v>
      </c>
      <c r="H1217">
        <f t="shared" si="18"/>
        <v>58562.910000000018</v>
      </c>
      <c r="I1217" t="str">
        <f>IF(Sheet1[[#This Row],[Month_Revenue]] &lt; AVERAGE(Sheet1[Month_Revenue]), "Off-Peak", "Peak")</f>
        <v>Peak</v>
      </c>
      <c r="J1217">
        <f xml:space="preserve"> IF(Sheet1[[#This Row],[Ad Spend]] &gt; 0, (Sheet1[[#This Row],[Profit]] / Sheet1[[#This Row],[Ad Spend]]), 0)</f>
        <v>4.1795862068965519</v>
      </c>
      <c r="K1217">
        <f>Sheet1[[#This Row],[Revenue]]-Sheet1[[#This Row],[Ad Spend]]</f>
        <v>151.51</v>
      </c>
      <c r="L1217" s="2" t="s">
        <v>22</v>
      </c>
      <c r="M1217">
        <v>4</v>
      </c>
      <c r="N1217" s="2" t="s">
        <v>19</v>
      </c>
      <c r="O1217">
        <v>0</v>
      </c>
    </row>
    <row r="1218" spans="1:15" x14ac:dyDescent="0.3">
      <c r="A1218" s="1">
        <v>45384</v>
      </c>
      <c r="B1218" s="2" t="s">
        <v>24</v>
      </c>
      <c r="C1218" s="2" t="s">
        <v>21</v>
      </c>
      <c r="D1218" s="2" t="s">
        <v>18</v>
      </c>
      <c r="E1218">
        <v>156.63</v>
      </c>
      <c r="F1218">
        <v>7.75</v>
      </c>
      <c r="G1218">
        <v>2</v>
      </c>
      <c r="H1218">
        <f t="shared" ref="H1218:H1281" si="19">SUMIFS($E$2:$E$2001, $M$2:$M$2001, M1218)</f>
        <v>58562.910000000018</v>
      </c>
      <c r="I1218" t="str">
        <f>IF(Sheet1[[#This Row],[Month_Revenue]] &lt; AVERAGE(Sheet1[Month_Revenue]), "Off-Peak", "Peak")</f>
        <v>Peak</v>
      </c>
      <c r="J1218">
        <f xml:space="preserve"> IF(Sheet1[[#This Row],[Ad Spend]] &gt; 0, (Sheet1[[#This Row],[Profit]] / Sheet1[[#This Row],[Ad Spend]]), 0)</f>
        <v>19.210322580645162</v>
      </c>
      <c r="K1218">
        <f>Sheet1[[#This Row],[Revenue]]-Sheet1[[#This Row],[Ad Spend]]</f>
        <v>148.88</v>
      </c>
      <c r="L1218" s="2" t="s">
        <v>14</v>
      </c>
      <c r="M1218">
        <v>4</v>
      </c>
      <c r="N1218" s="2" t="s">
        <v>19</v>
      </c>
      <c r="O1218">
        <v>78.314999999999998</v>
      </c>
    </row>
    <row r="1219" spans="1:15" x14ac:dyDescent="0.3">
      <c r="A1219" s="1">
        <v>45298</v>
      </c>
      <c r="B1219" s="2" t="s">
        <v>20</v>
      </c>
      <c r="C1219" s="2" t="s">
        <v>17</v>
      </c>
      <c r="D1219" s="2" t="s">
        <v>13</v>
      </c>
      <c r="E1219">
        <v>96.05</v>
      </c>
      <c r="F1219">
        <v>3.74</v>
      </c>
      <c r="G1219">
        <v>3</v>
      </c>
      <c r="H1219">
        <f t="shared" si="19"/>
        <v>61207.979999999989</v>
      </c>
      <c r="I1219" t="str">
        <f>IF(Sheet1[[#This Row],[Month_Revenue]] &lt; AVERAGE(Sheet1[Month_Revenue]), "Off-Peak", "Peak")</f>
        <v>Peak</v>
      </c>
      <c r="J1219">
        <f xml:space="preserve"> IF(Sheet1[[#This Row],[Ad Spend]] &gt; 0, (Sheet1[[#This Row],[Profit]] / Sheet1[[#This Row],[Ad Spend]]), 0)</f>
        <v>24.68181818181818</v>
      </c>
      <c r="K1219">
        <f>Sheet1[[#This Row],[Revenue]]-Sheet1[[#This Row],[Ad Spend]]</f>
        <v>92.31</v>
      </c>
      <c r="L1219" s="2" t="s">
        <v>22</v>
      </c>
      <c r="M1219">
        <v>1</v>
      </c>
      <c r="N1219" s="2" t="s">
        <v>15</v>
      </c>
      <c r="O1219">
        <v>32.016666666666666</v>
      </c>
    </row>
    <row r="1220" spans="1:15" x14ac:dyDescent="0.3">
      <c r="A1220" s="1">
        <v>45313</v>
      </c>
      <c r="B1220" s="2" t="s">
        <v>23</v>
      </c>
      <c r="C1220" s="2" t="s">
        <v>17</v>
      </c>
      <c r="D1220" s="2" t="s">
        <v>18</v>
      </c>
      <c r="E1220">
        <v>121.97</v>
      </c>
      <c r="F1220">
        <v>35.53</v>
      </c>
      <c r="G1220">
        <v>0</v>
      </c>
      <c r="H1220">
        <f t="shared" si="19"/>
        <v>61207.979999999989</v>
      </c>
      <c r="I1220" t="str">
        <f>IF(Sheet1[[#This Row],[Month_Revenue]] &lt; AVERAGE(Sheet1[Month_Revenue]), "Off-Peak", "Peak")</f>
        <v>Peak</v>
      </c>
      <c r="J1220">
        <f xml:space="preserve"> IF(Sheet1[[#This Row],[Ad Spend]] &gt; 0, (Sheet1[[#This Row],[Profit]] / Sheet1[[#This Row],[Ad Spend]]), 0)</f>
        <v>2.4328736279200673</v>
      </c>
      <c r="K1220">
        <f>Sheet1[[#This Row],[Revenue]]-Sheet1[[#This Row],[Ad Spend]]</f>
        <v>86.44</v>
      </c>
      <c r="L1220" s="2" t="s">
        <v>14</v>
      </c>
      <c r="M1220">
        <v>1</v>
      </c>
      <c r="N1220" s="2" t="s">
        <v>15</v>
      </c>
      <c r="O1220">
        <v>0</v>
      </c>
    </row>
    <row r="1221" spans="1:15" x14ac:dyDescent="0.3">
      <c r="A1221" s="1">
        <v>45308</v>
      </c>
      <c r="B1221" s="2" t="s">
        <v>24</v>
      </c>
      <c r="C1221" s="2" t="s">
        <v>12</v>
      </c>
      <c r="D1221" s="2" t="s">
        <v>13</v>
      </c>
      <c r="E1221">
        <v>197.33</v>
      </c>
      <c r="F1221">
        <v>2.29</v>
      </c>
      <c r="G1221">
        <v>3</v>
      </c>
      <c r="H1221">
        <f t="shared" si="19"/>
        <v>61207.979999999989</v>
      </c>
      <c r="I1221" t="str">
        <f>IF(Sheet1[[#This Row],[Month_Revenue]] &lt; AVERAGE(Sheet1[Month_Revenue]), "Off-Peak", "Peak")</f>
        <v>Peak</v>
      </c>
      <c r="J1221">
        <f xml:space="preserve"> IF(Sheet1[[#This Row],[Ad Spend]] &gt; 0, (Sheet1[[#This Row],[Profit]] / Sheet1[[#This Row],[Ad Spend]]), 0)</f>
        <v>85.170305676855904</v>
      </c>
      <c r="K1221">
        <f>Sheet1[[#This Row],[Revenue]]-Sheet1[[#This Row],[Ad Spend]]</f>
        <v>195.04000000000002</v>
      </c>
      <c r="L1221" s="2" t="s">
        <v>14</v>
      </c>
      <c r="M1221">
        <v>1</v>
      </c>
      <c r="N1221" s="2" t="s">
        <v>15</v>
      </c>
      <c r="O1221">
        <v>65.776666666666671</v>
      </c>
    </row>
    <row r="1222" spans="1:15" x14ac:dyDescent="0.3">
      <c r="A1222" s="1">
        <v>45402</v>
      </c>
      <c r="B1222" s="2" t="s">
        <v>24</v>
      </c>
      <c r="C1222" s="2" t="s">
        <v>21</v>
      </c>
      <c r="D1222" s="2" t="s">
        <v>13</v>
      </c>
      <c r="E1222">
        <v>110</v>
      </c>
      <c r="F1222">
        <v>23.59</v>
      </c>
      <c r="G1222">
        <v>0</v>
      </c>
      <c r="H1222">
        <f t="shared" si="19"/>
        <v>58562.910000000018</v>
      </c>
      <c r="I1222" t="str">
        <f>IF(Sheet1[[#This Row],[Month_Revenue]] &lt; AVERAGE(Sheet1[Month_Revenue]), "Off-Peak", "Peak")</f>
        <v>Peak</v>
      </c>
      <c r="J1222">
        <f xml:space="preserve"> IF(Sheet1[[#This Row],[Ad Spend]] &gt; 0, (Sheet1[[#This Row],[Profit]] / Sheet1[[#This Row],[Ad Spend]]), 0)</f>
        <v>3.6629927935565916</v>
      </c>
      <c r="K1222">
        <f>Sheet1[[#This Row],[Revenue]]-Sheet1[[#This Row],[Ad Spend]]</f>
        <v>86.41</v>
      </c>
      <c r="L1222" s="2" t="s">
        <v>14</v>
      </c>
      <c r="M1222">
        <v>4</v>
      </c>
      <c r="N1222" s="2" t="s">
        <v>19</v>
      </c>
      <c r="O1222">
        <v>0</v>
      </c>
    </row>
    <row r="1223" spans="1:15" x14ac:dyDescent="0.3">
      <c r="A1223" s="1">
        <v>45373</v>
      </c>
      <c r="B1223" s="2" t="s">
        <v>23</v>
      </c>
      <c r="C1223" s="2" t="s">
        <v>12</v>
      </c>
      <c r="D1223" s="2" t="s">
        <v>18</v>
      </c>
      <c r="E1223">
        <v>76.22</v>
      </c>
      <c r="F1223">
        <v>48</v>
      </c>
      <c r="G1223">
        <v>2</v>
      </c>
      <c r="H1223">
        <f t="shared" si="19"/>
        <v>54735.250000000029</v>
      </c>
      <c r="I1223" t="str">
        <f>IF(Sheet1[[#This Row],[Month_Revenue]] &lt; AVERAGE(Sheet1[Month_Revenue]), "Off-Peak", "Peak")</f>
        <v>Off-Peak</v>
      </c>
      <c r="J1223">
        <f xml:space="preserve"> IF(Sheet1[[#This Row],[Ad Spend]] &gt; 0, (Sheet1[[#This Row],[Profit]] / Sheet1[[#This Row],[Ad Spend]]), 0)</f>
        <v>0.58791666666666664</v>
      </c>
      <c r="K1223">
        <f>Sheet1[[#This Row],[Revenue]]-Sheet1[[#This Row],[Ad Spend]]</f>
        <v>28.22</v>
      </c>
      <c r="L1223" s="2" t="s">
        <v>22</v>
      </c>
      <c r="M1223">
        <v>3</v>
      </c>
      <c r="N1223" s="2" t="s">
        <v>19</v>
      </c>
      <c r="O1223">
        <v>38.11</v>
      </c>
    </row>
    <row r="1224" spans="1:15" x14ac:dyDescent="0.3">
      <c r="A1224" s="1">
        <v>45336</v>
      </c>
      <c r="B1224" s="2" t="s">
        <v>20</v>
      </c>
      <c r="C1224" s="2" t="s">
        <v>21</v>
      </c>
      <c r="D1224" s="2" t="s">
        <v>13</v>
      </c>
      <c r="E1224">
        <v>177.32</v>
      </c>
      <c r="F1224">
        <v>36.15</v>
      </c>
      <c r="G1224">
        <v>3</v>
      </c>
      <c r="H1224">
        <f t="shared" si="19"/>
        <v>48675.899999999936</v>
      </c>
      <c r="I1224" t="str">
        <f>IF(Sheet1[[#This Row],[Month_Revenue]] &lt; AVERAGE(Sheet1[Month_Revenue]), "Off-Peak", "Peak")</f>
        <v>Off-Peak</v>
      </c>
      <c r="J1224">
        <f xml:space="preserve"> IF(Sheet1[[#This Row],[Ad Spend]] &gt; 0, (Sheet1[[#This Row],[Profit]] / Sheet1[[#This Row],[Ad Spend]]), 0)</f>
        <v>3.9051175656984785</v>
      </c>
      <c r="K1224">
        <f>Sheet1[[#This Row],[Revenue]]-Sheet1[[#This Row],[Ad Spend]]</f>
        <v>141.16999999999999</v>
      </c>
      <c r="L1224" s="2" t="s">
        <v>22</v>
      </c>
      <c r="M1224">
        <v>2</v>
      </c>
      <c r="N1224" s="2" t="s">
        <v>15</v>
      </c>
      <c r="O1224">
        <v>59.106666666666662</v>
      </c>
    </row>
    <row r="1225" spans="1:15" x14ac:dyDescent="0.3">
      <c r="A1225" s="1">
        <v>45297</v>
      </c>
      <c r="B1225" s="2" t="s">
        <v>11</v>
      </c>
      <c r="C1225" s="2" t="s">
        <v>12</v>
      </c>
      <c r="D1225" s="2" t="s">
        <v>13</v>
      </c>
      <c r="E1225">
        <v>92.08</v>
      </c>
      <c r="F1225">
        <v>26.13</v>
      </c>
      <c r="G1225">
        <v>0</v>
      </c>
      <c r="H1225">
        <f t="shared" si="19"/>
        <v>61207.979999999989</v>
      </c>
      <c r="I1225" t="str">
        <f>IF(Sheet1[[#This Row],[Month_Revenue]] &lt; AVERAGE(Sheet1[Month_Revenue]), "Off-Peak", "Peak")</f>
        <v>Peak</v>
      </c>
      <c r="J1225">
        <f xml:space="preserve"> IF(Sheet1[[#This Row],[Ad Spend]] &gt; 0, (Sheet1[[#This Row],[Profit]] / Sheet1[[#This Row],[Ad Spend]]), 0)</f>
        <v>2.5239188672024495</v>
      </c>
      <c r="K1225">
        <f>Sheet1[[#This Row],[Revenue]]-Sheet1[[#This Row],[Ad Spend]]</f>
        <v>65.95</v>
      </c>
      <c r="L1225" s="2" t="s">
        <v>14</v>
      </c>
      <c r="M1225">
        <v>1</v>
      </c>
      <c r="N1225" s="2" t="s">
        <v>15</v>
      </c>
      <c r="O1225">
        <v>0</v>
      </c>
    </row>
    <row r="1226" spans="1:15" x14ac:dyDescent="0.3">
      <c r="A1226" s="1">
        <v>45368</v>
      </c>
      <c r="B1226" s="2" t="s">
        <v>11</v>
      </c>
      <c r="C1226" s="2" t="s">
        <v>17</v>
      </c>
      <c r="D1226" s="2" t="s">
        <v>18</v>
      </c>
      <c r="E1226">
        <v>171.21</v>
      </c>
      <c r="F1226">
        <v>36.94</v>
      </c>
      <c r="G1226">
        <v>3</v>
      </c>
      <c r="H1226">
        <f t="shared" si="19"/>
        <v>54735.250000000029</v>
      </c>
      <c r="I1226" t="str">
        <f>IF(Sheet1[[#This Row],[Month_Revenue]] &lt; AVERAGE(Sheet1[Month_Revenue]), "Off-Peak", "Peak")</f>
        <v>Off-Peak</v>
      </c>
      <c r="J1226">
        <f xml:space="preserve"> IF(Sheet1[[#This Row],[Ad Spend]] &gt; 0, (Sheet1[[#This Row],[Profit]] / Sheet1[[#This Row],[Ad Spend]]), 0)</f>
        <v>3.6348132106118034</v>
      </c>
      <c r="K1226">
        <f>Sheet1[[#This Row],[Revenue]]-Sheet1[[#This Row],[Ad Spend]]</f>
        <v>134.27000000000001</v>
      </c>
      <c r="L1226" s="2" t="s">
        <v>14</v>
      </c>
      <c r="M1226">
        <v>3</v>
      </c>
      <c r="N1226" s="2" t="s">
        <v>19</v>
      </c>
      <c r="O1226">
        <v>57.07</v>
      </c>
    </row>
    <row r="1227" spans="1:15" x14ac:dyDescent="0.3">
      <c r="A1227" s="1">
        <v>45330</v>
      </c>
      <c r="B1227" s="2" t="s">
        <v>11</v>
      </c>
      <c r="C1227" s="2" t="s">
        <v>12</v>
      </c>
      <c r="D1227" s="2" t="s">
        <v>13</v>
      </c>
      <c r="E1227">
        <v>25.42</v>
      </c>
      <c r="F1227">
        <v>40.58</v>
      </c>
      <c r="G1227">
        <v>1</v>
      </c>
      <c r="H1227">
        <f t="shared" si="19"/>
        <v>48675.899999999936</v>
      </c>
      <c r="I1227" t="str">
        <f>IF(Sheet1[[#This Row],[Month_Revenue]] &lt; AVERAGE(Sheet1[Month_Revenue]), "Off-Peak", "Peak")</f>
        <v>Off-Peak</v>
      </c>
      <c r="J1227">
        <f xml:space="preserve"> IF(Sheet1[[#This Row],[Ad Spend]] &gt; 0, (Sheet1[[#This Row],[Profit]] / Sheet1[[#This Row],[Ad Spend]]), 0)</f>
        <v>-0.37358304583538682</v>
      </c>
      <c r="K1227">
        <f>Sheet1[[#This Row],[Revenue]]-Sheet1[[#This Row],[Ad Spend]]</f>
        <v>-15.159999999999997</v>
      </c>
      <c r="L1227" s="2" t="s">
        <v>14</v>
      </c>
      <c r="M1227">
        <v>2</v>
      </c>
      <c r="N1227" s="2" t="s">
        <v>15</v>
      </c>
      <c r="O1227">
        <v>25.42</v>
      </c>
    </row>
    <row r="1228" spans="1:15" x14ac:dyDescent="0.3">
      <c r="A1228" s="1">
        <v>45334</v>
      </c>
      <c r="B1228" s="2" t="s">
        <v>20</v>
      </c>
      <c r="C1228" s="2" t="s">
        <v>12</v>
      </c>
      <c r="D1228" s="2" t="s">
        <v>13</v>
      </c>
      <c r="E1228">
        <v>58.5</v>
      </c>
      <c r="F1228">
        <v>43.2</v>
      </c>
      <c r="G1228">
        <v>0</v>
      </c>
      <c r="H1228">
        <f t="shared" si="19"/>
        <v>48675.899999999936</v>
      </c>
      <c r="I1228" t="str">
        <f>IF(Sheet1[[#This Row],[Month_Revenue]] &lt; AVERAGE(Sheet1[Month_Revenue]), "Off-Peak", "Peak")</f>
        <v>Off-Peak</v>
      </c>
      <c r="J1228">
        <f xml:space="preserve"> IF(Sheet1[[#This Row],[Ad Spend]] &gt; 0, (Sheet1[[#This Row],[Profit]] / Sheet1[[#This Row],[Ad Spend]]), 0)</f>
        <v>0.35416666666666657</v>
      </c>
      <c r="K1228">
        <f>Sheet1[[#This Row],[Revenue]]-Sheet1[[#This Row],[Ad Spend]]</f>
        <v>15.299999999999997</v>
      </c>
      <c r="L1228" s="2" t="s">
        <v>22</v>
      </c>
      <c r="M1228">
        <v>2</v>
      </c>
      <c r="N1228" s="2" t="s">
        <v>15</v>
      </c>
      <c r="O1228">
        <v>0</v>
      </c>
    </row>
    <row r="1229" spans="1:15" x14ac:dyDescent="0.3">
      <c r="A1229" s="1">
        <v>45343</v>
      </c>
      <c r="B1229" s="2" t="s">
        <v>24</v>
      </c>
      <c r="C1229" s="2" t="s">
        <v>12</v>
      </c>
      <c r="D1229" s="2" t="s">
        <v>13</v>
      </c>
      <c r="E1229">
        <v>61.56</v>
      </c>
      <c r="F1229">
        <v>39.380000000000003</v>
      </c>
      <c r="G1229">
        <v>1</v>
      </c>
      <c r="H1229">
        <f t="shared" si="19"/>
        <v>48675.899999999936</v>
      </c>
      <c r="I1229" t="str">
        <f>IF(Sheet1[[#This Row],[Month_Revenue]] &lt; AVERAGE(Sheet1[Month_Revenue]), "Off-Peak", "Peak")</f>
        <v>Off-Peak</v>
      </c>
      <c r="J1229">
        <f xml:space="preserve"> IF(Sheet1[[#This Row],[Ad Spend]] &gt; 0, (Sheet1[[#This Row],[Profit]] / Sheet1[[#This Row],[Ad Spend]]), 0)</f>
        <v>0.56323006602336212</v>
      </c>
      <c r="K1229">
        <f>Sheet1[[#This Row],[Revenue]]-Sheet1[[#This Row],[Ad Spend]]</f>
        <v>22.18</v>
      </c>
      <c r="L1229" s="2" t="s">
        <v>22</v>
      </c>
      <c r="M1229">
        <v>2</v>
      </c>
      <c r="N1229" s="2" t="s">
        <v>15</v>
      </c>
      <c r="O1229">
        <v>61.56</v>
      </c>
    </row>
    <row r="1230" spans="1:15" x14ac:dyDescent="0.3">
      <c r="A1230" s="1">
        <v>45362</v>
      </c>
      <c r="B1230" s="2" t="s">
        <v>24</v>
      </c>
      <c r="C1230" s="2" t="s">
        <v>12</v>
      </c>
      <c r="D1230" s="2" t="s">
        <v>18</v>
      </c>
      <c r="E1230">
        <v>119.28</v>
      </c>
      <c r="F1230">
        <v>31.8</v>
      </c>
      <c r="G1230">
        <v>1</v>
      </c>
      <c r="H1230">
        <f t="shared" si="19"/>
        <v>54735.250000000029</v>
      </c>
      <c r="I1230" t="str">
        <f>IF(Sheet1[[#This Row],[Month_Revenue]] &lt; AVERAGE(Sheet1[Month_Revenue]), "Off-Peak", "Peak")</f>
        <v>Off-Peak</v>
      </c>
      <c r="J1230">
        <f xml:space="preserve"> IF(Sheet1[[#This Row],[Ad Spend]] &gt; 0, (Sheet1[[#This Row],[Profit]] / Sheet1[[#This Row],[Ad Spend]]), 0)</f>
        <v>2.7509433962264151</v>
      </c>
      <c r="K1230">
        <f>Sheet1[[#This Row],[Revenue]]-Sheet1[[#This Row],[Ad Spend]]</f>
        <v>87.48</v>
      </c>
      <c r="L1230" s="2" t="s">
        <v>14</v>
      </c>
      <c r="M1230">
        <v>3</v>
      </c>
      <c r="N1230" s="2" t="s">
        <v>19</v>
      </c>
      <c r="O1230">
        <v>119.28</v>
      </c>
    </row>
    <row r="1231" spans="1:15" x14ac:dyDescent="0.3">
      <c r="A1231" s="1">
        <v>45400</v>
      </c>
      <c r="B1231" s="2" t="s">
        <v>20</v>
      </c>
      <c r="C1231" s="2" t="s">
        <v>12</v>
      </c>
      <c r="D1231" s="2" t="s">
        <v>13</v>
      </c>
      <c r="E1231">
        <v>191.38</v>
      </c>
      <c r="F1231">
        <v>43.45</v>
      </c>
      <c r="G1231">
        <v>2</v>
      </c>
      <c r="H1231">
        <f t="shared" si="19"/>
        <v>58562.910000000018</v>
      </c>
      <c r="I1231" t="str">
        <f>IF(Sheet1[[#This Row],[Month_Revenue]] &lt; AVERAGE(Sheet1[Month_Revenue]), "Off-Peak", "Peak")</f>
        <v>Peak</v>
      </c>
      <c r="J1231">
        <f xml:space="preserve"> IF(Sheet1[[#This Row],[Ad Spend]] &gt; 0, (Sheet1[[#This Row],[Profit]] / Sheet1[[#This Row],[Ad Spend]]), 0)</f>
        <v>3.4046029919447642</v>
      </c>
      <c r="K1231">
        <f>Sheet1[[#This Row],[Revenue]]-Sheet1[[#This Row],[Ad Spend]]</f>
        <v>147.93</v>
      </c>
      <c r="L1231" s="2" t="s">
        <v>22</v>
      </c>
      <c r="M1231">
        <v>4</v>
      </c>
      <c r="N1231" s="2" t="s">
        <v>19</v>
      </c>
      <c r="O1231">
        <v>95.69</v>
      </c>
    </row>
    <row r="1232" spans="1:15" x14ac:dyDescent="0.3">
      <c r="A1232" s="1">
        <v>45332</v>
      </c>
      <c r="B1232" s="2" t="s">
        <v>24</v>
      </c>
      <c r="C1232" s="2" t="s">
        <v>17</v>
      </c>
      <c r="D1232" s="2" t="s">
        <v>13</v>
      </c>
      <c r="E1232">
        <v>118.03</v>
      </c>
      <c r="F1232">
        <v>10.220000000000001</v>
      </c>
      <c r="G1232">
        <v>2</v>
      </c>
      <c r="H1232">
        <f t="shared" si="19"/>
        <v>48675.899999999936</v>
      </c>
      <c r="I1232" t="str">
        <f>IF(Sheet1[[#This Row],[Month_Revenue]] &lt; AVERAGE(Sheet1[Month_Revenue]), "Off-Peak", "Peak")</f>
        <v>Off-Peak</v>
      </c>
      <c r="J1232">
        <f xml:space="preserve"> IF(Sheet1[[#This Row],[Ad Spend]] &gt; 0, (Sheet1[[#This Row],[Profit]] / Sheet1[[#This Row],[Ad Spend]]), 0)</f>
        <v>10.548923679060666</v>
      </c>
      <c r="K1232">
        <f>Sheet1[[#This Row],[Revenue]]-Sheet1[[#This Row],[Ad Spend]]</f>
        <v>107.81</v>
      </c>
      <c r="L1232" s="2" t="s">
        <v>14</v>
      </c>
      <c r="M1232">
        <v>2</v>
      </c>
      <c r="N1232" s="2" t="s">
        <v>15</v>
      </c>
      <c r="O1232">
        <v>59.015000000000001</v>
      </c>
    </row>
    <row r="1233" spans="1:15" x14ac:dyDescent="0.3">
      <c r="A1233" s="1">
        <v>45410</v>
      </c>
      <c r="B1233" s="2" t="s">
        <v>16</v>
      </c>
      <c r="C1233" s="2" t="s">
        <v>21</v>
      </c>
      <c r="D1233" s="2" t="s">
        <v>18</v>
      </c>
      <c r="E1233">
        <v>119.89</v>
      </c>
      <c r="F1233">
        <v>28.99</v>
      </c>
      <c r="G1233">
        <v>0</v>
      </c>
      <c r="H1233">
        <f t="shared" si="19"/>
        <v>58562.910000000018</v>
      </c>
      <c r="I1233" t="str">
        <f>IF(Sheet1[[#This Row],[Month_Revenue]] &lt; AVERAGE(Sheet1[Month_Revenue]), "Off-Peak", "Peak")</f>
        <v>Peak</v>
      </c>
      <c r="J1233">
        <f xml:space="preserve"> IF(Sheet1[[#This Row],[Ad Spend]] &gt; 0, (Sheet1[[#This Row],[Profit]] / Sheet1[[#This Row],[Ad Spend]]), 0)</f>
        <v>3.135563987581925</v>
      </c>
      <c r="K1233">
        <f>Sheet1[[#This Row],[Revenue]]-Sheet1[[#This Row],[Ad Spend]]</f>
        <v>90.9</v>
      </c>
      <c r="L1233" s="2" t="s">
        <v>22</v>
      </c>
      <c r="M1233">
        <v>4</v>
      </c>
      <c r="N1233" s="2" t="s">
        <v>19</v>
      </c>
      <c r="O1233">
        <v>0</v>
      </c>
    </row>
    <row r="1234" spans="1:15" x14ac:dyDescent="0.3">
      <c r="A1234" s="1">
        <v>45403</v>
      </c>
      <c r="B1234" s="2" t="s">
        <v>20</v>
      </c>
      <c r="C1234" s="2" t="s">
        <v>17</v>
      </c>
      <c r="D1234" s="2" t="s">
        <v>13</v>
      </c>
      <c r="E1234">
        <v>105.63</v>
      </c>
      <c r="F1234">
        <v>11.46</v>
      </c>
      <c r="G1234">
        <v>3</v>
      </c>
      <c r="H1234">
        <f t="shared" si="19"/>
        <v>58562.910000000018</v>
      </c>
      <c r="I1234" t="str">
        <f>IF(Sheet1[[#This Row],[Month_Revenue]] &lt; AVERAGE(Sheet1[Month_Revenue]), "Off-Peak", "Peak")</f>
        <v>Peak</v>
      </c>
      <c r="J1234">
        <f xml:space="preserve"> IF(Sheet1[[#This Row],[Ad Spend]] &gt; 0, (Sheet1[[#This Row],[Profit]] / Sheet1[[#This Row],[Ad Spend]]), 0)</f>
        <v>8.2172774869109926</v>
      </c>
      <c r="K1234">
        <f>Sheet1[[#This Row],[Revenue]]-Sheet1[[#This Row],[Ad Spend]]</f>
        <v>94.169999999999987</v>
      </c>
      <c r="L1234" s="2" t="s">
        <v>22</v>
      </c>
      <c r="M1234">
        <v>4</v>
      </c>
      <c r="N1234" s="2" t="s">
        <v>19</v>
      </c>
      <c r="O1234">
        <v>35.21</v>
      </c>
    </row>
    <row r="1235" spans="1:15" x14ac:dyDescent="0.3">
      <c r="A1235" s="1">
        <v>45388</v>
      </c>
      <c r="B1235" s="2" t="s">
        <v>16</v>
      </c>
      <c r="C1235" s="2" t="s">
        <v>12</v>
      </c>
      <c r="D1235" s="2" t="s">
        <v>18</v>
      </c>
      <c r="E1235">
        <v>50.67</v>
      </c>
      <c r="F1235">
        <v>24.92</v>
      </c>
      <c r="G1235">
        <v>0</v>
      </c>
      <c r="H1235">
        <f t="shared" si="19"/>
        <v>58562.910000000018</v>
      </c>
      <c r="I1235" t="str">
        <f>IF(Sheet1[[#This Row],[Month_Revenue]] &lt; AVERAGE(Sheet1[Month_Revenue]), "Off-Peak", "Peak")</f>
        <v>Peak</v>
      </c>
      <c r="J1235">
        <f xml:space="preserve"> IF(Sheet1[[#This Row],[Ad Spend]] &gt; 0, (Sheet1[[#This Row],[Profit]] / Sheet1[[#This Row],[Ad Spend]]), 0)</f>
        <v>1.03330658105939</v>
      </c>
      <c r="K1235">
        <f>Sheet1[[#This Row],[Revenue]]-Sheet1[[#This Row],[Ad Spend]]</f>
        <v>25.75</v>
      </c>
      <c r="L1235" s="2" t="s">
        <v>14</v>
      </c>
      <c r="M1235">
        <v>4</v>
      </c>
      <c r="N1235" s="2" t="s">
        <v>19</v>
      </c>
      <c r="O1235">
        <v>0</v>
      </c>
    </row>
    <row r="1236" spans="1:15" x14ac:dyDescent="0.3">
      <c r="A1236" s="1">
        <v>45384</v>
      </c>
      <c r="B1236" s="2" t="s">
        <v>24</v>
      </c>
      <c r="C1236" s="2" t="s">
        <v>12</v>
      </c>
      <c r="D1236" s="2" t="s">
        <v>18</v>
      </c>
      <c r="E1236">
        <v>62.56</v>
      </c>
      <c r="F1236">
        <v>27.29</v>
      </c>
      <c r="G1236">
        <v>2</v>
      </c>
      <c r="H1236">
        <f t="shared" si="19"/>
        <v>58562.910000000018</v>
      </c>
      <c r="I1236" t="str">
        <f>IF(Sheet1[[#This Row],[Month_Revenue]] &lt; AVERAGE(Sheet1[Month_Revenue]), "Off-Peak", "Peak")</f>
        <v>Peak</v>
      </c>
      <c r="J1236">
        <f xml:space="preserve"> IF(Sheet1[[#This Row],[Ad Spend]] &gt; 0, (Sheet1[[#This Row],[Profit]] / Sheet1[[#This Row],[Ad Spend]]), 0)</f>
        <v>1.2924148039574936</v>
      </c>
      <c r="K1236">
        <f>Sheet1[[#This Row],[Revenue]]-Sheet1[[#This Row],[Ad Spend]]</f>
        <v>35.270000000000003</v>
      </c>
      <c r="L1236" s="2" t="s">
        <v>22</v>
      </c>
      <c r="M1236">
        <v>4</v>
      </c>
      <c r="N1236" s="2" t="s">
        <v>19</v>
      </c>
      <c r="O1236">
        <v>31.28</v>
      </c>
    </row>
    <row r="1237" spans="1:15" x14ac:dyDescent="0.3">
      <c r="A1237" s="1">
        <v>45344</v>
      </c>
      <c r="B1237" s="2" t="s">
        <v>11</v>
      </c>
      <c r="C1237" s="2" t="s">
        <v>12</v>
      </c>
      <c r="D1237" s="2" t="s">
        <v>13</v>
      </c>
      <c r="E1237">
        <v>109.22</v>
      </c>
      <c r="F1237">
        <v>46.44</v>
      </c>
      <c r="G1237">
        <v>1</v>
      </c>
      <c r="H1237">
        <f t="shared" si="19"/>
        <v>48675.899999999936</v>
      </c>
      <c r="I1237" t="str">
        <f>IF(Sheet1[[#This Row],[Month_Revenue]] &lt; AVERAGE(Sheet1[Month_Revenue]), "Off-Peak", "Peak")</f>
        <v>Off-Peak</v>
      </c>
      <c r="J1237">
        <f xml:space="preserve"> IF(Sheet1[[#This Row],[Ad Spend]] &gt; 0, (Sheet1[[#This Row],[Profit]] / Sheet1[[#This Row],[Ad Spend]]), 0)</f>
        <v>1.3518518518518519</v>
      </c>
      <c r="K1237">
        <f>Sheet1[[#This Row],[Revenue]]-Sheet1[[#This Row],[Ad Spend]]</f>
        <v>62.78</v>
      </c>
      <c r="L1237" s="2" t="s">
        <v>22</v>
      </c>
      <c r="M1237">
        <v>2</v>
      </c>
      <c r="N1237" s="2" t="s">
        <v>15</v>
      </c>
      <c r="O1237">
        <v>109.22</v>
      </c>
    </row>
    <row r="1238" spans="1:15" x14ac:dyDescent="0.3">
      <c r="A1238" s="1">
        <v>45367</v>
      </c>
      <c r="B1238" s="2" t="s">
        <v>24</v>
      </c>
      <c r="C1238" s="2" t="s">
        <v>21</v>
      </c>
      <c r="D1238" s="2" t="s">
        <v>13</v>
      </c>
      <c r="E1238">
        <v>42.79</v>
      </c>
      <c r="F1238">
        <v>37.11</v>
      </c>
      <c r="G1238">
        <v>3</v>
      </c>
      <c r="H1238">
        <f t="shared" si="19"/>
        <v>54735.250000000029</v>
      </c>
      <c r="I1238" t="str">
        <f>IF(Sheet1[[#This Row],[Month_Revenue]] &lt; AVERAGE(Sheet1[Month_Revenue]), "Off-Peak", "Peak")</f>
        <v>Off-Peak</v>
      </c>
      <c r="J1238">
        <f xml:space="preserve"> IF(Sheet1[[#This Row],[Ad Spend]] &gt; 0, (Sheet1[[#This Row],[Profit]] / Sheet1[[#This Row],[Ad Spend]]), 0)</f>
        <v>0.15305847480463486</v>
      </c>
      <c r="K1238">
        <f>Sheet1[[#This Row],[Revenue]]-Sheet1[[#This Row],[Ad Spend]]</f>
        <v>5.68</v>
      </c>
      <c r="L1238" s="2" t="s">
        <v>22</v>
      </c>
      <c r="M1238">
        <v>3</v>
      </c>
      <c r="N1238" s="2" t="s">
        <v>19</v>
      </c>
      <c r="O1238">
        <v>14.263333333333334</v>
      </c>
    </row>
    <row r="1239" spans="1:15" x14ac:dyDescent="0.3">
      <c r="A1239" s="1">
        <v>45302</v>
      </c>
      <c r="B1239" s="2" t="s">
        <v>24</v>
      </c>
      <c r="C1239" s="2" t="s">
        <v>17</v>
      </c>
      <c r="D1239" s="2" t="s">
        <v>13</v>
      </c>
      <c r="E1239">
        <v>82.74</v>
      </c>
      <c r="F1239">
        <v>45.11</v>
      </c>
      <c r="G1239">
        <v>1</v>
      </c>
      <c r="H1239">
        <f t="shared" si="19"/>
        <v>61207.979999999989</v>
      </c>
      <c r="I1239" t="str">
        <f>IF(Sheet1[[#This Row],[Month_Revenue]] &lt; AVERAGE(Sheet1[Month_Revenue]), "Off-Peak", "Peak")</f>
        <v>Peak</v>
      </c>
      <c r="J1239">
        <f xml:space="preserve"> IF(Sheet1[[#This Row],[Ad Spend]] &gt; 0, (Sheet1[[#This Row],[Profit]] / Sheet1[[#This Row],[Ad Spend]]), 0)</f>
        <v>0.83418310795832395</v>
      </c>
      <c r="K1239">
        <f>Sheet1[[#This Row],[Revenue]]-Sheet1[[#This Row],[Ad Spend]]</f>
        <v>37.629999999999995</v>
      </c>
      <c r="L1239" s="2" t="s">
        <v>14</v>
      </c>
      <c r="M1239">
        <v>1</v>
      </c>
      <c r="N1239" s="2" t="s">
        <v>15</v>
      </c>
      <c r="O1239">
        <v>82.74</v>
      </c>
    </row>
    <row r="1240" spans="1:15" x14ac:dyDescent="0.3">
      <c r="A1240" s="1">
        <v>45378</v>
      </c>
      <c r="B1240" s="2" t="s">
        <v>20</v>
      </c>
      <c r="C1240" s="2" t="s">
        <v>12</v>
      </c>
      <c r="D1240" s="2" t="s">
        <v>13</v>
      </c>
      <c r="E1240">
        <v>192.86</v>
      </c>
      <c r="F1240">
        <v>34.33</v>
      </c>
      <c r="G1240">
        <v>1</v>
      </c>
      <c r="H1240">
        <f t="shared" si="19"/>
        <v>54735.250000000029</v>
      </c>
      <c r="I1240" t="str">
        <f>IF(Sheet1[[#This Row],[Month_Revenue]] &lt; AVERAGE(Sheet1[Month_Revenue]), "Off-Peak", "Peak")</f>
        <v>Off-Peak</v>
      </c>
      <c r="J1240">
        <f xml:space="preserve"> IF(Sheet1[[#This Row],[Ad Spend]] &gt; 0, (Sheet1[[#This Row],[Profit]] / Sheet1[[#This Row],[Ad Spend]]), 0)</f>
        <v>4.6178269734925728</v>
      </c>
      <c r="K1240">
        <f>Sheet1[[#This Row],[Revenue]]-Sheet1[[#This Row],[Ad Spend]]</f>
        <v>158.53000000000003</v>
      </c>
      <c r="L1240" s="2" t="s">
        <v>22</v>
      </c>
      <c r="M1240">
        <v>3</v>
      </c>
      <c r="N1240" s="2" t="s">
        <v>19</v>
      </c>
      <c r="O1240">
        <v>192.86</v>
      </c>
    </row>
    <row r="1241" spans="1:15" x14ac:dyDescent="0.3">
      <c r="A1241" s="1">
        <v>45355</v>
      </c>
      <c r="B1241" s="2" t="s">
        <v>20</v>
      </c>
      <c r="C1241" s="2" t="s">
        <v>12</v>
      </c>
      <c r="D1241" s="2" t="s">
        <v>13</v>
      </c>
      <c r="E1241">
        <v>126.6</v>
      </c>
      <c r="F1241">
        <v>11.92</v>
      </c>
      <c r="G1241">
        <v>3</v>
      </c>
      <c r="H1241">
        <f t="shared" si="19"/>
        <v>54735.250000000029</v>
      </c>
      <c r="I1241" t="str">
        <f>IF(Sheet1[[#This Row],[Month_Revenue]] &lt; AVERAGE(Sheet1[Month_Revenue]), "Off-Peak", "Peak")</f>
        <v>Off-Peak</v>
      </c>
      <c r="J1241">
        <f xml:space="preserve"> IF(Sheet1[[#This Row],[Ad Spend]] &gt; 0, (Sheet1[[#This Row],[Profit]] / Sheet1[[#This Row],[Ad Spend]]), 0)</f>
        <v>9.6208053691275168</v>
      </c>
      <c r="K1241">
        <f>Sheet1[[#This Row],[Revenue]]-Sheet1[[#This Row],[Ad Spend]]</f>
        <v>114.67999999999999</v>
      </c>
      <c r="L1241" s="2" t="s">
        <v>22</v>
      </c>
      <c r="M1241">
        <v>3</v>
      </c>
      <c r="N1241" s="2" t="s">
        <v>19</v>
      </c>
      <c r="O1241">
        <v>42.199999999999996</v>
      </c>
    </row>
    <row r="1242" spans="1:15" x14ac:dyDescent="0.3">
      <c r="A1242" s="1">
        <v>45296</v>
      </c>
      <c r="B1242" s="2" t="s">
        <v>24</v>
      </c>
      <c r="C1242" s="2" t="s">
        <v>12</v>
      </c>
      <c r="D1242" s="2" t="s">
        <v>13</v>
      </c>
      <c r="E1242">
        <v>188.51</v>
      </c>
      <c r="F1242">
        <v>20.49</v>
      </c>
      <c r="G1242">
        <v>1</v>
      </c>
      <c r="H1242">
        <f t="shared" si="19"/>
        <v>61207.979999999989</v>
      </c>
      <c r="I1242" t="str">
        <f>IF(Sheet1[[#This Row],[Month_Revenue]] &lt; AVERAGE(Sheet1[Month_Revenue]), "Off-Peak", "Peak")</f>
        <v>Peak</v>
      </c>
      <c r="J1242">
        <f xml:space="preserve"> IF(Sheet1[[#This Row],[Ad Spend]] &gt; 0, (Sheet1[[#This Row],[Profit]] / Sheet1[[#This Row],[Ad Spend]]), 0)</f>
        <v>8.2000976085895552</v>
      </c>
      <c r="K1242">
        <f>Sheet1[[#This Row],[Revenue]]-Sheet1[[#This Row],[Ad Spend]]</f>
        <v>168.01999999999998</v>
      </c>
      <c r="L1242" s="2" t="s">
        <v>22</v>
      </c>
      <c r="M1242">
        <v>1</v>
      </c>
      <c r="N1242" s="2" t="s">
        <v>15</v>
      </c>
      <c r="O1242">
        <v>188.51</v>
      </c>
    </row>
    <row r="1243" spans="1:15" x14ac:dyDescent="0.3">
      <c r="A1243" s="1">
        <v>45355</v>
      </c>
      <c r="B1243" s="2" t="s">
        <v>24</v>
      </c>
      <c r="C1243" s="2" t="s">
        <v>12</v>
      </c>
      <c r="D1243" s="2" t="s">
        <v>13</v>
      </c>
      <c r="E1243">
        <v>125.2</v>
      </c>
      <c r="F1243">
        <v>35.99</v>
      </c>
      <c r="G1243">
        <v>3</v>
      </c>
      <c r="H1243">
        <f t="shared" si="19"/>
        <v>54735.250000000029</v>
      </c>
      <c r="I1243" t="str">
        <f>IF(Sheet1[[#This Row],[Month_Revenue]] &lt; AVERAGE(Sheet1[Month_Revenue]), "Off-Peak", "Peak")</f>
        <v>Off-Peak</v>
      </c>
      <c r="J1243">
        <f xml:space="preserve"> IF(Sheet1[[#This Row],[Ad Spend]] &gt; 0, (Sheet1[[#This Row],[Profit]] / Sheet1[[#This Row],[Ad Spend]]), 0)</f>
        <v>2.4787440955821061</v>
      </c>
      <c r="K1243">
        <f>Sheet1[[#This Row],[Revenue]]-Sheet1[[#This Row],[Ad Spend]]</f>
        <v>89.210000000000008</v>
      </c>
      <c r="L1243" s="2" t="s">
        <v>14</v>
      </c>
      <c r="M1243">
        <v>3</v>
      </c>
      <c r="N1243" s="2" t="s">
        <v>19</v>
      </c>
      <c r="O1243">
        <v>41.733333333333334</v>
      </c>
    </row>
    <row r="1244" spans="1:15" x14ac:dyDescent="0.3">
      <c r="A1244" s="1">
        <v>45313</v>
      </c>
      <c r="B1244" s="2" t="s">
        <v>23</v>
      </c>
      <c r="C1244" s="2" t="s">
        <v>12</v>
      </c>
      <c r="D1244" s="2" t="s">
        <v>18</v>
      </c>
      <c r="E1244">
        <v>66.16</v>
      </c>
      <c r="F1244">
        <v>10.76</v>
      </c>
      <c r="G1244">
        <v>2</v>
      </c>
      <c r="H1244">
        <f t="shared" si="19"/>
        <v>61207.979999999989</v>
      </c>
      <c r="I1244" t="str">
        <f>IF(Sheet1[[#This Row],[Month_Revenue]] &lt; AVERAGE(Sheet1[Month_Revenue]), "Off-Peak", "Peak")</f>
        <v>Peak</v>
      </c>
      <c r="J1244">
        <f xml:space="preserve"> IF(Sheet1[[#This Row],[Ad Spend]] &gt; 0, (Sheet1[[#This Row],[Profit]] / Sheet1[[#This Row],[Ad Spend]]), 0)</f>
        <v>5.1486988847583639</v>
      </c>
      <c r="K1244">
        <f>Sheet1[[#This Row],[Revenue]]-Sheet1[[#This Row],[Ad Spend]]</f>
        <v>55.4</v>
      </c>
      <c r="L1244" s="2" t="s">
        <v>14</v>
      </c>
      <c r="M1244">
        <v>1</v>
      </c>
      <c r="N1244" s="2" t="s">
        <v>15</v>
      </c>
      <c r="O1244">
        <v>33.08</v>
      </c>
    </row>
    <row r="1245" spans="1:15" x14ac:dyDescent="0.3">
      <c r="A1245" s="1">
        <v>45372</v>
      </c>
      <c r="B1245" s="2" t="s">
        <v>24</v>
      </c>
      <c r="C1245" s="2" t="s">
        <v>21</v>
      </c>
      <c r="D1245" s="2" t="s">
        <v>13</v>
      </c>
      <c r="E1245">
        <v>31.74</v>
      </c>
      <c r="F1245">
        <v>15.98</v>
      </c>
      <c r="G1245">
        <v>2</v>
      </c>
      <c r="H1245">
        <f t="shared" si="19"/>
        <v>54735.250000000029</v>
      </c>
      <c r="I1245" t="str">
        <f>IF(Sheet1[[#This Row],[Month_Revenue]] &lt; AVERAGE(Sheet1[Month_Revenue]), "Off-Peak", "Peak")</f>
        <v>Off-Peak</v>
      </c>
      <c r="J1245">
        <f xml:space="preserve"> IF(Sheet1[[#This Row],[Ad Spend]] &gt; 0, (Sheet1[[#This Row],[Profit]] / Sheet1[[#This Row],[Ad Spend]]), 0)</f>
        <v>0.98623279098873573</v>
      </c>
      <c r="K1245">
        <f>Sheet1[[#This Row],[Revenue]]-Sheet1[[#This Row],[Ad Spend]]</f>
        <v>15.759999999999998</v>
      </c>
      <c r="L1245" s="2" t="s">
        <v>22</v>
      </c>
      <c r="M1245">
        <v>3</v>
      </c>
      <c r="N1245" s="2" t="s">
        <v>19</v>
      </c>
      <c r="O1245">
        <v>15.87</v>
      </c>
    </row>
    <row r="1246" spans="1:15" x14ac:dyDescent="0.3">
      <c r="A1246" s="1">
        <v>45397</v>
      </c>
      <c r="B1246" s="2" t="s">
        <v>20</v>
      </c>
      <c r="C1246" s="2" t="s">
        <v>21</v>
      </c>
      <c r="D1246" s="2" t="s">
        <v>18</v>
      </c>
      <c r="E1246">
        <v>147.09</v>
      </c>
      <c r="F1246">
        <v>20.9</v>
      </c>
      <c r="G1246">
        <v>2</v>
      </c>
      <c r="H1246">
        <f t="shared" si="19"/>
        <v>58562.910000000018</v>
      </c>
      <c r="I1246" t="str">
        <f>IF(Sheet1[[#This Row],[Month_Revenue]] &lt; AVERAGE(Sheet1[Month_Revenue]), "Off-Peak", "Peak")</f>
        <v>Peak</v>
      </c>
      <c r="J1246">
        <f xml:space="preserve"> IF(Sheet1[[#This Row],[Ad Spend]] &gt; 0, (Sheet1[[#This Row],[Profit]] / Sheet1[[#This Row],[Ad Spend]]), 0)</f>
        <v>6.0377990430622015</v>
      </c>
      <c r="K1246">
        <f>Sheet1[[#This Row],[Revenue]]-Sheet1[[#This Row],[Ad Spend]]</f>
        <v>126.19</v>
      </c>
      <c r="L1246" s="2" t="s">
        <v>14</v>
      </c>
      <c r="M1246">
        <v>4</v>
      </c>
      <c r="N1246" s="2" t="s">
        <v>19</v>
      </c>
      <c r="O1246">
        <v>73.545000000000002</v>
      </c>
    </row>
    <row r="1247" spans="1:15" x14ac:dyDescent="0.3">
      <c r="A1247" s="1">
        <v>45318</v>
      </c>
      <c r="B1247" s="2" t="s">
        <v>16</v>
      </c>
      <c r="C1247" s="2" t="s">
        <v>12</v>
      </c>
      <c r="D1247" s="2" t="s">
        <v>18</v>
      </c>
      <c r="E1247">
        <v>106.47</v>
      </c>
      <c r="F1247">
        <v>45.45</v>
      </c>
      <c r="G1247">
        <v>2</v>
      </c>
      <c r="H1247">
        <f t="shared" si="19"/>
        <v>61207.979999999989</v>
      </c>
      <c r="I1247" t="str">
        <f>IF(Sheet1[[#This Row],[Month_Revenue]] &lt; AVERAGE(Sheet1[Month_Revenue]), "Off-Peak", "Peak")</f>
        <v>Peak</v>
      </c>
      <c r="J1247">
        <f xml:space="preserve"> IF(Sheet1[[#This Row],[Ad Spend]] &gt; 0, (Sheet1[[#This Row],[Profit]] / Sheet1[[#This Row],[Ad Spend]]), 0)</f>
        <v>1.3425742574257424</v>
      </c>
      <c r="K1247">
        <f>Sheet1[[#This Row],[Revenue]]-Sheet1[[#This Row],[Ad Spend]]</f>
        <v>61.019999999999996</v>
      </c>
      <c r="L1247" s="2" t="s">
        <v>14</v>
      </c>
      <c r="M1247">
        <v>1</v>
      </c>
      <c r="N1247" s="2" t="s">
        <v>15</v>
      </c>
      <c r="O1247">
        <v>53.234999999999999</v>
      </c>
    </row>
    <row r="1248" spans="1:15" x14ac:dyDescent="0.3">
      <c r="A1248" s="1">
        <v>45300</v>
      </c>
      <c r="B1248" s="2" t="s">
        <v>23</v>
      </c>
      <c r="C1248" s="2" t="s">
        <v>21</v>
      </c>
      <c r="D1248" s="2" t="s">
        <v>13</v>
      </c>
      <c r="E1248">
        <v>179.43</v>
      </c>
      <c r="F1248">
        <v>19.190000000000001</v>
      </c>
      <c r="G1248">
        <v>3</v>
      </c>
      <c r="H1248">
        <f t="shared" si="19"/>
        <v>61207.979999999989</v>
      </c>
      <c r="I1248" t="str">
        <f>IF(Sheet1[[#This Row],[Month_Revenue]] &lt; AVERAGE(Sheet1[Month_Revenue]), "Off-Peak", "Peak")</f>
        <v>Peak</v>
      </c>
      <c r="J1248">
        <f xml:space="preserve"> IF(Sheet1[[#This Row],[Ad Spend]] &gt; 0, (Sheet1[[#This Row],[Profit]] / Sheet1[[#This Row],[Ad Spend]]), 0)</f>
        <v>8.3501823866597178</v>
      </c>
      <c r="K1248">
        <f>Sheet1[[#This Row],[Revenue]]-Sheet1[[#This Row],[Ad Spend]]</f>
        <v>160.24</v>
      </c>
      <c r="L1248" s="2" t="s">
        <v>14</v>
      </c>
      <c r="M1248">
        <v>1</v>
      </c>
      <c r="N1248" s="2" t="s">
        <v>15</v>
      </c>
      <c r="O1248">
        <v>59.81</v>
      </c>
    </row>
    <row r="1249" spans="1:15" x14ac:dyDescent="0.3">
      <c r="A1249" s="1">
        <v>45319</v>
      </c>
      <c r="B1249" s="2" t="s">
        <v>11</v>
      </c>
      <c r="C1249" s="2" t="s">
        <v>17</v>
      </c>
      <c r="D1249" s="2" t="s">
        <v>13</v>
      </c>
      <c r="E1249">
        <v>71.510000000000005</v>
      </c>
      <c r="F1249">
        <v>40.51</v>
      </c>
      <c r="G1249">
        <v>0</v>
      </c>
      <c r="H1249">
        <f t="shared" si="19"/>
        <v>61207.979999999989</v>
      </c>
      <c r="I1249" t="str">
        <f>IF(Sheet1[[#This Row],[Month_Revenue]] &lt; AVERAGE(Sheet1[Month_Revenue]), "Off-Peak", "Peak")</f>
        <v>Peak</v>
      </c>
      <c r="J1249">
        <f xml:space="preserve"> IF(Sheet1[[#This Row],[Ad Spend]] &gt; 0, (Sheet1[[#This Row],[Profit]] / Sheet1[[#This Row],[Ad Spend]]), 0)</f>
        <v>0.765243149839546</v>
      </c>
      <c r="K1249">
        <f>Sheet1[[#This Row],[Revenue]]-Sheet1[[#This Row],[Ad Spend]]</f>
        <v>31.000000000000007</v>
      </c>
      <c r="L1249" s="2" t="s">
        <v>14</v>
      </c>
      <c r="M1249">
        <v>1</v>
      </c>
      <c r="N1249" s="2" t="s">
        <v>15</v>
      </c>
      <c r="O1249">
        <v>0</v>
      </c>
    </row>
    <row r="1250" spans="1:15" x14ac:dyDescent="0.3">
      <c r="A1250" s="1">
        <v>45393</v>
      </c>
      <c r="B1250" s="2" t="s">
        <v>16</v>
      </c>
      <c r="C1250" s="2" t="s">
        <v>21</v>
      </c>
      <c r="D1250" s="2" t="s">
        <v>18</v>
      </c>
      <c r="E1250">
        <v>162.74</v>
      </c>
      <c r="F1250">
        <v>38.17</v>
      </c>
      <c r="G1250">
        <v>3</v>
      </c>
      <c r="H1250">
        <f t="shared" si="19"/>
        <v>58562.910000000018</v>
      </c>
      <c r="I1250" t="str">
        <f>IF(Sheet1[[#This Row],[Month_Revenue]] &lt; AVERAGE(Sheet1[Month_Revenue]), "Off-Peak", "Peak")</f>
        <v>Peak</v>
      </c>
      <c r="J1250">
        <f xml:space="preserve"> IF(Sheet1[[#This Row],[Ad Spend]] &gt; 0, (Sheet1[[#This Row],[Profit]] / Sheet1[[#This Row],[Ad Spend]]), 0)</f>
        <v>3.2635577678805343</v>
      </c>
      <c r="K1250">
        <f>Sheet1[[#This Row],[Revenue]]-Sheet1[[#This Row],[Ad Spend]]</f>
        <v>124.57000000000001</v>
      </c>
      <c r="L1250" s="2" t="s">
        <v>14</v>
      </c>
      <c r="M1250">
        <v>4</v>
      </c>
      <c r="N1250" s="2" t="s">
        <v>19</v>
      </c>
      <c r="O1250">
        <v>54.24666666666667</v>
      </c>
    </row>
    <row r="1251" spans="1:15" x14ac:dyDescent="0.3">
      <c r="A1251" s="1">
        <v>45410</v>
      </c>
      <c r="B1251" s="2" t="s">
        <v>24</v>
      </c>
      <c r="C1251" s="2" t="s">
        <v>17</v>
      </c>
      <c r="D1251" s="2" t="s">
        <v>13</v>
      </c>
      <c r="E1251">
        <v>155.58000000000001</v>
      </c>
      <c r="F1251">
        <v>35.909999999999997</v>
      </c>
      <c r="G1251">
        <v>3</v>
      </c>
      <c r="H1251">
        <f t="shared" si="19"/>
        <v>58562.910000000018</v>
      </c>
      <c r="I1251" t="str">
        <f>IF(Sheet1[[#This Row],[Month_Revenue]] &lt; AVERAGE(Sheet1[Month_Revenue]), "Off-Peak", "Peak")</f>
        <v>Peak</v>
      </c>
      <c r="J1251">
        <f xml:space="preserve"> IF(Sheet1[[#This Row],[Ad Spend]] &gt; 0, (Sheet1[[#This Row],[Profit]] / Sheet1[[#This Row],[Ad Spend]]), 0)</f>
        <v>3.3324979114452806</v>
      </c>
      <c r="K1251">
        <f>Sheet1[[#This Row],[Revenue]]-Sheet1[[#This Row],[Ad Spend]]</f>
        <v>119.67000000000002</v>
      </c>
      <c r="L1251" s="2" t="s">
        <v>22</v>
      </c>
      <c r="M1251">
        <v>4</v>
      </c>
      <c r="N1251" s="2" t="s">
        <v>19</v>
      </c>
      <c r="O1251">
        <v>51.860000000000007</v>
      </c>
    </row>
    <row r="1252" spans="1:15" x14ac:dyDescent="0.3">
      <c r="A1252" s="1">
        <v>45396</v>
      </c>
      <c r="B1252" s="2" t="s">
        <v>11</v>
      </c>
      <c r="C1252" s="2" t="s">
        <v>21</v>
      </c>
      <c r="D1252" s="2" t="s">
        <v>18</v>
      </c>
      <c r="E1252">
        <v>48.16</v>
      </c>
      <c r="F1252">
        <v>28.31</v>
      </c>
      <c r="G1252">
        <v>1</v>
      </c>
      <c r="H1252">
        <f t="shared" si="19"/>
        <v>58562.910000000018</v>
      </c>
      <c r="I1252" t="str">
        <f>IF(Sheet1[[#This Row],[Month_Revenue]] &lt; AVERAGE(Sheet1[Month_Revenue]), "Off-Peak", "Peak")</f>
        <v>Peak</v>
      </c>
      <c r="J1252">
        <f xml:space="preserve"> IF(Sheet1[[#This Row],[Ad Spend]] &gt; 0, (Sheet1[[#This Row],[Profit]] / Sheet1[[#This Row],[Ad Spend]]), 0)</f>
        <v>0.70116566584245843</v>
      </c>
      <c r="K1252">
        <f>Sheet1[[#This Row],[Revenue]]-Sheet1[[#This Row],[Ad Spend]]</f>
        <v>19.849999999999998</v>
      </c>
      <c r="L1252" s="2" t="s">
        <v>22</v>
      </c>
      <c r="M1252">
        <v>4</v>
      </c>
      <c r="N1252" s="2" t="s">
        <v>19</v>
      </c>
      <c r="O1252">
        <v>48.16</v>
      </c>
    </row>
    <row r="1253" spans="1:15" x14ac:dyDescent="0.3">
      <c r="A1253" s="1">
        <v>45344</v>
      </c>
      <c r="B1253" s="2" t="s">
        <v>11</v>
      </c>
      <c r="C1253" s="2" t="s">
        <v>17</v>
      </c>
      <c r="D1253" s="2" t="s">
        <v>18</v>
      </c>
      <c r="E1253">
        <v>118.66</v>
      </c>
      <c r="F1253">
        <v>48.02</v>
      </c>
      <c r="G1253">
        <v>3</v>
      </c>
      <c r="H1253">
        <f t="shared" si="19"/>
        <v>48675.899999999936</v>
      </c>
      <c r="I1253" t="str">
        <f>IF(Sheet1[[#This Row],[Month_Revenue]] &lt; AVERAGE(Sheet1[Month_Revenue]), "Off-Peak", "Peak")</f>
        <v>Off-Peak</v>
      </c>
      <c r="J1253">
        <f xml:space="preserve"> IF(Sheet1[[#This Row],[Ad Spend]] &gt; 0, (Sheet1[[#This Row],[Profit]] / Sheet1[[#This Row],[Ad Spend]]), 0)</f>
        <v>1.4710537276134941</v>
      </c>
      <c r="K1253">
        <f>Sheet1[[#This Row],[Revenue]]-Sheet1[[#This Row],[Ad Spend]]</f>
        <v>70.639999999999986</v>
      </c>
      <c r="L1253" s="2" t="s">
        <v>14</v>
      </c>
      <c r="M1253">
        <v>2</v>
      </c>
      <c r="N1253" s="2" t="s">
        <v>15</v>
      </c>
      <c r="O1253">
        <v>39.553333333333335</v>
      </c>
    </row>
    <row r="1254" spans="1:15" x14ac:dyDescent="0.3">
      <c r="A1254" s="1">
        <v>45379</v>
      </c>
      <c r="B1254" s="2" t="s">
        <v>24</v>
      </c>
      <c r="C1254" s="2" t="s">
        <v>21</v>
      </c>
      <c r="D1254" s="2" t="s">
        <v>13</v>
      </c>
      <c r="E1254">
        <v>63.55</v>
      </c>
      <c r="F1254">
        <v>30.04</v>
      </c>
      <c r="G1254">
        <v>0</v>
      </c>
      <c r="H1254">
        <f t="shared" si="19"/>
        <v>54735.250000000029</v>
      </c>
      <c r="I1254" t="str">
        <f>IF(Sheet1[[#This Row],[Month_Revenue]] &lt; AVERAGE(Sheet1[Month_Revenue]), "Off-Peak", "Peak")</f>
        <v>Off-Peak</v>
      </c>
      <c r="J1254">
        <f xml:space="preserve"> IF(Sheet1[[#This Row],[Ad Spend]] &gt; 0, (Sheet1[[#This Row],[Profit]] / Sheet1[[#This Row],[Ad Spend]]), 0)</f>
        <v>1.1155126498002663</v>
      </c>
      <c r="K1254">
        <f>Sheet1[[#This Row],[Revenue]]-Sheet1[[#This Row],[Ad Spend]]</f>
        <v>33.51</v>
      </c>
      <c r="L1254" s="2" t="s">
        <v>22</v>
      </c>
      <c r="M1254">
        <v>3</v>
      </c>
      <c r="N1254" s="2" t="s">
        <v>19</v>
      </c>
      <c r="O1254">
        <v>0</v>
      </c>
    </row>
    <row r="1255" spans="1:15" x14ac:dyDescent="0.3">
      <c r="A1255" s="1">
        <v>45368</v>
      </c>
      <c r="B1255" s="2" t="s">
        <v>24</v>
      </c>
      <c r="C1255" s="2" t="s">
        <v>12</v>
      </c>
      <c r="D1255" s="2" t="s">
        <v>13</v>
      </c>
      <c r="E1255">
        <v>47.94</v>
      </c>
      <c r="F1255">
        <v>46.61</v>
      </c>
      <c r="G1255">
        <v>1</v>
      </c>
      <c r="H1255">
        <f t="shared" si="19"/>
        <v>54735.250000000029</v>
      </c>
      <c r="I1255" t="str">
        <f>IF(Sheet1[[#This Row],[Month_Revenue]] &lt; AVERAGE(Sheet1[Month_Revenue]), "Off-Peak", "Peak")</f>
        <v>Off-Peak</v>
      </c>
      <c r="J1255">
        <f xml:space="preserve"> IF(Sheet1[[#This Row],[Ad Spend]] &gt; 0, (Sheet1[[#This Row],[Profit]] / Sheet1[[#This Row],[Ad Spend]]), 0)</f>
        <v>2.8534649216906207E-2</v>
      </c>
      <c r="K1255">
        <f>Sheet1[[#This Row],[Revenue]]-Sheet1[[#This Row],[Ad Spend]]</f>
        <v>1.3299999999999983</v>
      </c>
      <c r="L1255" s="2" t="s">
        <v>22</v>
      </c>
      <c r="M1255">
        <v>3</v>
      </c>
      <c r="N1255" s="2" t="s">
        <v>19</v>
      </c>
      <c r="O1255">
        <v>47.94</v>
      </c>
    </row>
    <row r="1256" spans="1:15" x14ac:dyDescent="0.3">
      <c r="A1256" s="1">
        <v>45343</v>
      </c>
      <c r="B1256" s="2" t="s">
        <v>20</v>
      </c>
      <c r="C1256" s="2" t="s">
        <v>12</v>
      </c>
      <c r="D1256" s="2" t="s">
        <v>13</v>
      </c>
      <c r="E1256">
        <v>105.86</v>
      </c>
      <c r="F1256">
        <v>5.95</v>
      </c>
      <c r="G1256">
        <v>3</v>
      </c>
      <c r="H1256">
        <f t="shared" si="19"/>
        <v>48675.899999999936</v>
      </c>
      <c r="I1256" t="str">
        <f>IF(Sheet1[[#This Row],[Month_Revenue]] &lt; AVERAGE(Sheet1[Month_Revenue]), "Off-Peak", "Peak")</f>
        <v>Off-Peak</v>
      </c>
      <c r="J1256">
        <f xml:space="preserve"> IF(Sheet1[[#This Row],[Ad Spend]] &gt; 0, (Sheet1[[#This Row],[Profit]] / Sheet1[[#This Row],[Ad Spend]]), 0)</f>
        <v>16.791596638655459</v>
      </c>
      <c r="K1256">
        <f>Sheet1[[#This Row],[Revenue]]-Sheet1[[#This Row],[Ad Spend]]</f>
        <v>99.91</v>
      </c>
      <c r="L1256" s="2" t="s">
        <v>14</v>
      </c>
      <c r="M1256">
        <v>2</v>
      </c>
      <c r="N1256" s="2" t="s">
        <v>15</v>
      </c>
      <c r="O1256">
        <v>35.286666666666669</v>
      </c>
    </row>
    <row r="1257" spans="1:15" x14ac:dyDescent="0.3">
      <c r="A1257" s="1">
        <v>45386</v>
      </c>
      <c r="B1257" s="2" t="s">
        <v>23</v>
      </c>
      <c r="C1257" s="2" t="s">
        <v>17</v>
      </c>
      <c r="D1257" s="2" t="s">
        <v>18</v>
      </c>
      <c r="E1257">
        <v>156.22999999999999</v>
      </c>
      <c r="F1257">
        <v>17.46</v>
      </c>
      <c r="G1257">
        <v>3</v>
      </c>
      <c r="H1257">
        <f t="shared" si="19"/>
        <v>58562.910000000018</v>
      </c>
      <c r="I1257" t="str">
        <f>IF(Sheet1[[#This Row],[Month_Revenue]] &lt; AVERAGE(Sheet1[Month_Revenue]), "Off-Peak", "Peak")</f>
        <v>Peak</v>
      </c>
      <c r="J1257">
        <f xml:space="preserve"> IF(Sheet1[[#This Row],[Ad Spend]] &gt; 0, (Sheet1[[#This Row],[Profit]] / Sheet1[[#This Row],[Ad Spend]]), 0)</f>
        <v>7.9478808705612813</v>
      </c>
      <c r="K1257">
        <f>Sheet1[[#This Row],[Revenue]]-Sheet1[[#This Row],[Ad Spend]]</f>
        <v>138.76999999999998</v>
      </c>
      <c r="L1257" s="2" t="s">
        <v>22</v>
      </c>
      <c r="M1257">
        <v>4</v>
      </c>
      <c r="N1257" s="2" t="s">
        <v>19</v>
      </c>
      <c r="O1257">
        <v>52.076666666666661</v>
      </c>
    </row>
    <row r="1258" spans="1:15" x14ac:dyDescent="0.3">
      <c r="A1258" s="1">
        <v>45382</v>
      </c>
      <c r="B1258" s="2" t="s">
        <v>24</v>
      </c>
      <c r="C1258" s="2" t="s">
        <v>12</v>
      </c>
      <c r="D1258" s="2" t="s">
        <v>13</v>
      </c>
      <c r="E1258">
        <v>160.78</v>
      </c>
      <c r="F1258">
        <v>13.57</v>
      </c>
      <c r="G1258">
        <v>0</v>
      </c>
      <c r="H1258">
        <f t="shared" si="19"/>
        <v>54735.250000000029</v>
      </c>
      <c r="I1258" t="str">
        <f>IF(Sheet1[[#This Row],[Month_Revenue]] &lt; AVERAGE(Sheet1[Month_Revenue]), "Off-Peak", "Peak")</f>
        <v>Off-Peak</v>
      </c>
      <c r="J1258">
        <f xml:space="preserve"> IF(Sheet1[[#This Row],[Ad Spend]] &gt; 0, (Sheet1[[#This Row],[Profit]] / Sheet1[[#This Row],[Ad Spend]]), 0)</f>
        <v>10.848194546794399</v>
      </c>
      <c r="K1258">
        <f>Sheet1[[#This Row],[Revenue]]-Sheet1[[#This Row],[Ad Spend]]</f>
        <v>147.21</v>
      </c>
      <c r="L1258" s="2" t="s">
        <v>22</v>
      </c>
      <c r="M1258">
        <v>3</v>
      </c>
      <c r="N1258" s="2" t="s">
        <v>19</v>
      </c>
      <c r="O1258">
        <v>0</v>
      </c>
    </row>
    <row r="1259" spans="1:15" x14ac:dyDescent="0.3">
      <c r="A1259" s="1">
        <v>45404</v>
      </c>
      <c r="B1259" s="2" t="s">
        <v>24</v>
      </c>
      <c r="C1259" s="2" t="s">
        <v>12</v>
      </c>
      <c r="D1259" s="2" t="s">
        <v>13</v>
      </c>
      <c r="E1259">
        <v>35.049999999999997</v>
      </c>
      <c r="F1259">
        <v>37.51</v>
      </c>
      <c r="G1259">
        <v>2</v>
      </c>
      <c r="H1259">
        <f t="shared" si="19"/>
        <v>58562.910000000018</v>
      </c>
      <c r="I1259" t="str">
        <f>IF(Sheet1[[#This Row],[Month_Revenue]] &lt; AVERAGE(Sheet1[Month_Revenue]), "Off-Peak", "Peak")</f>
        <v>Peak</v>
      </c>
      <c r="J1259">
        <f xml:space="preserve"> IF(Sheet1[[#This Row],[Ad Spend]] &gt; 0, (Sheet1[[#This Row],[Profit]] / Sheet1[[#This Row],[Ad Spend]]), 0)</f>
        <v>-6.5582511330311941E-2</v>
      </c>
      <c r="K1259">
        <f>Sheet1[[#This Row],[Revenue]]-Sheet1[[#This Row],[Ad Spend]]</f>
        <v>-2.4600000000000009</v>
      </c>
      <c r="L1259" s="2" t="s">
        <v>22</v>
      </c>
      <c r="M1259">
        <v>4</v>
      </c>
      <c r="N1259" s="2" t="s">
        <v>19</v>
      </c>
      <c r="O1259">
        <v>17.524999999999999</v>
      </c>
    </row>
    <row r="1260" spans="1:15" x14ac:dyDescent="0.3">
      <c r="A1260" s="1">
        <v>45307</v>
      </c>
      <c r="B1260" s="2" t="s">
        <v>24</v>
      </c>
      <c r="C1260" s="2" t="s">
        <v>17</v>
      </c>
      <c r="D1260" s="2" t="s">
        <v>13</v>
      </c>
      <c r="E1260">
        <v>49.71</v>
      </c>
      <c r="F1260">
        <v>46.02</v>
      </c>
      <c r="G1260">
        <v>0</v>
      </c>
      <c r="H1260">
        <f t="shared" si="19"/>
        <v>61207.979999999989</v>
      </c>
      <c r="I1260" t="str">
        <f>IF(Sheet1[[#This Row],[Month_Revenue]] &lt; AVERAGE(Sheet1[Month_Revenue]), "Off-Peak", "Peak")</f>
        <v>Peak</v>
      </c>
      <c r="J1260">
        <f xml:space="preserve"> IF(Sheet1[[#This Row],[Ad Spend]] &gt; 0, (Sheet1[[#This Row],[Profit]] / Sheet1[[#This Row],[Ad Spend]]), 0)</f>
        <v>8.0182529335071653E-2</v>
      </c>
      <c r="K1260">
        <f>Sheet1[[#This Row],[Revenue]]-Sheet1[[#This Row],[Ad Spend]]</f>
        <v>3.6899999999999977</v>
      </c>
      <c r="L1260" s="2" t="s">
        <v>22</v>
      </c>
      <c r="M1260">
        <v>1</v>
      </c>
      <c r="N1260" s="2" t="s">
        <v>15</v>
      </c>
      <c r="O1260">
        <v>0</v>
      </c>
    </row>
    <row r="1261" spans="1:15" x14ac:dyDescent="0.3">
      <c r="A1261" s="1">
        <v>45407</v>
      </c>
      <c r="B1261" s="2" t="s">
        <v>20</v>
      </c>
      <c r="C1261" s="2" t="s">
        <v>21</v>
      </c>
      <c r="D1261" s="2" t="s">
        <v>13</v>
      </c>
      <c r="E1261">
        <v>54.75</v>
      </c>
      <c r="F1261">
        <v>37.78</v>
      </c>
      <c r="G1261">
        <v>0</v>
      </c>
      <c r="H1261">
        <f t="shared" si="19"/>
        <v>58562.910000000018</v>
      </c>
      <c r="I1261" t="str">
        <f>IF(Sheet1[[#This Row],[Month_Revenue]] &lt; AVERAGE(Sheet1[Month_Revenue]), "Off-Peak", "Peak")</f>
        <v>Peak</v>
      </c>
      <c r="J1261">
        <f xml:space="preserve"> IF(Sheet1[[#This Row],[Ad Spend]] &gt; 0, (Sheet1[[#This Row],[Profit]] / Sheet1[[#This Row],[Ad Spend]]), 0)</f>
        <v>0.44917946003176279</v>
      </c>
      <c r="K1261">
        <f>Sheet1[[#This Row],[Revenue]]-Sheet1[[#This Row],[Ad Spend]]</f>
        <v>16.97</v>
      </c>
      <c r="L1261" s="2" t="s">
        <v>22</v>
      </c>
      <c r="M1261">
        <v>4</v>
      </c>
      <c r="N1261" s="2" t="s">
        <v>19</v>
      </c>
      <c r="O1261">
        <v>0</v>
      </c>
    </row>
    <row r="1262" spans="1:15" x14ac:dyDescent="0.3">
      <c r="A1262" s="1">
        <v>45302</v>
      </c>
      <c r="B1262" s="2" t="s">
        <v>24</v>
      </c>
      <c r="C1262" s="2" t="s">
        <v>21</v>
      </c>
      <c r="D1262" s="2" t="s">
        <v>13</v>
      </c>
      <c r="E1262">
        <v>125.19</v>
      </c>
      <c r="F1262">
        <v>48.71</v>
      </c>
      <c r="G1262">
        <v>3</v>
      </c>
      <c r="H1262">
        <f t="shared" si="19"/>
        <v>61207.979999999989</v>
      </c>
      <c r="I1262" t="str">
        <f>IF(Sheet1[[#This Row],[Month_Revenue]] &lt; AVERAGE(Sheet1[Month_Revenue]), "Off-Peak", "Peak")</f>
        <v>Peak</v>
      </c>
      <c r="J1262">
        <f xml:space="preserve"> IF(Sheet1[[#This Row],[Ad Spend]] &gt; 0, (Sheet1[[#This Row],[Profit]] / Sheet1[[#This Row],[Ad Spend]]), 0)</f>
        <v>1.570108807226442</v>
      </c>
      <c r="K1262">
        <f>Sheet1[[#This Row],[Revenue]]-Sheet1[[#This Row],[Ad Spend]]</f>
        <v>76.47999999999999</v>
      </c>
      <c r="L1262" s="2" t="s">
        <v>22</v>
      </c>
      <c r="M1262">
        <v>1</v>
      </c>
      <c r="N1262" s="2" t="s">
        <v>15</v>
      </c>
      <c r="O1262">
        <v>41.73</v>
      </c>
    </row>
    <row r="1263" spans="1:15" x14ac:dyDescent="0.3">
      <c r="A1263" s="1">
        <v>45394</v>
      </c>
      <c r="B1263" s="2" t="s">
        <v>11</v>
      </c>
      <c r="C1263" s="2" t="s">
        <v>21</v>
      </c>
      <c r="D1263" s="2" t="s">
        <v>13</v>
      </c>
      <c r="E1263">
        <v>180.58</v>
      </c>
      <c r="F1263">
        <v>49.25</v>
      </c>
      <c r="G1263">
        <v>3</v>
      </c>
      <c r="H1263">
        <f t="shared" si="19"/>
        <v>58562.910000000018</v>
      </c>
      <c r="I1263" t="str">
        <f>IF(Sheet1[[#This Row],[Month_Revenue]] &lt; AVERAGE(Sheet1[Month_Revenue]), "Off-Peak", "Peak")</f>
        <v>Peak</v>
      </c>
      <c r="J1263">
        <f xml:space="preserve"> IF(Sheet1[[#This Row],[Ad Spend]] &gt; 0, (Sheet1[[#This Row],[Profit]] / Sheet1[[#This Row],[Ad Spend]]), 0)</f>
        <v>2.6665989847715736</v>
      </c>
      <c r="K1263">
        <f>Sheet1[[#This Row],[Revenue]]-Sheet1[[#This Row],[Ad Spend]]</f>
        <v>131.33000000000001</v>
      </c>
      <c r="L1263" s="2" t="s">
        <v>22</v>
      </c>
      <c r="M1263">
        <v>4</v>
      </c>
      <c r="N1263" s="2" t="s">
        <v>19</v>
      </c>
      <c r="O1263">
        <v>60.193333333333335</v>
      </c>
    </row>
    <row r="1264" spans="1:15" x14ac:dyDescent="0.3">
      <c r="A1264" s="1">
        <v>45383</v>
      </c>
      <c r="B1264" s="2" t="s">
        <v>24</v>
      </c>
      <c r="C1264" s="2" t="s">
        <v>21</v>
      </c>
      <c r="D1264" s="2" t="s">
        <v>13</v>
      </c>
      <c r="E1264">
        <v>146.62</v>
      </c>
      <c r="F1264">
        <v>5.74</v>
      </c>
      <c r="G1264">
        <v>3</v>
      </c>
      <c r="H1264">
        <f t="shared" si="19"/>
        <v>58562.910000000018</v>
      </c>
      <c r="I1264" t="str">
        <f>IF(Sheet1[[#This Row],[Month_Revenue]] &lt; AVERAGE(Sheet1[Month_Revenue]), "Off-Peak", "Peak")</f>
        <v>Peak</v>
      </c>
      <c r="J1264">
        <f xml:space="preserve"> IF(Sheet1[[#This Row],[Ad Spend]] &gt; 0, (Sheet1[[#This Row],[Profit]] / Sheet1[[#This Row],[Ad Spend]]), 0)</f>
        <v>24.543554006968641</v>
      </c>
      <c r="K1264">
        <f>Sheet1[[#This Row],[Revenue]]-Sheet1[[#This Row],[Ad Spend]]</f>
        <v>140.88</v>
      </c>
      <c r="L1264" s="2" t="s">
        <v>22</v>
      </c>
      <c r="M1264">
        <v>4</v>
      </c>
      <c r="N1264" s="2" t="s">
        <v>19</v>
      </c>
      <c r="O1264">
        <v>48.873333333333335</v>
      </c>
    </row>
    <row r="1265" spans="1:15" x14ac:dyDescent="0.3">
      <c r="A1265" s="1">
        <v>45332</v>
      </c>
      <c r="B1265" s="2" t="s">
        <v>23</v>
      </c>
      <c r="C1265" s="2" t="s">
        <v>17</v>
      </c>
      <c r="D1265" s="2" t="s">
        <v>18</v>
      </c>
      <c r="E1265">
        <v>60.28</v>
      </c>
      <c r="F1265">
        <v>40.630000000000003</v>
      </c>
      <c r="G1265">
        <v>0</v>
      </c>
      <c r="H1265">
        <f t="shared" si="19"/>
        <v>48675.899999999936</v>
      </c>
      <c r="I1265" t="str">
        <f>IF(Sheet1[[#This Row],[Month_Revenue]] &lt; AVERAGE(Sheet1[Month_Revenue]), "Off-Peak", "Peak")</f>
        <v>Off-Peak</v>
      </c>
      <c r="J1265">
        <f xml:space="preserve"> IF(Sheet1[[#This Row],[Ad Spend]] &gt; 0, (Sheet1[[#This Row],[Profit]] / Sheet1[[#This Row],[Ad Spend]]), 0)</f>
        <v>0.48363278365739593</v>
      </c>
      <c r="K1265">
        <f>Sheet1[[#This Row],[Revenue]]-Sheet1[[#This Row],[Ad Spend]]</f>
        <v>19.649999999999999</v>
      </c>
      <c r="L1265" s="2" t="s">
        <v>22</v>
      </c>
      <c r="M1265">
        <v>2</v>
      </c>
      <c r="N1265" s="2" t="s">
        <v>15</v>
      </c>
      <c r="O1265">
        <v>0</v>
      </c>
    </row>
    <row r="1266" spans="1:15" x14ac:dyDescent="0.3">
      <c r="A1266" s="1">
        <v>45300</v>
      </c>
      <c r="B1266" s="2" t="s">
        <v>24</v>
      </c>
      <c r="C1266" s="2" t="s">
        <v>21</v>
      </c>
      <c r="D1266" s="2" t="s">
        <v>18</v>
      </c>
      <c r="E1266">
        <v>151.44</v>
      </c>
      <c r="F1266">
        <v>2.87</v>
      </c>
      <c r="G1266">
        <v>1</v>
      </c>
      <c r="H1266">
        <f t="shared" si="19"/>
        <v>61207.979999999989</v>
      </c>
      <c r="I1266" t="str">
        <f>IF(Sheet1[[#This Row],[Month_Revenue]] &lt; AVERAGE(Sheet1[Month_Revenue]), "Off-Peak", "Peak")</f>
        <v>Peak</v>
      </c>
      <c r="J1266">
        <f xml:space="preserve"> IF(Sheet1[[#This Row],[Ad Spend]] &gt; 0, (Sheet1[[#This Row],[Profit]] / Sheet1[[#This Row],[Ad Spend]]), 0)</f>
        <v>51.766550522648082</v>
      </c>
      <c r="K1266">
        <f>Sheet1[[#This Row],[Revenue]]-Sheet1[[#This Row],[Ad Spend]]</f>
        <v>148.57</v>
      </c>
      <c r="L1266" s="2" t="s">
        <v>22</v>
      </c>
      <c r="M1266">
        <v>1</v>
      </c>
      <c r="N1266" s="2" t="s">
        <v>15</v>
      </c>
      <c r="O1266">
        <v>151.44</v>
      </c>
    </row>
    <row r="1267" spans="1:15" x14ac:dyDescent="0.3">
      <c r="A1267" s="1">
        <v>45358</v>
      </c>
      <c r="B1267" s="2" t="s">
        <v>16</v>
      </c>
      <c r="C1267" s="2" t="s">
        <v>17</v>
      </c>
      <c r="D1267" s="2" t="s">
        <v>18</v>
      </c>
      <c r="E1267">
        <v>165.65</v>
      </c>
      <c r="F1267">
        <v>23.87</v>
      </c>
      <c r="G1267">
        <v>1</v>
      </c>
      <c r="H1267">
        <f t="shared" si="19"/>
        <v>54735.250000000029</v>
      </c>
      <c r="I1267" t="str">
        <f>IF(Sheet1[[#This Row],[Month_Revenue]] &lt; AVERAGE(Sheet1[Month_Revenue]), "Off-Peak", "Peak")</f>
        <v>Off-Peak</v>
      </c>
      <c r="J1267">
        <f xml:space="preserve"> IF(Sheet1[[#This Row],[Ad Spend]] &gt; 0, (Sheet1[[#This Row],[Profit]] / Sheet1[[#This Row],[Ad Spend]]), 0)</f>
        <v>5.9396732299958108</v>
      </c>
      <c r="K1267">
        <f>Sheet1[[#This Row],[Revenue]]-Sheet1[[#This Row],[Ad Spend]]</f>
        <v>141.78</v>
      </c>
      <c r="L1267" s="2" t="s">
        <v>14</v>
      </c>
      <c r="M1267">
        <v>3</v>
      </c>
      <c r="N1267" s="2" t="s">
        <v>19</v>
      </c>
      <c r="O1267">
        <v>165.65</v>
      </c>
    </row>
    <row r="1268" spans="1:15" x14ac:dyDescent="0.3">
      <c r="A1268" s="1">
        <v>45377</v>
      </c>
      <c r="B1268" s="2" t="s">
        <v>23</v>
      </c>
      <c r="C1268" s="2" t="s">
        <v>21</v>
      </c>
      <c r="D1268" s="2" t="s">
        <v>13</v>
      </c>
      <c r="E1268">
        <v>161.79</v>
      </c>
      <c r="F1268">
        <v>45.37</v>
      </c>
      <c r="G1268">
        <v>2</v>
      </c>
      <c r="H1268">
        <f t="shared" si="19"/>
        <v>54735.250000000029</v>
      </c>
      <c r="I1268" t="str">
        <f>IF(Sheet1[[#This Row],[Month_Revenue]] &lt; AVERAGE(Sheet1[Month_Revenue]), "Off-Peak", "Peak")</f>
        <v>Off-Peak</v>
      </c>
      <c r="J1268">
        <f xml:space="preserve"> IF(Sheet1[[#This Row],[Ad Spend]] &gt; 0, (Sheet1[[#This Row],[Profit]] / Sheet1[[#This Row],[Ad Spend]]), 0)</f>
        <v>2.5660127837778268</v>
      </c>
      <c r="K1268">
        <f>Sheet1[[#This Row],[Revenue]]-Sheet1[[#This Row],[Ad Spend]]</f>
        <v>116.41999999999999</v>
      </c>
      <c r="L1268" s="2" t="s">
        <v>14</v>
      </c>
      <c r="M1268">
        <v>3</v>
      </c>
      <c r="N1268" s="2" t="s">
        <v>19</v>
      </c>
      <c r="O1268">
        <v>80.894999999999996</v>
      </c>
    </row>
    <row r="1269" spans="1:15" x14ac:dyDescent="0.3">
      <c r="A1269" s="1">
        <v>45324</v>
      </c>
      <c r="B1269" s="2" t="s">
        <v>16</v>
      </c>
      <c r="C1269" s="2" t="s">
        <v>17</v>
      </c>
      <c r="D1269" s="2" t="s">
        <v>13</v>
      </c>
      <c r="E1269">
        <v>115.65</v>
      </c>
      <c r="F1269">
        <v>26.52</v>
      </c>
      <c r="G1269">
        <v>3</v>
      </c>
      <c r="H1269">
        <f t="shared" si="19"/>
        <v>48675.899999999936</v>
      </c>
      <c r="I1269" t="str">
        <f>IF(Sheet1[[#This Row],[Month_Revenue]] &lt; AVERAGE(Sheet1[Month_Revenue]), "Off-Peak", "Peak")</f>
        <v>Off-Peak</v>
      </c>
      <c r="J1269">
        <f xml:space="preserve"> IF(Sheet1[[#This Row],[Ad Spend]] &gt; 0, (Sheet1[[#This Row],[Profit]] / Sheet1[[#This Row],[Ad Spend]]), 0)</f>
        <v>3.3608597285067878</v>
      </c>
      <c r="K1269">
        <f>Sheet1[[#This Row],[Revenue]]-Sheet1[[#This Row],[Ad Spend]]</f>
        <v>89.13000000000001</v>
      </c>
      <c r="L1269" s="2" t="s">
        <v>14</v>
      </c>
      <c r="M1269">
        <v>2</v>
      </c>
      <c r="N1269" s="2" t="s">
        <v>15</v>
      </c>
      <c r="O1269">
        <v>38.550000000000004</v>
      </c>
    </row>
    <row r="1270" spans="1:15" x14ac:dyDescent="0.3">
      <c r="A1270" s="1">
        <v>45314</v>
      </c>
      <c r="B1270" s="2" t="s">
        <v>11</v>
      </c>
      <c r="C1270" s="2" t="s">
        <v>12</v>
      </c>
      <c r="D1270" s="2" t="s">
        <v>13</v>
      </c>
      <c r="E1270">
        <v>50.36</v>
      </c>
      <c r="F1270">
        <v>28.53</v>
      </c>
      <c r="G1270">
        <v>3</v>
      </c>
      <c r="H1270">
        <f t="shared" si="19"/>
        <v>61207.979999999989</v>
      </c>
      <c r="I1270" t="str">
        <f>IF(Sheet1[[#This Row],[Month_Revenue]] &lt; AVERAGE(Sheet1[Month_Revenue]), "Off-Peak", "Peak")</f>
        <v>Peak</v>
      </c>
      <c r="J1270">
        <f xml:space="preserve"> IF(Sheet1[[#This Row],[Ad Spend]] &gt; 0, (Sheet1[[#This Row],[Profit]] / Sheet1[[#This Row],[Ad Spend]]), 0)</f>
        <v>0.76515948124780919</v>
      </c>
      <c r="K1270">
        <f>Sheet1[[#This Row],[Revenue]]-Sheet1[[#This Row],[Ad Spend]]</f>
        <v>21.83</v>
      </c>
      <c r="L1270" s="2" t="s">
        <v>22</v>
      </c>
      <c r="M1270">
        <v>1</v>
      </c>
      <c r="N1270" s="2" t="s">
        <v>15</v>
      </c>
      <c r="O1270">
        <v>16.786666666666665</v>
      </c>
    </row>
    <row r="1271" spans="1:15" x14ac:dyDescent="0.3">
      <c r="A1271" s="1">
        <v>45293</v>
      </c>
      <c r="B1271" s="2" t="s">
        <v>24</v>
      </c>
      <c r="C1271" s="2" t="s">
        <v>21</v>
      </c>
      <c r="D1271" s="2" t="s">
        <v>18</v>
      </c>
      <c r="E1271">
        <v>63.08</v>
      </c>
      <c r="F1271">
        <v>34.56</v>
      </c>
      <c r="G1271">
        <v>1</v>
      </c>
      <c r="H1271">
        <f t="shared" si="19"/>
        <v>61207.979999999989</v>
      </c>
      <c r="I1271" t="str">
        <f>IF(Sheet1[[#This Row],[Month_Revenue]] &lt; AVERAGE(Sheet1[Month_Revenue]), "Off-Peak", "Peak")</f>
        <v>Peak</v>
      </c>
      <c r="J1271">
        <f xml:space="preserve"> IF(Sheet1[[#This Row],[Ad Spend]] &gt; 0, (Sheet1[[#This Row],[Profit]] / Sheet1[[#This Row],[Ad Spend]]), 0)</f>
        <v>0.82523148148148129</v>
      </c>
      <c r="K1271">
        <f>Sheet1[[#This Row],[Revenue]]-Sheet1[[#This Row],[Ad Spend]]</f>
        <v>28.519999999999996</v>
      </c>
      <c r="L1271" s="2" t="s">
        <v>14</v>
      </c>
      <c r="M1271">
        <v>1</v>
      </c>
      <c r="N1271" s="2" t="s">
        <v>15</v>
      </c>
      <c r="O1271">
        <v>63.08</v>
      </c>
    </row>
    <row r="1272" spans="1:15" x14ac:dyDescent="0.3">
      <c r="A1272" s="1">
        <v>45399</v>
      </c>
      <c r="B1272" s="2" t="s">
        <v>24</v>
      </c>
      <c r="C1272" s="2" t="s">
        <v>17</v>
      </c>
      <c r="D1272" s="2" t="s">
        <v>18</v>
      </c>
      <c r="E1272">
        <v>140.75</v>
      </c>
      <c r="F1272">
        <v>28.66</v>
      </c>
      <c r="G1272">
        <v>3</v>
      </c>
      <c r="H1272">
        <f t="shared" si="19"/>
        <v>58562.910000000018</v>
      </c>
      <c r="I1272" t="str">
        <f>IF(Sheet1[[#This Row],[Month_Revenue]] &lt; AVERAGE(Sheet1[Month_Revenue]), "Off-Peak", "Peak")</f>
        <v>Peak</v>
      </c>
      <c r="J1272">
        <f xml:space="preserve"> IF(Sheet1[[#This Row],[Ad Spend]] &gt; 0, (Sheet1[[#This Row],[Profit]] / Sheet1[[#This Row],[Ad Spend]]), 0)</f>
        <v>3.9110258199581298</v>
      </c>
      <c r="K1272">
        <f>Sheet1[[#This Row],[Revenue]]-Sheet1[[#This Row],[Ad Spend]]</f>
        <v>112.09</v>
      </c>
      <c r="L1272" s="2" t="s">
        <v>22</v>
      </c>
      <c r="M1272">
        <v>4</v>
      </c>
      <c r="N1272" s="2" t="s">
        <v>19</v>
      </c>
      <c r="O1272">
        <v>46.916666666666664</v>
      </c>
    </row>
    <row r="1273" spans="1:15" x14ac:dyDescent="0.3">
      <c r="A1273" s="1">
        <v>45328</v>
      </c>
      <c r="B1273" s="2" t="s">
        <v>16</v>
      </c>
      <c r="C1273" s="2" t="s">
        <v>21</v>
      </c>
      <c r="D1273" s="2" t="s">
        <v>18</v>
      </c>
      <c r="E1273">
        <v>162.71</v>
      </c>
      <c r="F1273">
        <v>37.75</v>
      </c>
      <c r="G1273">
        <v>0</v>
      </c>
      <c r="H1273">
        <f t="shared" si="19"/>
        <v>48675.899999999936</v>
      </c>
      <c r="I1273" t="str">
        <f>IF(Sheet1[[#This Row],[Month_Revenue]] &lt; AVERAGE(Sheet1[Month_Revenue]), "Off-Peak", "Peak")</f>
        <v>Off-Peak</v>
      </c>
      <c r="J1273">
        <f xml:space="preserve"> IF(Sheet1[[#This Row],[Ad Spend]] &gt; 0, (Sheet1[[#This Row],[Profit]] / Sheet1[[#This Row],[Ad Spend]]), 0)</f>
        <v>3.310198675496689</v>
      </c>
      <c r="K1273">
        <f>Sheet1[[#This Row],[Revenue]]-Sheet1[[#This Row],[Ad Spend]]</f>
        <v>124.96000000000001</v>
      </c>
      <c r="L1273" s="2" t="s">
        <v>14</v>
      </c>
      <c r="M1273">
        <v>2</v>
      </c>
      <c r="N1273" s="2" t="s">
        <v>15</v>
      </c>
      <c r="O1273">
        <v>0</v>
      </c>
    </row>
    <row r="1274" spans="1:15" x14ac:dyDescent="0.3">
      <c r="A1274" s="1">
        <v>45393</v>
      </c>
      <c r="B1274" s="2" t="s">
        <v>24</v>
      </c>
      <c r="C1274" s="2" t="s">
        <v>17</v>
      </c>
      <c r="D1274" s="2" t="s">
        <v>18</v>
      </c>
      <c r="E1274">
        <v>165.81</v>
      </c>
      <c r="F1274">
        <v>24.2</v>
      </c>
      <c r="G1274">
        <v>3</v>
      </c>
      <c r="H1274">
        <f t="shared" si="19"/>
        <v>58562.910000000018</v>
      </c>
      <c r="I1274" t="str">
        <f>IF(Sheet1[[#This Row],[Month_Revenue]] &lt; AVERAGE(Sheet1[Month_Revenue]), "Off-Peak", "Peak")</f>
        <v>Peak</v>
      </c>
      <c r="J1274">
        <f xml:space="preserve"> IF(Sheet1[[#This Row],[Ad Spend]] &gt; 0, (Sheet1[[#This Row],[Profit]] / Sheet1[[#This Row],[Ad Spend]]), 0)</f>
        <v>5.851652892561984</v>
      </c>
      <c r="K1274">
        <f>Sheet1[[#This Row],[Revenue]]-Sheet1[[#This Row],[Ad Spend]]</f>
        <v>141.61000000000001</v>
      </c>
      <c r="L1274" s="2" t="s">
        <v>22</v>
      </c>
      <c r="M1274">
        <v>4</v>
      </c>
      <c r="N1274" s="2" t="s">
        <v>19</v>
      </c>
      <c r="O1274">
        <v>55.27</v>
      </c>
    </row>
    <row r="1275" spans="1:15" x14ac:dyDescent="0.3">
      <c r="A1275" s="1">
        <v>45339</v>
      </c>
      <c r="B1275" s="2" t="s">
        <v>16</v>
      </c>
      <c r="C1275" s="2" t="s">
        <v>21</v>
      </c>
      <c r="D1275" s="2" t="s">
        <v>13</v>
      </c>
      <c r="E1275">
        <v>156.66999999999999</v>
      </c>
      <c r="F1275">
        <v>43.37</v>
      </c>
      <c r="G1275">
        <v>0</v>
      </c>
      <c r="H1275">
        <f t="shared" si="19"/>
        <v>48675.899999999936</v>
      </c>
      <c r="I1275" t="str">
        <f>IF(Sheet1[[#This Row],[Month_Revenue]] &lt; AVERAGE(Sheet1[Month_Revenue]), "Off-Peak", "Peak")</f>
        <v>Off-Peak</v>
      </c>
      <c r="J1275">
        <f xml:space="preserve"> IF(Sheet1[[#This Row],[Ad Spend]] &gt; 0, (Sheet1[[#This Row],[Profit]] / Sheet1[[#This Row],[Ad Spend]]), 0)</f>
        <v>2.6124048881715467</v>
      </c>
      <c r="K1275">
        <f>Sheet1[[#This Row],[Revenue]]-Sheet1[[#This Row],[Ad Spend]]</f>
        <v>113.29999999999998</v>
      </c>
      <c r="L1275" s="2" t="s">
        <v>22</v>
      </c>
      <c r="M1275">
        <v>2</v>
      </c>
      <c r="N1275" s="2" t="s">
        <v>15</v>
      </c>
      <c r="O1275">
        <v>0</v>
      </c>
    </row>
    <row r="1276" spans="1:15" x14ac:dyDescent="0.3">
      <c r="A1276" s="1">
        <v>45329</v>
      </c>
      <c r="B1276" s="2" t="s">
        <v>20</v>
      </c>
      <c r="C1276" s="2" t="s">
        <v>21</v>
      </c>
      <c r="D1276" s="2" t="s">
        <v>18</v>
      </c>
      <c r="E1276">
        <v>175.31</v>
      </c>
      <c r="F1276">
        <v>11.48</v>
      </c>
      <c r="G1276">
        <v>0</v>
      </c>
      <c r="H1276">
        <f t="shared" si="19"/>
        <v>48675.899999999936</v>
      </c>
      <c r="I1276" t="str">
        <f>IF(Sheet1[[#This Row],[Month_Revenue]] &lt; AVERAGE(Sheet1[Month_Revenue]), "Off-Peak", "Peak")</f>
        <v>Off-Peak</v>
      </c>
      <c r="J1276">
        <f xml:space="preserve"> IF(Sheet1[[#This Row],[Ad Spend]] &gt; 0, (Sheet1[[#This Row],[Profit]] / Sheet1[[#This Row],[Ad Spend]]), 0)</f>
        <v>14.270905923344948</v>
      </c>
      <c r="K1276">
        <f>Sheet1[[#This Row],[Revenue]]-Sheet1[[#This Row],[Ad Spend]]</f>
        <v>163.83000000000001</v>
      </c>
      <c r="L1276" s="2" t="s">
        <v>22</v>
      </c>
      <c r="M1276">
        <v>2</v>
      </c>
      <c r="N1276" s="2" t="s">
        <v>15</v>
      </c>
      <c r="O1276">
        <v>0</v>
      </c>
    </row>
    <row r="1277" spans="1:15" x14ac:dyDescent="0.3">
      <c r="A1277" s="1">
        <v>45317</v>
      </c>
      <c r="B1277" s="2" t="s">
        <v>23</v>
      </c>
      <c r="C1277" s="2" t="s">
        <v>17</v>
      </c>
      <c r="D1277" s="2" t="s">
        <v>13</v>
      </c>
      <c r="E1277">
        <v>63.07</v>
      </c>
      <c r="F1277">
        <v>23.7</v>
      </c>
      <c r="G1277">
        <v>0</v>
      </c>
      <c r="H1277">
        <f t="shared" si="19"/>
        <v>61207.979999999989</v>
      </c>
      <c r="I1277" t="str">
        <f>IF(Sheet1[[#This Row],[Month_Revenue]] &lt; AVERAGE(Sheet1[Month_Revenue]), "Off-Peak", "Peak")</f>
        <v>Peak</v>
      </c>
      <c r="J1277">
        <f xml:space="preserve"> IF(Sheet1[[#This Row],[Ad Spend]] &gt; 0, (Sheet1[[#This Row],[Profit]] / Sheet1[[#This Row],[Ad Spend]]), 0)</f>
        <v>1.6611814345991565</v>
      </c>
      <c r="K1277">
        <f>Sheet1[[#This Row],[Revenue]]-Sheet1[[#This Row],[Ad Spend]]</f>
        <v>39.370000000000005</v>
      </c>
      <c r="L1277" s="2" t="s">
        <v>22</v>
      </c>
      <c r="M1277">
        <v>1</v>
      </c>
      <c r="N1277" s="2" t="s">
        <v>15</v>
      </c>
      <c r="O1277">
        <v>0</v>
      </c>
    </row>
    <row r="1278" spans="1:15" x14ac:dyDescent="0.3">
      <c r="A1278" s="1">
        <v>45363</v>
      </c>
      <c r="B1278" s="2" t="s">
        <v>20</v>
      </c>
      <c r="C1278" s="2" t="s">
        <v>21</v>
      </c>
      <c r="D1278" s="2" t="s">
        <v>18</v>
      </c>
      <c r="E1278">
        <v>189.95</v>
      </c>
      <c r="F1278">
        <v>1.48</v>
      </c>
      <c r="G1278">
        <v>1</v>
      </c>
      <c r="H1278">
        <f t="shared" si="19"/>
        <v>54735.250000000029</v>
      </c>
      <c r="I1278" t="str">
        <f>IF(Sheet1[[#This Row],[Month_Revenue]] &lt; AVERAGE(Sheet1[Month_Revenue]), "Off-Peak", "Peak")</f>
        <v>Off-Peak</v>
      </c>
      <c r="J1278">
        <f xml:space="preserve"> IF(Sheet1[[#This Row],[Ad Spend]] &gt; 0, (Sheet1[[#This Row],[Profit]] / Sheet1[[#This Row],[Ad Spend]]), 0)</f>
        <v>127.3445945945946</v>
      </c>
      <c r="K1278">
        <f>Sheet1[[#This Row],[Revenue]]-Sheet1[[#This Row],[Ad Spend]]</f>
        <v>188.47</v>
      </c>
      <c r="L1278" s="2" t="s">
        <v>22</v>
      </c>
      <c r="M1278">
        <v>3</v>
      </c>
      <c r="N1278" s="2" t="s">
        <v>19</v>
      </c>
      <c r="O1278">
        <v>189.95</v>
      </c>
    </row>
    <row r="1279" spans="1:15" x14ac:dyDescent="0.3">
      <c r="A1279" s="1">
        <v>45317</v>
      </c>
      <c r="B1279" s="2" t="s">
        <v>23</v>
      </c>
      <c r="C1279" s="2" t="s">
        <v>21</v>
      </c>
      <c r="D1279" s="2" t="s">
        <v>18</v>
      </c>
      <c r="E1279">
        <v>182.42</v>
      </c>
      <c r="F1279">
        <v>24.43</v>
      </c>
      <c r="G1279">
        <v>1</v>
      </c>
      <c r="H1279">
        <f t="shared" si="19"/>
        <v>61207.979999999989</v>
      </c>
      <c r="I1279" t="str">
        <f>IF(Sheet1[[#This Row],[Month_Revenue]] &lt; AVERAGE(Sheet1[Month_Revenue]), "Off-Peak", "Peak")</f>
        <v>Peak</v>
      </c>
      <c r="J1279">
        <f xml:space="preserve"> IF(Sheet1[[#This Row],[Ad Spend]] &gt; 0, (Sheet1[[#This Row],[Profit]] / Sheet1[[#This Row],[Ad Spend]]), 0)</f>
        <v>6.467048710601718</v>
      </c>
      <c r="K1279">
        <f>Sheet1[[#This Row],[Revenue]]-Sheet1[[#This Row],[Ad Spend]]</f>
        <v>157.98999999999998</v>
      </c>
      <c r="L1279" s="2" t="s">
        <v>14</v>
      </c>
      <c r="M1279">
        <v>1</v>
      </c>
      <c r="N1279" s="2" t="s">
        <v>15</v>
      </c>
      <c r="O1279">
        <v>182.42</v>
      </c>
    </row>
    <row r="1280" spans="1:15" x14ac:dyDescent="0.3">
      <c r="A1280" s="1">
        <v>45354</v>
      </c>
      <c r="B1280" s="2" t="s">
        <v>24</v>
      </c>
      <c r="C1280" s="2" t="s">
        <v>17</v>
      </c>
      <c r="D1280" s="2" t="s">
        <v>18</v>
      </c>
      <c r="E1280">
        <v>46.45</v>
      </c>
      <c r="F1280">
        <v>31.47</v>
      </c>
      <c r="G1280">
        <v>1</v>
      </c>
      <c r="H1280">
        <f t="shared" si="19"/>
        <v>54735.250000000029</v>
      </c>
      <c r="I1280" t="str">
        <f>IF(Sheet1[[#This Row],[Month_Revenue]] &lt; AVERAGE(Sheet1[Month_Revenue]), "Off-Peak", "Peak")</f>
        <v>Off-Peak</v>
      </c>
      <c r="J1280">
        <f xml:space="preserve"> IF(Sheet1[[#This Row],[Ad Spend]] &gt; 0, (Sheet1[[#This Row],[Profit]] / Sheet1[[#This Row],[Ad Spend]]), 0)</f>
        <v>0.47600889736256768</v>
      </c>
      <c r="K1280">
        <f>Sheet1[[#This Row],[Revenue]]-Sheet1[[#This Row],[Ad Spend]]</f>
        <v>14.980000000000004</v>
      </c>
      <c r="L1280" s="2" t="s">
        <v>14</v>
      </c>
      <c r="M1280">
        <v>3</v>
      </c>
      <c r="N1280" s="2" t="s">
        <v>19</v>
      </c>
      <c r="O1280">
        <v>46.45</v>
      </c>
    </row>
    <row r="1281" spans="1:15" x14ac:dyDescent="0.3">
      <c r="A1281" s="1">
        <v>45337</v>
      </c>
      <c r="B1281" s="2" t="s">
        <v>11</v>
      </c>
      <c r="C1281" s="2" t="s">
        <v>17</v>
      </c>
      <c r="D1281" s="2" t="s">
        <v>13</v>
      </c>
      <c r="E1281">
        <v>96.34</v>
      </c>
      <c r="F1281">
        <v>37.979999999999997</v>
      </c>
      <c r="G1281">
        <v>0</v>
      </c>
      <c r="H1281">
        <f t="shared" si="19"/>
        <v>48675.899999999936</v>
      </c>
      <c r="I1281" t="str">
        <f>IF(Sheet1[[#This Row],[Month_Revenue]] &lt; AVERAGE(Sheet1[Month_Revenue]), "Off-Peak", "Peak")</f>
        <v>Off-Peak</v>
      </c>
      <c r="J1281">
        <f xml:space="preserve"> IF(Sheet1[[#This Row],[Ad Spend]] &gt; 0, (Sheet1[[#This Row],[Profit]] / Sheet1[[#This Row],[Ad Spend]]), 0)</f>
        <v>1.5365982095839918</v>
      </c>
      <c r="K1281">
        <f>Sheet1[[#This Row],[Revenue]]-Sheet1[[#This Row],[Ad Spend]]</f>
        <v>58.360000000000007</v>
      </c>
      <c r="L1281" s="2" t="s">
        <v>22</v>
      </c>
      <c r="M1281">
        <v>2</v>
      </c>
      <c r="N1281" s="2" t="s">
        <v>15</v>
      </c>
      <c r="O1281">
        <v>0</v>
      </c>
    </row>
    <row r="1282" spans="1:15" x14ac:dyDescent="0.3">
      <c r="A1282" s="1">
        <v>45323</v>
      </c>
      <c r="B1282" s="2" t="s">
        <v>11</v>
      </c>
      <c r="C1282" s="2" t="s">
        <v>17</v>
      </c>
      <c r="D1282" s="2" t="s">
        <v>18</v>
      </c>
      <c r="E1282">
        <v>143.02000000000001</v>
      </c>
      <c r="F1282">
        <v>19.5</v>
      </c>
      <c r="G1282">
        <v>1</v>
      </c>
      <c r="H1282">
        <f t="shared" ref="H1282:H1345" si="20">SUMIFS($E$2:$E$2001, $M$2:$M$2001, M1282)</f>
        <v>48675.899999999936</v>
      </c>
      <c r="I1282" t="str">
        <f>IF(Sheet1[[#This Row],[Month_Revenue]] &lt; AVERAGE(Sheet1[Month_Revenue]), "Off-Peak", "Peak")</f>
        <v>Off-Peak</v>
      </c>
      <c r="J1282">
        <f xml:space="preserve"> IF(Sheet1[[#This Row],[Ad Spend]] &gt; 0, (Sheet1[[#This Row],[Profit]] / Sheet1[[#This Row],[Ad Spend]]), 0)</f>
        <v>6.3343589743589748</v>
      </c>
      <c r="K1282">
        <f>Sheet1[[#This Row],[Revenue]]-Sheet1[[#This Row],[Ad Spend]]</f>
        <v>123.52000000000001</v>
      </c>
      <c r="L1282" s="2" t="s">
        <v>14</v>
      </c>
      <c r="M1282">
        <v>2</v>
      </c>
      <c r="N1282" s="2" t="s">
        <v>15</v>
      </c>
      <c r="O1282">
        <v>143.02000000000001</v>
      </c>
    </row>
    <row r="1283" spans="1:15" x14ac:dyDescent="0.3">
      <c r="A1283" s="1">
        <v>45295</v>
      </c>
      <c r="B1283" s="2" t="s">
        <v>23</v>
      </c>
      <c r="C1283" s="2" t="s">
        <v>12</v>
      </c>
      <c r="D1283" s="2" t="s">
        <v>18</v>
      </c>
      <c r="E1283">
        <v>30.71</v>
      </c>
      <c r="F1283">
        <v>2.29</v>
      </c>
      <c r="G1283">
        <v>1</v>
      </c>
      <c r="H1283">
        <f t="shared" si="20"/>
        <v>61207.979999999989</v>
      </c>
      <c r="I1283" t="str">
        <f>IF(Sheet1[[#This Row],[Month_Revenue]] &lt; AVERAGE(Sheet1[Month_Revenue]), "Off-Peak", "Peak")</f>
        <v>Peak</v>
      </c>
      <c r="J1283">
        <f xml:space="preserve"> IF(Sheet1[[#This Row],[Ad Spend]] &gt; 0, (Sheet1[[#This Row],[Profit]] / Sheet1[[#This Row],[Ad Spend]]), 0)</f>
        <v>12.410480349344979</v>
      </c>
      <c r="K1283">
        <f>Sheet1[[#This Row],[Revenue]]-Sheet1[[#This Row],[Ad Spend]]</f>
        <v>28.42</v>
      </c>
      <c r="L1283" s="2" t="s">
        <v>14</v>
      </c>
      <c r="M1283">
        <v>1</v>
      </c>
      <c r="N1283" s="2" t="s">
        <v>15</v>
      </c>
      <c r="O1283">
        <v>30.71</v>
      </c>
    </row>
    <row r="1284" spans="1:15" x14ac:dyDescent="0.3">
      <c r="A1284" s="1">
        <v>45317</v>
      </c>
      <c r="B1284" s="2" t="s">
        <v>24</v>
      </c>
      <c r="C1284" s="2" t="s">
        <v>17</v>
      </c>
      <c r="D1284" s="2" t="s">
        <v>18</v>
      </c>
      <c r="E1284">
        <v>185.64</v>
      </c>
      <c r="F1284">
        <v>30.56</v>
      </c>
      <c r="G1284">
        <v>2</v>
      </c>
      <c r="H1284">
        <f t="shared" si="20"/>
        <v>61207.979999999989</v>
      </c>
      <c r="I1284" t="str">
        <f>IF(Sheet1[[#This Row],[Month_Revenue]] &lt; AVERAGE(Sheet1[Month_Revenue]), "Off-Peak", "Peak")</f>
        <v>Peak</v>
      </c>
      <c r="J1284">
        <f xml:space="preserve"> IF(Sheet1[[#This Row],[Ad Spend]] &gt; 0, (Sheet1[[#This Row],[Profit]] / Sheet1[[#This Row],[Ad Spend]]), 0)</f>
        <v>5.0746073298429319</v>
      </c>
      <c r="K1284">
        <f>Sheet1[[#This Row],[Revenue]]-Sheet1[[#This Row],[Ad Spend]]</f>
        <v>155.07999999999998</v>
      </c>
      <c r="L1284" s="2" t="s">
        <v>22</v>
      </c>
      <c r="M1284">
        <v>1</v>
      </c>
      <c r="N1284" s="2" t="s">
        <v>15</v>
      </c>
      <c r="O1284">
        <v>92.82</v>
      </c>
    </row>
    <row r="1285" spans="1:15" x14ac:dyDescent="0.3">
      <c r="A1285" s="1">
        <v>45305</v>
      </c>
      <c r="B1285" s="2" t="s">
        <v>11</v>
      </c>
      <c r="C1285" s="2" t="s">
        <v>17</v>
      </c>
      <c r="D1285" s="2" t="s">
        <v>18</v>
      </c>
      <c r="E1285">
        <v>59.93</v>
      </c>
      <c r="F1285">
        <v>40.200000000000003</v>
      </c>
      <c r="G1285">
        <v>2</v>
      </c>
      <c r="H1285">
        <f t="shared" si="20"/>
        <v>61207.979999999989</v>
      </c>
      <c r="I1285" t="str">
        <f>IF(Sheet1[[#This Row],[Month_Revenue]] &lt; AVERAGE(Sheet1[Month_Revenue]), "Off-Peak", "Peak")</f>
        <v>Peak</v>
      </c>
      <c r="J1285">
        <f xml:space="preserve"> IF(Sheet1[[#This Row],[Ad Spend]] &gt; 0, (Sheet1[[#This Row],[Profit]] / Sheet1[[#This Row],[Ad Spend]]), 0)</f>
        <v>0.49079601990049743</v>
      </c>
      <c r="K1285">
        <f>Sheet1[[#This Row],[Revenue]]-Sheet1[[#This Row],[Ad Spend]]</f>
        <v>19.729999999999997</v>
      </c>
      <c r="L1285" s="2" t="s">
        <v>22</v>
      </c>
      <c r="M1285">
        <v>1</v>
      </c>
      <c r="N1285" s="2" t="s">
        <v>15</v>
      </c>
      <c r="O1285">
        <v>29.965</v>
      </c>
    </row>
    <row r="1286" spans="1:15" x14ac:dyDescent="0.3">
      <c r="A1286" s="1">
        <v>45305</v>
      </c>
      <c r="B1286" s="2" t="s">
        <v>24</v>
      </c>
      <c r="C1286" s="2" t="s">
        <v>17</v>
      </c>
      <c r="D1286" s="2" t="s">
        <v>13</v>
      </c>
      <c r="E1286">
        <v>136.02000000000001</v>
      </c>
      <c r="F1286">
        <v>6.89</v>
      </c>
      <c r="G1286">
        <v>1</v>
      </c>
      <c r="H1286">
        <f t="shared" si="20"/>
        <v>61207.979999999989</v>
      </c>
      <c r="I1286" t="str">
        <f>IF(Sheet1[[#This Row],[Month_Revenue]] &lt; AVERAGE(Sheet1[Month_Revenue]), "Off-Peak", "Peak")</f>
        <v>Peak</v>
      </c>
      <c r="J1286">
        <f xml:space="preserve"> IF(Sheet1[[#This Row],[Ad Spend]] &gt; 0, (Sheet1[[#This Row],[Profit]] / Sheet1[[#This Row],[Ad Spend]]), 0)</f>
        <v>18.741654571843256</v>
      </c>
      <c r="K1286">
        <f>Sheet1[[#This Row],[Revenue]]-Sheet1[[#This Row],[Ad Spend]]</f>
        <v>129.13000000000002</v>
      </c>
      <c r="L1286" s="2" t="s">
        <v>22</v>
      </c>
      <c r="M1286">
        <v>1</v>
      </c>
      <c r="N1286" s="2" t="s">
        <v>15</v>
      </c>
      <c r="O1286">
        <v>136.02000000000001</v>
      </c>
    </row>
    <row r="1287" spans="1:15" x14ac:dyDescent="0.3">
      <c r="A1287" s="1">
        <v>45304</v>
      </c>
      <c r="B1287" s="2" t="s">
        <v>16</v>
      </c>
      <c r="C1287" s="2" t="s">
        <v>12</v>
      </c>
      <c r="D1287" s="2" t="s">
        <v>18</v>
      </c>
      <c r="E1287">
        <v>177.08</v>
      </c>
      <c r="F1287">
        <v>22.72</v>
      </c>
      <c r="G1287">
        <v>3</v>
      </c>
      <c r="H1287">
        <f t="shared" si="20"/>
        <v>61207.979999999989</v>
      </c>
      <c r="I1287" t="str">
        <f>IF(Sheet1[[#This Row],[Month_Revenue]] &lt; AVERAGE(Sheet1[Month_Revenue]), "Off-Peak", "Peak")</f>
        <v>Peak</v>
      </c>
      <c r="J1287">
        <f xml:space="preserve"> IF(Sheet1[[#This Row],[Ad Spend]] &gt; 0, (Sheet1[[#This Row],[Profit]] / Sheet1[[#This Row],[Ad Spend]]), 0)</f>
        <v>6.7940140845070429</v>
      </c>
      <c r="K1287">
        <f>Sheet1[[#This Row],[Revenue]]-Sheet1[[#This Row],[Ad Spend]]</f>
        <v>154.36000000000001</v>
      </c>
      <c r="L1287" s="2" t="s">
        <v>14</v>
      </c>
      <c r="M1287">
        <v>1</v>
      </c>
      <c r="N1287" s="2" t="s">
        <v>15</v>
      </c>
      <c r="O1287">
        <v>59.026666666666671</v>
      </c>
    </row>
    <row r="1288" spans="1:15" x14ac:dyDescent="0.3">
      <c r="A1288" s="1">
        <v>45368</v>
      </c>
      <c r="B1288" s="2" t="s">
        <v>16</v>
      </c>
      <c r="C1288" s="2" t="s">
        <v>17</v>
      </c>
      <c r="D1288" s="2" t="s">
        <v>13</v>
      </c>
      <c r="E1288">
        <v>37.42</v>
      </c>
      <c r="F1288">
        <v>24.13</v>
      </c>
      <c r="G1288">
        <v>2</v>
      </c>
      <c r="H1288">
        <f t="shared" si="20"/>
        <v>54735.250000000029</v>
      </c>
      <c r="I1288" t="str">
        <f>IF(Sheet1[[#This Row],[Month_Revenue]] &lt; AVERAGE(Sheet1[Month_Revenue]), "Off-Peak", "Peak")</f>
        <v>Off-Peak</v>
      </c>
      <c r="J1288">
        <f xml:space="preserve"> IF(Sheet1[[#This Row],[Ad Spend]] &gt; 0, (Sheet1[[#This Row],[Profit]] / Sheet1[[#This Row],[Ad Spend]]), 0)</f>
        <v>0.55076668048072952</v>
      </c>
      <c r="K1288">
        <f>Sheet1[[#This Row],[Revenue]]-Sheet1[[#This Row],[Ad Spend]]</f>
        <v>13.290000000000003</v>
      </c>
      <c r="L1288" s="2" t="s">
        <v>22</v>
      </c>
      <c r="M1288">
        <v>3</v>
      </c>
      <c r="N1288" s="2" t="s">
        <v>19</v>
      </c>
      <c r="O1288">
        <v>18.71</v>
      </c>
    </row>
    <row r="1289" spans="1:15" x14ac:dyDescent="0.3">
      <c r="A1289" s="1">
        <v>45357</v>
      </c>
      <c r="B1289" s="2" t="s">
        <v>20</v>
      </c>
      <c r="C1289" s="2" t="s">
        <v>12</v>
      </c>
      <c r="D1289" s="2" t="s">
        <v>13</v>
      </c>
      <c r="E1289">
        <v>66.66</v>
      </c>
      <c r="F1289">
        <v>28.02</v>
      </c>
      <c r="G1289">
        <v>3</v>
      </c>
      <c r="H1289">
        <f t="shared" si="20"/>
        <v>54735.250000000029</v>
      </c>
      <c r="I1289" t="str">
        <f>IF(Sheet1[[#This Row],[Month_Revenue]] &lt; AVERAGE(Sheet1[Month_Revenue]), "Off-Peak", "Peak")</f>
        <v>Off-Peak</v>
      </c>
      <c r="J1289">
        <f xml:space="preserve"> IF(Sheet1[[#This Row],[Ad Spend]] &gt; 0, (Sheet1[[#This Row],[Profit]] / Sheet1[[#This Row],[Ad Spend]]), 0)</f>
        <v>1.3790149892933619</v>
      </c>
      <c r="K1289">
        <f>Sheet1[[#This Row],[Revenue]]-Sheet1[[#This Row],[Ad Spend]]</f>
        <v>38.64</v>
      </c>
      <c r="L1289" s="2" t="s">
        <v>22</v>
      </c>
      <c r="M1289">
        <v>3</v>
      </c>
      <c r="N1289" s="2" t="s">
        <v>19</v>
      </c>
      <c r="O1289">
        <v>22.22</v>
      </c>
    </row>
    <row r="1290" spans="1:15" x14ac:dyDescent="0.3">
      <c r="A1290" s="1">
        <v>45299</v>
      </c>
      <c r="B1290" s="2" t="s">
        <v>20</v>
      </c>
      <c r="C1290" s="2" t="s">
        <v>17</v>
      </c>
      <c r="D1290" s="2" t="s">
        <v>18</v>
      </c>
      <c r="E1290">
        <v>106.8</v>
      </c>
      <c r="F1290">
        <v>3.39</v>
      </c>
      <c r="G1290">
        <v>3</v>
      </c>
      <c r="H1290">
        <f t="shared" si="20"/>
        <v>61207.979999999989</v>
      </c>
      <c r="I1290" t="str">
        <f>IF(Sheet1[[#This Row],[Month_Revenue]] &lt; AVERAGE(Sheet1[Month_Revenue]), "Off-Peak", "Peak")</f>
        <v>Peak</v>
      </c>
      <c r="J1290">
        <f xml:space="preserve"> IF(Sheet1[[#This Row],[Ad Spend]] &gt; 0, (Sheet1[[#This Row],[Profit]] / Sheet1[[#This Row],[Ad Spend]]), 0)</f>
        <v>30.504424778761059</v>
      </c>
      <c r="K1290">
        <f>Sheet1[[#This Row],[Revenue]]-Sheet1[[#This Row],[Ad Spend]]</f>
        <v>103.41</v>
      </c>
      <c r="L1290" s="2" t="s">
        <v>14</v>
      </c>
      <c r="M1290">
        <v>1</v>
      </c>
      <c r="N1290" s="2" t="s">
        <v>15</v>
      </c>
      <c r="O1290">
        <v>35.6</v>
      </c>
    </row>
    <row r="1291" spans="1:15" x14ac:dyDescent="0.3">
      <c r="A1291" s="1">
        <v>45337</v>
      </c>
      <c r="B1291" s="2" t="s">
        <v>23</v>
      </c>
      <c r="C1291" s="2" t="s">
        <v>17</v>
      </c>
      <c r="D1291" s="2" t="s">
        <v>18</v>
      </c>
      <c r="E1291">
        <v>139.58000000000001</v>
      </c>
      <c r="F1291">
        <v>0.49</v>
      </c>
      <c r="G1291">
        <v>2</v>
      </c>
      <c r="H1291">
        <f t="shared" si="20"/>
        <v>48675.899999999936</v>
      </c>
      <c r="I1291" t="str">
        <f>IF(Sheet1[[#This Row],[Month_Revenue]] &lt; AVERAGE(Sheet1[Month_Revenue]), "Off-Peak", "Peak")</f>
        <v>Off-Peak</v>
      </c>
      <c r="J1291">
        <f xml:space="preserve"> IF(Sheet1[[#This Row],[Ad Spend]] &gt; 0, (Sheet1[[#This Row],[Profit]] / Sheet1[[#This Row],[Ad Spend]]), 0)</f>
        <v>283.85714285714289</v>
      </c>
      <c r="K1291">
        <f>Sheet1[[#This Row],[Revenue]]-Sheet1[[#This Row],[Ad Spend]]</f>
        <v>139.09</v>
      </c>
      <c r="L1291" s="2" t="s">
        <v>22</v>
      </c>
      <c r="M1291">
        <v>2</v>
      </c>
      <c r="N1291" s="2" t="s">
        <v>15</v>
      </c>
      <c r="O1291">
        <v>69.790000000000006</v>
      </c>
    </row>
    <row r="1292" spans="1:15" x14ac:dyDescent="0.3">
      <c r="A1292" s="1">
        <v>45332</v>
      </c>
      <c r="B1292" s="2" t="s">
        <v>20</v>
      </c>
      <c r="C1292" s="2" t="s">
        <v>17</v>
      </c>
      <c r="D1292" s="2" t="s">
        <v>13</v>
      </c>
      <c r="E1292">
        <v>37.83</v>
      </c>
      <c r="F1292">
        <v>47.5</v>
      </c>
      <c r="G1292">
        <v>2</v>
      </c>
      <c r="H1292">
        <f t="shared" si="20"/>
        <v>48675.899999999936</v>
      </c>
      <c r="I1292" t="str">
        <f>IF(Sheet1[[#This Row],[Month_Revenue]] &lt; AVERAGE(Sheet1[Month_Revenue]), "Off-Peak", "Peak")</f>
        <v>Off-Peak</v>
      </c>
      <c r="J1292">
        <f xml:space="preserve"> IF(Sheet1[[#This Row],[Ad Spend]] &gt; 0, (Sheet1[[#This Row],[Profit]] / Sheet1[[#This Row],[Ad Spend]]), 0)</f>
        <v>-0.20357894736842108</v>
      </c>
      <c r="K1292">
        <f>Sheet1[[#This Row],[Revenue]]-Sheet1[[#This Row],[Ad Spend]]</f>
        <v>-9.6700000000000017</v>
      </c>
      <c r="L1292" s="2" t="s">
        <v>14</v>
      </c>
      <c r="M1292">
        <v>2</v>
      </c>
      <c r="N1292" s="2" t="s">
        <v>15</v>
      </c>
      <c r="O1292">
        <v>18.914999999999999</v>
      </c>
    </row>
    <row r="1293" spans="1:15" x14ac:dyDescent="0.3">
      <c r="A1293" s="1">
        <v>45363</v>
      </c>
      <c r="B1293" s="2" t="s">
        <v>23</v>
      </c>
      <c r="C1293" s="2" t="s">
        <v>17</v>
      </c>
      <c r="D1293" s="2" t="s">
        <v>13</v>
      </c>
      <c r="E1293">
        <v>142.1</v>
      </c>
      <c r="F1293">
        <v>1.26</v>
      </c>
      <c r="G1293">
        <v>3</v>
      </c>
      <c r="H1293">
        <f t="shared" si="20"/>
        <v>54735.250000000029</v>
      </c>
      <c r="I1293" t="str">
        <f>IF(Sheet1[[#This Row],[Month_Revenue]] &lt; AVERAGE(Sheet1[Month_Revenue]), "Off-Peak", "Peak")</f>
        <v>Off-Peak</v>
      </c>
      <c r="J1293">
        <f xml:space="preserve"> IF(Sheet1[[#This Row],[Ad Spend]] &gt; 0, (Sheet1[[#This Row],[Profit]] / Sheet1[[#This Row],[Ad Spend]]), 0)</f>
        <v>111.77777777777779</v>
      </c>
      <c r="K1293">
        <f>Sheet1[[#This Row],[Revenue]]-Sheet1[[#This Row],[Ad Spend]]</f>
        <v>140.84</v>
      </c>
      <c r="L1293" s="2" t="s">
        <v>14</v>
      </c>
      <c r="M1293">
        <v>3</v>
      </c>
      <c r="N1293" s="2" t="s">
        <v>19</v>
      </c>
      <c r="O1293">
        <v>47.366666666666667</v>
      </c>
    </row>
    <row r="1294" spans="1:15" x14ac:dyDescent="0.3">
      <c r="A1294" s="1">
        <v>45341</v>
      </c>
      <c r="B1294" s="2" t="s">
        <v>23</v>
      </c>
      <c r="C1294" s="2" t="s">
        <v>17</v>
      </c>
      <c r="D1294" s="2" t="s">
        <v>18</v>
      </c>
      <c r="E1294">
        <v>169.37</v>
      </c>
      <c r="F1294">
        <v>5.81</v>
      </c>
      <c r="G1294">
        <v>0</v>
      </c>
      <c r="H1294">
        <f t="shared" si="20"/>
        <v>48675.899999999936</v>
      </c>
      <c r="I1294" t="str">
        <f>IF(Sheet1[[#This Row],[Month_Revenue]] &lt; AVERAGE(Sheet1[Month_Revenue]), "Off-Peak", "Peak")</f>
        <v>Off-Peak</v>
      </c>
      <c r="J1294">
        <f xml:space="preserve"> IF(Sheet1[[#This Row],[Ad Spend]] &gt; 0, (Sheet1[[#This Row],[Profit]] / Sheet1[[#This Row],[Ad Spend]]), 0)</f>
        <v>28.151462994836493</v>
      </c>
      <c r="K1294">
        <f>Sheet1[[#This Row],[Revenue]]-Sheet1[[#This Row],[Ad Spend]]</f>
        <v>163.56</v>
      </c>
      <c r="L1294" s="2" t="s">
        <v>22</v>
      </c>
      <c r="M1294">
        <v>2</v>
      </c>
      <c r="N1294" s="2" t="s">
        <v>15</v>
      </c>
      <c r="O1294">
        <v>0</v>
      </c>
    </row>
    <row r="1295" spans="1:15" x14ac:dyDescent="0.3">
      <c r="A1295" s="1">
        <v>45322</v>
      </c>
      <c r="B1295" s="2" t="s">
        <v>24</v>
      </c>
      <c r="C1295" s="2" t="s">
        <v>17</v>
      </c>
      <c r="D1295" s="2" t="s">
        <v>13</v>
      </c>
      <c r="E1295">
        <v>170.28</v>
      </c>
      <c r="F1295">
        <v>42.78</v>
      </c>
      <c r="G1295">
        <v>3</v>
      </c>
      <c r="H1295">
        <f t="shared" si="20"/>
        <v>61207.979999999989</v>
      </c>
      <c r="I1295" t="str">
        <f>IF(Sheet1[[#This Row],[Month_Revenue]] &lt; AVERAGE(Sheet1[Month_Revenue]), "Off-Peak", "Peak")</f>
        <v>Peak</v>
      </c>
      <c r="J1295">
        <f xml:space="preserve"> IF(Sheet1[[#This Row],[Ad Spend]] &gt; 0, (Sheet1[[#This Row],[Profit]] / Sheet1[[#This Row],[Ad Spend]]), 0)</f>
        <v>2.9803646563814867</v>
      </c>
      <c r="K1295">
        <f>Sheet1[[#This Row],[Revenue]]-Sheet1[[#This Row],[Ad Spend]]</f>
        <v>127.5</v>
      </c>
      <c r="L1295" s="2" t="s">
        <v>14</v>
      </c>
      <c r="M1295">
        <v>1</v>
      </c>
      <c r="N1295" s="2" t="s">
        <v>15</v>
      </c>
      <c r="O1295">
        <v>56.76</v>
      </c>
    </row>
    <row r="1296" spans="1:15" x14ac:dyDescent="0.3">
      <c r="A1296" s="1">
        <v>45306</v>
      </c>
      <c r="B1296" s="2" t="s">
        <v>11</v>
      </c>
      <c r="C1296" s="2" t="s">
        <v>12</v>
      </c>
      <c r="D1296" s="2" t="s">
        <v>13</v>
      </c>
      <c r="E1296">
        <v>124.1</v>
      </c>
      <c r="F1296">
        <v>5.67</v>
      </c>
      <c r="G1296">
        <v>0</v>
      </c>
      <c r="H1296">
        <f t="shared" si="20"/>
        <v>61207.979999999989</v>
      </c>
      <c r="I1296" t="str">
        <f>IF(Sheet1[[#This Row],[Month_Revenue]] &lt; AVERAGE(Sheet1[Month_Revenue]), "Off-Peak", "Peak")</f>
        <v>Peak</v>
      </c>
      <c r="J1296">
        <f xml:space="preserve"> IF(Sheet1[[#This Row],[Ad Spend]] &gt; 0, (Sheet1[[#This Row],[Profit]] / Sheet1[[#This Row],[Ad Spend]]), 0)</f>
        <v>20.887125220458554</v>
      </c>
      <c r="K1296">
        <f>Sheet1[[#This Row],[Revenue]]-Sheet1[[#This Row],[Ad Spend]]</f>
        <v>118.42999999999999</v>
      </c>
      <c r="L1296" s="2" t="s">
        <v>14</v>
      </c>
      <c r="M1296">
        <v>1</v>
      </c>
      <c r="N1296" s="2" t="s">
        <v>15</v>
      </c>
      <c r="O1296">
        <v>0</v>
      </c>
    </row>
    <row r="1297" spans="1:15" x14ac:dyDescent="0.3">
      <c r="A1297" s="1">
        <v>45394</v>
      </c>
      <c r="B1297" s="2" t="s">
        <v>24</v>
      </c>
      <c r="C1297" s="2" t="s">
        <v>17</v>
      </c>
      <c r="D1297" s="2" t="s">
        <v>18</v>
      </c>
      <c r="E1297">
        <v>106.91</v>
      </c>
      <c r="F1297">
        <v>24.77</v>
      </c>
      <c r="G1297">
        <v>0</v>
      </c>
      <c r="H1297">
        <f t="shared" si="20"/>
        <v>58562.910000000018</v>
      </c>
      <c r="I1297" t="str">
        <f>IF(Sheet1[[#This Row],[Month_Revenue]] &lt; AVERAGE(Sheet1[Month_Revenue]), "Off-Peak", "Peak")</f>
        <v>Peak</v>
      </c>
      <c r="J1297">
        <f xml:space="preserve"> IF(Sheet1[[#This Row],[Ad Spend]] &gt; 0, (Sheet1[[#This Row],[Profit]] / Sheet1[[#This Row],[Ad Spend]]), 0)</f>
        <v>3.3161081953976583</v>
      </c>
      <c r="K1297">
        <f>Sheet1[[#This Row],[Revenue]]-Sheet1[[#This Row],[Ad Spend]]</f>
        <v>82.14</v>
      </c>
      <c r="L1297" s="2" t="s">
        <v>22</v>
      </c>
      <c r="M1297">
        <v>4</v>
      </c>
      <c r="N1297" s="2" t="s">
        <v>19</v>
      </c>
      <c r="O1297">
        <v>0</v>
      </c>
    </row>
    <row r="1298" spans="1:15" x14ac:dyDescent="0.3">
      <c r="A1298" s="1">
        <v>45367</v>
      </c>
      <c r="B1298" s="2" t="s">
        <v>20</v>
      </c>
      <c r="C1298" s="2" t="s">
        <v>17</v>
      </c>
      <c r="D1298" s="2" t="s">
        <v>13</v>
      </c>
      <c r="E1298">
        <v>23.11</v>
      </c>
      <c r="F1298">
        <v>34.19</v>
      </c>
      <c r="G1298">
        <v>3</v>
      </c>
      <c r="H1298">
        <f t="shared" si="20"/>
        <v>54735.250000000029</v>
      </c>
      <c r="I1298" t="str">
        <f>IF(Sheet1[[#This Row],[Month_Revenue]] &lt; AVERAGE(Sheet1[Month_Revenue]), "Off-Peak", "Peak")</f>
        <v>Off-Peak</v>
      </c>
      <c r="J1298">
        <f xml:space="preserve"> IF(Sheet1[[#This Row],[Ad Spend]] &gt; 0, (Sheet1[[#This Row],[Profit]] / Sheet1[[#This Row],[Ad Spend]]), 0)</f>
        <v>-0.32407136589646091</v>
      </c>
      <c r="K1298">
        <f>Sheet1[[#This Row],[Revenue]]-Sheet1[[#This Row],[Ad Spend]]</f>
        <v>-11.079999999999998</v>
      </c>
      <c r="L1298" s="2" t="s">
        <v>14</v>
      </c>
      <c r="M1298">
        <v>3</v>
      </c>
      <c r="N1298" s="2" t="s">
        <v>19</v>
      </c>
      <c r="O1298">
        <v>7.7033333333333331</v>
      </c>
    </row>
    <row r="1299" spans="1:15" x14ac:dyDescent="0.3">
      <c r="A1299" s="1">
        <v>45386</v>
      </c>
      <c r="B1299" s="2" t="s">
        <v>20</v>
      </c>
      <c r="C1299" s="2" t="s">
        <v>12</v>
      </c>
      <c r="D1299" s="2" t="s">
        <v>13</v>
      </c>
      <c r="E1299">
        <v>133.86000000000001</v>
      </c>
      <c r="F1299">
        <v>13.56</v>
      </c>
      <c r="G1299">
        <v>3</v>
      </c>
      <c r="H1299">
        <f t="shared" si="20"/>
        <v>58562.910000000018</v>
      </c>
      <c r="I1299" t="str">
        <f>IF(Sheet1[[#This Row],[Month_Revenue]] &lt; AVERAGE(Sheet1[Month_Revenue]), "Off-Peak", "Peak")</f>
        <v>Peak</v>
      </c>
      <c r="J1299">
        <f xml:space="preserve"> IF(Sheet1[[#This Row],[Ad Spend]] &gt; 0, (Sheet1[[#This Row],[Profit]] / Sheet1[[#This Row],[Ad Spend]]), 0)</f>
        <v>8.8716814159292046</v>
      </c>
      <c r="K1299">
        <f>Sheet1[[#This Row],[Revenue]]-Sheet1[[#This Row],[Ad Spend]]</f>
        <v>120.30000000000001</v>
      </c>
      <c r="L1299" s="2" t="s">
        <v>22</v>
      </c>
      <c r="M1299">
        <v>4</v>
      </c>
      <c r="N1299" s="2" t="s">
        <v>19</v>
      </c>
      <c r="O1299">
        <v>44.620000000000005</v>
      </c>
    </row>
    <row r="1300" spans="1:15" x14ac:dyDescent="0.3">
      <c r="A1300" s="1">
        <v>45294</v>
      </c>
      <c r="B1300" s="2" t="s">
        <v>23</v>
      </c>
      <c r="C1300" s="2" t="s">
        <v>12</v>
      </c>
      <c r="D1300" s="2" t="s">
        <v>13</v>
      </c>
      <c r="E1300">
        <v>48</v>
      </c>
      <c r="F1300">
        <v>8.15</v>
      </c>
      <c r="G1300">
        <v>3</v>
      </c>
      <c r="H1300">
        <f t="shared" si="20"/>
        <v>61207.979999999989</v>
      </c>
      <c r="I1300" t="str">
        <f>IF(Sheet1[[#This Row],[Month_Revenue]] &lt; AVERAGE(Sheet1[Month_Revenue]), "Off-Peak", "Peak")</f>
        <v>Peak</v>
      </c>
      <c r="J1300">
        <f xml:space="preserve"> IF(Sheet1[[#This Row],[Ad Spend]] &gt; 0, (Sheet1[[#This Row],[Profit]] / Sheet1[[#This Row],[Ad Spend]]), 0)</f>
        <v>4.889570552147239</v>
      </c>
      <c r="K1300">
        <f>Sheet1[[#This Row],[Revenue]]-Sheet1[[#This Row],[Ad Spend]]</f>
        <v>39.85</v>
      </c>
      <c r="L1300" s="2" t="s">
        <v>22</v>
      </c>
      <c r="M1300">
        <v>1</v>
      </c>
      <c r="N1300" s="2" t="s">
        <v>15</v>
      </c>
      <c r="O1300">
        <v>16</v>
      </c>
    </row>
    <row r="1301" spans="1:15" x14ac:dyDescent="0.3">
      <c r="A1301" s="1">
        <v>45372</v>
      </c>
      <c r="B1301" s="2" t="s">
        <v>23</v>
      </c>
      <c r="C1301" s="2" t="s">
        <v>12</v>
      </c>
      <c r="D1301" s="2" t="s">
        <v>13</v>
      </c>
      <c r="E1301">
        <v>69.239999999999995</v>
      </c>
      <c r="F1301">
        <v>1.85</v>
      </c>
      <c r="G1301">
        <v>2</v>
      </c>
      <c r="H1301">
        <f t="shared" si="20"/>
        <v>54735.250000000029</v>
      </c>
      <c r="I1301" t="str">
        <f>IF(Sheet1[[#This Row],[Month_Revenue]] &lt; AVERAGE(Sheet1[Month_Revenue]), "Off-Peak", "Peak")</f>
        <v>Off-Peak</v>
      </c>
      <c r="J1301">
        <f xml:space="preserve"> IF(Sheet1[[#This Row],[Ad Spend]] &gt; 0, (Sheet1[[#This Row],[Profit]] / Sheet1[[#This Row],[Ad Spend]]), 0)</f>
        <v>36.427027027027023</v>
      </c>
      <c r="K1301">
        <f>Sheet1[[#This Row],[Revenue]]-Sheet1[[#This Row],[Ad Spend]]</f>
        <v>67.39</v>
      </c>
      <c r="L1301" s="2" t="s">
        <v>14</v>
      </c>
      <c r="M1301">
        <v>3</v>
      </c>
      <c r="N1301" s="2" t="s">
        <v>19</v>
      </c>
      <c r="O1301">
        <v>34.619999999999997</v>
      </c>
    </row>
    <row r="1302" spans="1:15" x14ac:dyDescent="0.3">
      <c r="A1302" s="1">
        <v>45328</v>
      </c>
      <c r="B1302" s="2" t="s">
        <v>20</v>
      </c>
      <c r="C1302" s="2" t="s">
        <v>17</v>
      </c>
      <c r="D1302" s="2" t="s">
        <v>18</v>
      </c>
      <c r="E1302">
        <v>173.87</v>
      </c>
      <c r="F1302">
        <v>16.440000000000001</v>
      </c>
      <c r="G1302">
        <v>0</v>
      </c>
      <c r="H1302">
        <f t="shared" si="20"/>
        <v>48675.899999999936</v>
      </c>
      <c r="I1302" t="str">
        <f>IF(Sheet1[[#This Row],[Month_Revenue]] &lt; AVERAGE(Sheet1[Month_Revenue]), "Off-Peak", "Peak")</f>
        <v>Off-Peak</v>
      </c>
      <c r="J1302">
        <f xml:space="preserve"> IF(Sheet1[[#This Row],[Ad Spend]] &gt; 0, (Sheet1[[#This Row],[Profit]] / Sheet1[[#This Row],[Ad Spend]]), 0)</f>
        <v>9.5760340632603409</v>
      </c>
      <c r="K1302">
        <f>Sheet1[[#This Row],[Revenue]]-Sheet1[[#This Row],[Ad Spend]]</f>
        <v>157.43</v>
      </c>
      <c r="L1302" s="2" t="s">
        <v>22</v>
      </c>
      <c r="M1302">
        <v>2</v>
      </c>
      <c r="N1302" s="2" t="s">
        <v>15</v>
      </c>
      <c r="O1302">
        <v>0</v>
      </c>
    </row>
    <row r="1303" spans="1:15" x14ac:dyDescent="0.3">
      <c r="A1303" s="1">
        <v>45309</v>
      </c>
      <c r="B1303" s="2" t="s">
        <v>20</v>
      </c>
      <c r="C1303" s="2" t="s">
        <v>17</v>
      </c>
      <c r="D1303" s="2" t="s">
        <v>18</v>
      </c>
      <c r="E1303">
        <v>89.27</v>
      </c>
      <c r="F1303">
        <v>27.26</v>
      </c>
      <c r="G1303">
        <v>2</v>
      </c>
      <c r="H1303">
        <f t="shared" si="20"/>
        <v>61207.979999999989</v>
      </c>
      <c r="I1303" t="str">
        <f>IF(Sheet1[[#This Row],[Month_Revenue]] &lt; AVERAGE(Sheet1[Month_Revenue]), "Off-Peak", "Peak")</f>
        <v>Peak</v>
      </c>
      <c r="J1303">
        <f xml:space="preserve"> IF(Sheet1[[#This Row],[Ad Spend]] &gt; 0, (Sheet1[[#This Row],[Profit]] / Sheet1[[#This Row],[Ad Spend]]), 0)</f>
        <v>2.2747615553925162</v>
      </c>
      <c r="K1303">
        <f>Sheet1[[#This Row],[Revenue]]-Sheet1[[#This Row],[Ad Spend]]</f>
        <v>62.009999999999991</v>
      </c>
      <c r="L1303" s="2" t="s">
        <v>22</v>
      </c>
      <c r="M1303">
        <v>1</v>
      </c>
      <c r="N1303" s="2" t="s">
        <v>15</v>
      </c>
      <c r="O1303">
        <v>44.634999999999998</v>
      </c>
    </row>
    <row r="1304" spans="1:15" x14ac:dyDescent="0.3">
      <c r="A1304" s="1">
        <v>45412</v>
      </c>
      <c r="B1304" s="2" t="s">
        <v>23</v>
      </c>
      <c r="C1304" s="2" t="s">
        <v>12</v>
      </c>
      <c r="D1304" s="2" t="s">
        <v>13</v>
      </c>
      <c r="E1304">
        <v>180.3</v>
      </c>
      <c r="F1304">
        <v>21.76</v>
      </c>
      <c r="G1304">
        <v>0</v>
      </c>
      <c r="H1304">
        <f t="shared" si="20"/>
        <v>58562.910000000018</v>
      </c>
      <c r="I1304" t="str">
        <f>IF(Sheet1[[#This Row],[Month_Revenue]] &lt; AVERAGE(Sheet1[Month_Revenue]), "Off-Peak", "Peak")</f>
        <v>Peak</v>
      </c>
      <c r="J1304">
        <f xml:space="preserve"> IF(Sheet1[[#This Row],[Ad Spend]] &gt; 0, (Sheet1[[#This Row],[Profit]] / Sheet1[[#This Row],[Ad Spend]]), 0)</f>
        <v>7.2858455882352944</v>
      </c>
      <c r="K1304">
        <f>Sheet1[[#This Row],[Revenue]]-Sheet1[[#This Row],[Ad Spend]]</f>
        <v>158.54000000000002</v>
      </c>
      <c r="L1304" s="2" t="s">
        <v>14</v>
      </c>
      <c r="M1304">
        <v>4</v>
      </c>
      <c r="N1304" s="2" t="s">
        <v>19</v>
      </c>
      <c r="O1304">
        <v>0</v>
      </c>
    </row>
    <row r="1305" spans="1:15" x14ac:dyDescent="0.3">
      <c r="A1305" s="1">
        <v>45312</v>
      </c>
      <c r="B1305" s="2" t="s">
        <v>20</v>
      </c>
      <c r="C1305" s="2" t="s">
        <v>12</v>
      </c>
      <c r="D1305" s="2" t="s">
        <v>13</v>
      </c>
      <c r="E1305">
        <v>150.66999999999999</v>
      </c>
      <c r="F1305">
        <v>30.77</v>
      </c>
      <c r="G1305">
        <v>1</v>
      </c>
      <c r="H1305">
        <f t="shared" si="20"/>
        <v>61207.979999999989</v>
      </c>
      <c r="I1305" t="str">
        <f>IF(Sheet1[[#This Row],[Month_Revenue]] &lt; AVERAGE(Sheet1[Month_Revenue]), "Off-Peak", "Peak")</f>
        <v>Peak</v>
      </c>
      <c r="J1305">
        <f xml:space="preserve"> IF(Sheet1[[#This Row],[Ad Spend]] &gt; 0, (Sheet1[[#This Row],[Profit]] / Sheet1[[#This Row],[Ad Spend]]), 0)</f>
        <v>3.8966525836854076</v>
      </c>
      <c r="K1305">
        <f>Sheet1[[#This Row],[Revenue]]-Sheet1[[#This Row],[Ad Spend]]</f>
        <v>119.89999999999999</v>
      </c>
      <c r="L1305" s="2" t="s">
        <v>14</v>
      </c>
      <c r="M1305">
        <v>1</v>
      </c>
      <c r="N1305" s="2" t="s">
        <v>15</v>
      </c>
      <c r="O1305">
        <v>150.66999999999999</v>
      </c>
    </row>
    <row r="1306" spans="1:15" x14ac:dyDescent="0.3">
      <c r="A1306" s="1">
        <v>45294</v>
      </c>
      <c r="B1306" s="2" t="s">
        <v>11</v>
      </c>
      <c r="C1306" s="2" t="s">
        <v>17</v>
      </c>
      <c r="D1306" s="2" t="s">
        <v>18</v>
      </c>
      <c r="E1306">
        <v>162.91999999999999</v>
      </c>
      <c r="F1306">
        <v>19.7</v>
      </c>
      <c r="G1306">
        <v>1</v>
      </c>
      <c r="H1306">
        <f t="shared" si="20"/>
        <v>61207.979999999989</v>
      </c>
      <c r="I1306" t="str">
        <f>IF(Sheet1[[#This Row],[Month_Revenue]] &lt; AVERAGE(Sheet1[Month_Revenue]), "Off-Peak", "Peak")</f>
        <v>Peak</v>
      </c>
      <c r="J1306">
        <f xml:space="preserve"> IF(Sheet1[[#This Row],[Ad Spend]] &gt; 0, (Sheet1[[#This Row],[Profit]] / Sheet1[[#This Row],[Ad Spend]]), 0)</f>
        <v>7.2700507614213201</v>
      </c>
      <c r="K1306">
        <f>Sheet1[[#This Row],[Revenue]]-Sheet1[[#This Row],[Ad Spend]]</f>
        <v>143.22</v>
      </c>
      <c r="L1306" s="2" t="s">
        <v>22</v>
      </c>
      <c r="M1306">
        <v>1</v>
      </c>
      <c r="N1306" s="2" t="s">
        <v>15</v>
      </c>
      <c r="O1306">
        <v>162.91999999999999</v>
      </c>
    </row>
    <row r="1307" spans="1:15" x14ac:dyDescent="0.3">
      <c r="A1307" s="1">
        <v>45343</v>
      </c>
      <c r="B1307" s="2" t="s">
        <v>24</v>
      </c>
      <c r="C1307" s="2" t="s">
        <v>17</v>
      </c>
      <c r="D1307" s="2" t="s">
        <v>18</v>
      </c>
      <c r="E1307">
        <v>95.27</v>
      </c>
      <c r="F1307">
        <v>40.76</v>
      </c>
      <c r="G1307">
        <v>3</v>
      </c>
      <c r="H1307">
        <f t="shared" si="20"/>
        <v>48675.899999999936</v>
      </c>
      <c r="I1307" t="str">
        <f>IF(Sheet1[[#This Row],[Month_Revenue]] &lt; AVERAGE(Sheet1[Month_Revenue]), "Off-Peak", "Peak")</f>
        <v>Off-Peak</v>
      </c>
      <c r="J1307">
        <f xml:space="preserve"> IF(Sheet1[[#This Row],[Ad Spend]] &gt; 0, (Sheet1[[#This Row],[Profit]] / Sheet1[[#This Row],[Ad Spend]]), 0)</f>
        <v>1.3373405299313053</v>
      </c>
      <c r="K1307">
        <f>Sheet1[[#This Row],[Revenue]]-Sheet1[[#This Row],[Ad Spend]]</f>
        <v>54.51</v>
      </c>
      <c r="L1307" s="2" t="s">
        <v>22</v>
      </c>
      <c r="M1307">
        <v>2</v>
      </c>
      <c r="N1307" s="2" t="s">
        <v>15</v>
      </c>
      <c r="O1307">
        <v>31.756666666666664</v>
      </c>
    </row>
    <row r="1308" spans="1:15" x14ac:dyDescent="0.3">
      <c r="A1308" s="1">
        <v>45357</v>
      </c>
      <c r="B1308" s="2" t="s">
        <v>16</v>
      </c>
      <c r="C1308" s="2" t="s">
        <v>12</v>
      </c>
      <c r="D1308" s="2" t="s">
        <v>18</v>
      </c>
      <c r="E1308">
        <v>41.74</v>
      </c>
      <c r="F1308">
        <v>8.11</v>
      </c>
      <c r="G1308">
        <v>0</v>
      </c>
      <c r="H1308">
        <f t="shared" si="20"/>
        <v>54735.250000000029</v>
      </c>
      <c r="I1308" t="str">
        <f>IF(Sheet1[[#This Row],[Month_Revenue]] &lt; AVERAGE(Sheet1[Month_Revenue]), "Off-Peak", "Peak")</f>
        <v>Off-Peak</v>
      </c>
      <c r="J1308">
        <f xml:space="preserve"> IF(Sheet1[[#This Row],[Ad Spend]] &gt; 0, (Sheet1[[#This Row],[Profit]] / Sheet1[[#This Row],[Ad Spend]]), 0)</f>
        <v>4.1467324290998775</v>
      </c>
      <c r="K1308">
        <f>Sheet1[[#This Row],[Revenue]]-Sheet1[[#This Row],[Ad Spend]]</f>
        <v>33.630000000000003</v>
      </c>
      <c r="L1308" s="2" t="s">
        <v>14</v>
      </c>
      <c r="M1308">
        <v>3</v>
      </c>
      <c r="N1308" s="2" t="s">
        <v>19</v>
      </c>
      <c r="O1308">
        <v>0</v>
      </c>
    </row>
    <row r="1309" spans="1:15" x14ac:dyDescent="0.3">
      <c r="A1309" s="1">
        <v>45334</v>
      </c>
      <c r="B1309" s="2" t="s">
        <v>23</v>
      </c>
      <c r="C1309" s="2" t="s">
        <v>17</v>
      </c>
      <c r="D1309" s="2" t="s">
        <v>18</v>
      </c>
      <c r="E1309">
        <v>57.76</v>
      </c>
      <c r="F1309">
        <v>34.43</v>
      </c>
      <c r="G1309">
        <v>1</v>
      </c>
      <c r="H1309">
        <f t="shared" si="20"/>
        <v>48675.899999999936</v>
      </c>
      <c r="I1309" t="str">
        <f>IF(Sheet1[[#This Row],[Month_Revenue]] &lt; AVERAGE(Sheet1[Month_Revenue]), "Off-Peak", "Peak")</f>
        <v>Off-Peak</v>
      </c>
      <c r="J1309">
        <f xml:space="preserve"> IF(Sheet1[[#This Row],[Ad Spend]] &gt; 0, (Sheet1[[#This Row],[Profit]] / Sheet1[[#This Row],[Ad Spend]]), 0)</f>
        <v>0.67760673830961371</v>
      </c>
      <c r="K1309">
        <f>Sheet1[[#This Row],[Revenue]]-Sheet1[[#This Row],[Ad Spend]]</f>
        <v>23.33</v>
      </c>
      <c r="L1309" s="2" t="s">
        <v>22</v>
      </c>
      <c r="M1309">
        <v>2</v>
      </c>
      <c r="N1309" s="2" t="s">
        <v>15</v>
      </c>
      <c r="O1309">
        <v>57.76</v>
      </c>
    </row>
    <row r="1310" spans="1:15" x14ac:dyDescent="0.3">
      <c r="A1310" s="1">
        <v>45318</v>
      </c>
      <c r="B1310" s="2" t="s">
        <v>20</v>
      </c>
      <c r="C1310" s="2" t="s">
        <v>21</v>
      </c>
      <c r="D1310" s="2" t="s">
        <v>18</v>
      </c>
      <c r="E1310">
        <v>68.61</v>
      </c>
      <c r="F1310">
        <v>26.65</v>
      </c>
      <c r="G1310">
        <v>3</v>
      </c>
      <c r="H1310">
        <f t="shared" si="20"/>
        <v>61207.979999999989</v>
      </c>
      <c r="I1310" t="str">
        <f>IF(Sheet1[[#This Row],[Month_Revenue]] &lt; AVERAGE(Sheet1[Month_Revenue]), "Off-Peak", "Peak")</f>
        <v>Peak</v>
      </c>
      <c r="J1310">
        <f xml:space="preserve"> IF(Sheet1[[#This Row],[Ad Spend]] &gt; 0, (Sheet1[[#This Row],[Profit]] / Sheet1[[#This Row],[Ad Spend]]), 0)</f>
        <v>1.5744840525328332</v>
      </c>
      <c r="K1310">
        <f>Sheet1[[#This Row],[Revenue]]-Sheet1[[#This Row],[Ad Spend]]</f>
        <v>41.96</v>
      </c>
      <c r="L1310" s="2" t="s">
        <v>22</v>
      </c>
      <c r="M1310">
        <v>1</v>
      </c>
      <c r="N1310" s="2" t="s">
        <v>15</v>
      </c>
      <c r="O1310">
        <v>22.87</v>
      </c>
    </row>
    <row r="1311" spans="1:15" x14ac:dyDescent="0.3">
      <c r="A1311" s="1">
        <v>45393</v>
      </c>
      <c r="B1311" s="2" t="s">
        <v>24</v>
      </c>
      <c r="C1311" s="2" t="s">
        <v>12</v>
      </c>
      <c r="D1311" s="2" t="s">
        <v>18</v>
      </c>
      <c r="E1311">
        <v>171.3</v>
      </c>
      <c r="F1311">
        <v>0.31</v>
      </c>
      <c r="G1311">
        <v>0</v>
      </c>
      <c r="H1311">
        <f t="shared" si="20"/>
        <v>58562.910000000018</v>
      </c>
      <c r="I1311" t="str">
        <f>IF(Sheet1[[#This Row],[Month_Revenue]] &lt; AVERAGE(Sheet1[Month_Revenue]), "Off-Peak", "Peak")</f>
        <v>Peak</v>
      </c>
      <c r="J1311">
        <f xml:space="preserve"> IF(Sheet1[[#This Row],[Ad Spend]] &gt; 0, (Sheet1[[#This Row],[Profit]] / Sheet1[[#This Row],[Ad Spend]]), 0)</f>
        <v>551.58064516129036</v>
      </c>
      <c r="K1311">
        <f>Sheet1[[#This Row],[Revenue]]-Sheet1[[#This Row],[Ad Spend]]</f>
        <v>170.99</v>
      </c>
      <c r="L1311" s="2" t="s">
        <v>14</v>
      </c>
      <c r="M1311">
        <v>4</v>
      </c>
      <c r="N1311" s="2" t="s">
        <v>19</v>
      </c>
      <c r="O1311">
        <v>0</v>
      </c>
    </row>
    <row r="1312" spans="1:15" x14ac:dyDescent="0.3">
      <c r="A1312" s="1">
        <v>45314</v>
      </c>
      <c r="B1312" s="2" t="s">
        <v>11</v>
      </c>
      <c r="C1312" s="2" t="s">
        <v>21</v>
      </c>
      <c r="D1312" s="2" t="s">
        <v>18</v>
      </c>
      <c r="E1312">
        <v>44.74</v>
      </c>
      <c r="F1312">
        <v>37.24</v>
      </c>
      <c r="G1312">
        <v>0</v>
      </c>
      <c r="H1312">
        <f t="shared" si="20"/>
        <v>61207.979999999989</v>
      </c>
      <c r="I1312" t="str">
        <f>IF(Sheet1[[#This Row],[Month_Revenue]] &lt; AVERAGE(Sheet1[Month_Revenue]), "Off-Peak", "Peak")</f>
        <v>Peak</v>
      </c>
      <c r="J1312">
        <f xml:space="preserve"> IF(Sheet1[[#This Row],[Ad Spend]] &gt; 0, (Sheet1[[#This Row],[Profit]] / Sheet1[[#This Row],[Ad Spend]]), 0)</f>
        <v>0.20139634801288936</v>
      </c>
      <c r="K1312">
        <f>Sheet1[[#This Row],[Revenue]]-Sheet1[[#This Row],[Ad Spend]]</f>
        <v>7.5</v>
      </c>
      <c r="L1312" s="2" t="s">
        <v>14</v>
      </c>
      <c r="M1312">
        <v>1</v>
      </c>
      <c r="N1312" s="2" t="s">
        <v>15</v>
      </c>
      <c r="O1312">
        <v>0</v>
      </c>
    </row>
    <row r="1313" spans="1:15" x14ac:dyDescent="0.3">
      <c r="A1313" s="1">
        <v>45320</v>
      </c>
      <c r="B1313" s="2" t="s">
        <v>11</v>
      </c>
      <c r="C1313" s="2" t="s">
        <v>17</v>
      </c>
      <c r="D1313" s="2" t="s">
        <v>13</v>
      </c>
      <c r="E1313">
        <v>185.14</v>
      </c>
      <c r="F1313">
        <v>25.15</v>
      </c>
      <c r="G1313">
        <v>0</v>
      </c>
      <c r="H1313">
        <f t="shared" si="20"/>
        <v>61207.979999999989</v>
      </c>
      <c r="I1313" t="str">
        <f>IF(Sheet1[[#This Row],[Month_Revenue]] &lt; AVERAGE(Sheet1[Month_Revenue]), "Off-Peak", "Peak")</f>
        <v>Peak</v>
      </c>
      <c r="J1313">
        <f xml:space="preserve"> IF(Sheet1[[#This Row],[Ad Spend]] &gt; 0, (Sheet1[[#This Row],[Profit]] / Sheet1[[#This Row],[Ad Spend]]), 0)</f>
        <v>6.3614314115308144</v>
      </c>
      <c r="K1313">
        <f>Sheet1[[#This Row],[Revenue]]-Sheet1[[#This Row],[Ad Spend]]</f>
        <v>159.98999999999998</v>
      </c>
      <c r="L1313" s="2" t="s">
        <v>22</v>
      </c>
      <c r="M1313">
        <v>1</v>
      </c>
      <c r="N1313" s="2" t="s">
        <v>15</v>
      </c>
      <c r="O1313">
        <v>0</v>
      </c>
    </row>
    <row r="1314" spans="1:15" x14ac:dyDescent="0.3">
      <c r="A1314" s="1">
        <v>45385</v>
      </c>
      <c r="B1314" s="2" t="s">
        <v>23</v>
      </c>
      <c r="C1314" s="2" t="s">
        <v>17</v>
      </c>
      <c r="D1314" s="2" t="s">
        <v>13</v>
      </c>
      <c r="E1314">
        <v>47.41</v>
      </c>
      <c r="F1314">
        <v>9.58</v>
      </c>
      <c r="G1314">
        <v>1</v>
      </c>
      <c r="H1314">
        <f t="shared" si="20"/>
        <v>58562.910000000018</v>
      </c>
      <c r="I1314" t="str">
        <f>IF(Sheet1[[#This Row],[Month_Revenue]] &lt; AVERAGE(Sheet1[Month_Revenue]), "Off-Peak", "Peak")</f>
        <v>Peak</v>
      </c>
      <c r="J1314">
        <f xml:space="preserve"> IF(Sheet1[[#This Row],[Ad Spend]] &gt; 0, (Sheet1[[#This Row],[Profit]] / Sheet1[[#This Row],[Ad Spend]]), 0)</f>
        <v>3.9488517745302714</v>
      </c>
      <c r="K1314">
        <f>Sheet1[[#This Row],[Revenue]]-Sheet1[[#This Row],[Ad Spend]]</f>
        <v>37.83</v>
      </c>
      <c r="L1314" s="2" t="s">
        <v>14</v>
      </c>
      <c r="M1314">
        <v>4</v>
      </c>
      <c r="N1314" s="2" t="s">
        <v>19</v>
      </c>
      <c r="O1314">
        <v>47.41</v>
      </c>
    </row>
    <row r="1315" spans="1:15" x14ac:dyDescent="0.3">
      <c r="A1315" s="1">
        <v>45296</v>
      </c>
      <c r="B1315" s="2" t="s">
        <v>16</v>
      </c>
      <c r="C1315" s="2" t="s">
        <v>17</v>
      </c>
      <c r="D1315" s="2" t="s">
        <v>13</v>
      </c>
      <c r="E1315">
        <v>137.56</v>
      </c>
      <c r="F1315">
        <v>8.75</v>
      </c>
      <c r="G1315">
        <v>3</v>
      </c>
      <c r="H1315">
        <f t="shared" si="20"/>
        <v>61207.979999999989</v>
      </c>
      <c r="I1315" t="str">
        <f>IF(Sheet1[[#This Row],[Month_Revenue]] &lt; AVERAGE(Sheet1[Month_Revenue]), "Off-Peak", "Peak")</f>
        <v>Peak</v>
      </c>
      <c r="J1315">
        <f xml:space="preserve"> IF(Sheet1[[#This Row],[Ad Spend]] &gt; 0, (Sheet1[[#This Row],[Profit]] / Sheet1[[#This Row],[Ad Spend]]), 0)</f>
        <v>14.721142857142857</v>
      </c>
      <c r="K1315">
        <f>Sheet1[[#This Row],[Revenue]]-Sheet1[[#This Row],[Ad Spend]]</f>
        <v>128.81</v>
      </c>
      <c r="L1315" s="2" t="s">
        <v>22</v>
      </c>
      <c r="M1315">
        <v>1</v>
      </c>
      <c r="N1315" s="2" t="s">
        <v>15</v>
      </c>
      <c r="O1315">
        <v>45.853333333333332</v>
      </c>
    </row>
    <row r="1316" spans="1:15" x14ac:dyDescent="0.3">
      <c r="A1316" s="1">
        <v>45407</v>
      </c>
      <c r="B1316" s="2" t="s">
        <v>16</v>
      </c>
      <c r="C1316" s="2" t="s">
        <v>17</v>
      </c>
      <c r="D1316" s="2" t="s">
        <v>13</v>
      </c>
      <c r="E1316">
        <v>110.17</v>
      </c>
      <c r="F1316">
        <v>8.6</v>
      </c>
      <c r="G1316">
        <v>0</v>
      </c>
      <c r="H1316">
        <f t="shared" si="20"/>
        <v>58562.910000000018</v>
      </c>
      <c r="I1316" t="str">
        <f>IF(Sheet1[[#This Row],[Month_Revenue]] &lt; AVERAGE(Sheet1[Month_Revenue]), "Off-Peak", "Peak")</f>
        <v>Peak</v>
      </c>
      <c r="J1316">
        <f xml:space="preserve"> IF(Sheet1[[#This Row],[Ad Spend]] &gt; 0, (Sheet1[[#This Row],[Profit]] / Sheet1[[#This Row],[Ad Spend]]), 0)</f>
        <v>11.810465116279071</v>
      </c>
      <c r="K1316">
        <f>Sheet1[[#This Row],[Revenue]]-Sheet1[[#This Row],[Ad Spend]]</f>
        <v>101.57000000000001</v>
      </c>
      <c r="L1316" s="2" t="s">
        <v>22</v>
      </c>
      <c r="M1316">
        <v>4</v>
      </c>
      <c r="N1316" s="2" t="s">
        <v>19</v>
      </c>
      <c r="O1316">
        <v>0</v>
      </c>
    </row>
    <row r="1317" spans="1:15" x14ac:dyDescent="0.3">
      <c r="A1317" s="1">
        <v>45374</v>
      </c>
      <c r="B1317" s="2" t="s">
        <v>20</v>
      </c>
      <c r="C1317" s="2" t="s">
        <v>21</v>
      </c>
      <c r="D1317" s="2" t="s">
        <v>18</v>
      </c>
      <c r="E1317">
        <v>152.78</v>
      </c>
      <c r="F1317">
        <v>32.31</v>
      </c>
      <c r="G1317">
        <v>3</v>
      </c>
      <c r="H1317">
        <f t="shared" si="20"/>
        <v>54735.250000000029</v>
      </c>
      <c r="I1317" t="str">
        <f>IF(Sheet1[[#This Row],[Month_Revenue]] &lt; AVERAGE(Sheet1[Month_Revenue]), "Off-Peak", "Peak")</f>
        <v>Off-Peak</v>
      </c>
      <c r="J1317">
        <f xml:space="preserve"> IF(Sheet1[[#This Row],[Ad Spend]] &gt; 0, (Sheet1[[#This Row],[Profit]] / Sheet1[[#This Row],[Ad Spend]]), 0)</f>
        <v>3.7285670071185391</v>
      </c>
      <c r="K1317">
        <f>Sheet1[[#This Row],[Revenue]]-Sheet1[[#This Row],[Ad Spend]]</f>
        <v>120.47</v>
      </c>
      <c r="L1317" s="2" t="s">
        <v>22</v>
      </c>
      <c r="M1317">
        <v>3</v>
      </c>
      <c r="N1317" s="2" t="s">
        <v>19</v>
      </c>
      <c r="O1317">
        <v>50.926666666666669</v>
      </c>
    </row>
    <row r="1318" spans="1:15" x14ac:dyDescent="0.3">
      <c r="A1318" s="1">
        <v>45317</v>
      </c>
      <c r="B1318" s="2" t="s">
        <v>24</v>
      </c>
      <c r="C1318" s="2" t="s">
        <v>12</v>
      </c>
      <c r="D1318" s="2" t="s">
        <v>13</v>
      </c>
      <c r="E1318">
        <v>184.77</v>
      </c>
      <c r="F1318">
        <v>18.86</v>
      </c>
      <c r="G1318">
        <v>3</v>
      </c>
      <c r="H1318">
        <f t="shared" si="20"/>
        <v>61207.979999999989</v>
      </c>
      <c r="I1318" t="str">
        <f>IF(Sheet1[[#This Row],[Month_Revenue]] &lt; AVERAGE(Sheet1[Month_Revenue]), "Off-Peak", "Peak")</f>
        <v>Peak</v>
      </c>
      <c r="J1318">
        <f xml:space="preserve"> IF(Sheet1[[#This Row],[Ad Spend]] &gt; 0, (Sheet1[[#This Row],[Profit]] / Sheet1[[#This Row],[Ad Spend]]), 0)</f>
        <v>8.7969247083775208</v>
      </c>
      <c r="K1318">
        <f>Sheet1[[#This Row],[Revenue]]-Sheet1[[#This Row],[Ad Spend]]</f>
        <v>165.91000000000003</v>
      </c>
      <c r="L1318" s="2" t="s">
        <v>22</v>
      </c>
      <c r="M1318">
        <v>1</v>
      </c>
      <c r="N1318" s="2" t="s">
        <v>15</v>
      </c>
      <c r="O1318">
        <v>61.59</v>
      </c>
    </row>
    <row r="1319" spans="1:15" x14ac:dyDescent="0.3">
      <c r="A1319" s="1">
        <v>45408</v>
      </c>
      <c r="B1319" s="2" t="s">
        <v>24</v>
      </c>
      <c r="C1319" s="2" t="s">
        <v>17</v>
      </c>
      <c r="D1319" s="2" t="s">
        <v>18</v>
      </c>
      <c r="E1319">
        <v>72.98</v>
      </c>
      <c r="F1319">
        <v>38.200000000000003</v>
      </c>
      <c r="G1319">
        <v>1</v>
      </c>
      <c r="H1319">
        <f t="shared" si="20"/>
        <v>58562.910000000018</v>
      </c>
      <c r="I1319" t="str">
        <f>IF(Sheet1[[#This Row],[Month_Revenue]] &lt; AVERAGE(Sheet1[Month_Revenue]), "Off-Peak", "Peak")</f>
        <v>Peak</v>
      </c>
      <c r="J1319">
        <f xml:space="preserve"> IF(Sheet1[[#This Row],[Ad Spend]] &gt; 0, (Sheet1[[#This Row],[Profit]] / Sheet1[[#This Row],[Ad Spend]]), 0)</f>
        <v>0.9104712041884816</v>
      </c>
      <c r="K1319">
        <f>Sheet1[[#This Row],[Revenue]]-Sheet1[[#This Row],[Ad Spend]]</f>
        <v>34.78</v>
      </c>
      <c r="L1319" s="2" t="s">
        <v>22</v>
      </c>
      <c r="M1319">
        <v>4</v>
      </c>
      <c r="N1319" s="2" t="s">
        <v>19</v>
      </c>
      <c r="O1319">
        <v>72.98</v>
      </c>
    </row>
    <row r="1320" spans="1:15" x14ac:dyDescent="0.3">
      <c r="A1320" s="1">
        <v>45328</v>
      </c>
      <c r="B1320" s="2" t="s">
        <v>24</v>
      </c>
      <c r="C1320" s="2" t="s">
        <v>17</v>
      </c>
      <c r="D1320" s="2" t="s">
        <v>18</v>
      </c>
      <c r="E1320">
        <v>80.010000000000005</v>
      </c>
      <c r="F1320">
        <v>14.86</v>
      </c>
      <c r="G1320">
        <v>3</v>
      </c>
      <c r="H1320">
        <f t="shared" si="20"/>
        <v>48675.899999999936</v>
      </c>
      <c r="I1320" t="str">
        <f>IF(Sheet1[[#This Row],[Month_Revenue]] &lt; AVERAGE(Sheet1[Month_Revenue]), "Off-Peak", "Peak")</f>
        <v>Off-Peak</v>
      </c>
      <c r="J1320">
        <f xml:space="preserve"> IF(Sheet1[[#This Row],[Ad Spend]] &gt; 0, (Sheet1[[#This Row],[Profit]] / Sheet1[[#This Row],[Ad Spend]]), 0)</f>
        <v>4.3842530282637959</v>
      </c>
      <c r="K1320">
        <f>Sheet1[[#This Row],[Revenue]]-Sheet1[[#This Row],[Ad Spend]]</f>
        <v>65.150000000000006</v>
      </c>
      <c r="L1320" s="2" t="s">
        <v>22</v>
      </c>
      <c r="M1320">
        <v>2</v>
      </c>
      <c r="N1320" s="2" t="s">
        <v>15</v>
      </c>
      <c r="O1320">
        <v>26.67</v>
      </c>
    </row>
    <row r="1321" spans="1:15" x14ac:dyDescent="0.3">
      <c r="A1321" s="1">
        <v>45325</v>
      </c>
      <c r="B1321" s="2" t="s">
        <v>24</v>
      </c>
      <c r="C1321" s="2" t="s">
        <v>12</v>
      </c>
      <c r="D1321" s="2" t="s">
        <v>18</v>
      </c>
      <c r="E1321">
        <v>122.52</v>
      </c>
      <c r="F1321">
        <v>49.84</v>
      </c>
      <c r="G1321">
        <v>1</v>
      </c>
      <c r="H1321">
        <f t="shared" si="20"/>
        <v>48675.899999999936</v>
      </c>
      <c r="I1321" t="str">
        <f>IF(Sheet1[[#This Row],[Month_Revenue]] &lt; AVERAGE(Sheet1[Month_Revenue]), "Off-Peak", "Peak")</f>
        <v>Off-Peak</v>
      </c>
      <c r="J1321">
        <f xml:space="preserve"> IF(Sheet1[[#This Row],[Ad Spend]] &gt; 0, (Sheet1[[#This Row],[Profit]] / Sheet1[[#This Row],[Ad Spend]]), 0)</f>
        <v>1.4582664526484748</v>
      </c>
      <c r="K1321">
        <f>Sheet1[[#This Row],[Revenue]]-Sheet1[[#This Row],[Ad Spend]]</f>
        <v>72.679999999999993</v>
      </c>
      <c r="L1321" s="2" t="s">
        <v>22</v>
      </c>
      <c r="M1321">
        <v>2</v>
      </c>
      <c r="N1321" s="2" t="s">
        <v>15</v>
      </c>
      <c r="O1321">
        <v>122.52</v>
      </c>
    </row>
    <row r="1322" spans="1:15" x14ac:dyDescent="0.3">
      <c r="A1322" s="1">
        <v>45412</v>
      </c>
      <c r="B1322" s="2" t="s">
        <v>24</v>
      </c>
      <c r="C1322" s="2" t="s">
        <v>21</v>
      </c>
      <c r="D1322" s="2" t="s">
        <v>13</v>
      </c>
      <c r="E1322">
        <v>75.31</v>
      </c>
      <c r="F1322">
        <v>44.9</v>
      </c>
      <c r="G1322">
        <v>1</v>
      </c>
      <c r="H1322">
        <f t="shared" si="20"/>
        <v>58562.910000000018</v>
      </c>
      <c r="I1322" t="str">
        <f>IF(Sheet1[[#This Row],[Month_Revenue]] &lt; AVERAGE(Sheet1[Month_Revenue]), "Off-Peak", "Peak")</f>
        <v>Peak</v>
      </c>
      <c r="J1322">
        <f xml:space="preserve"> IF(Sheet1[[#This Row],[Ad Spend]] &gt; 0, (Sheet1[[#This Row],[Profit]] / Sheet1[[#This Row],[Ad Spend]]), 0)</f>
        <v>0.67728285077951011</v>
      </c>
      <c r="K1322">
        <f>Sheet1[[#This Row],[Revenue]]-Sheet1[[#This Row],[Ad Spend]]</f>
        <v>30.410000000000004</v>
      </c>
      <c r="L1322" s="2" t="s">
        <v>14</v>
      </c>
      <c r="M1322">
        <v>4</v>
      </c>
      <c r="N1322" s="2" t="s">
        <v>19</v>
      </c>
      <c r="O1322">
        <v>75.31</v>
      </c>
    </row>
    <row r="1323" spans="1:15" x14ac:dyDescent="0.3">
      <c r="A1323" s="1">
        <v>45398</v>
      </c>
      <c r="B1323" s="2" t="s">
        <v>24</v>
      </c>
      <c r="C1323" s="2" t="s">
        <v>17</v>
      </c>
      <c r="D1323" s="2" t="s">
        <v>18</v>
      </c>
      <c r="E1323">
        <v>192.02</v>
      </c>
      <c r="F1323">
        <v>44.01</v>
      </c>
      <c r="G1323">
        <v>2</v>
      </c>
      <c r="H1323">
        <f t="shared" si="20"/>
        <v>58562.910000000018</v>
      </c>
      <c r="I1323" t="str">
        <f>IF(Sheet1[[#This Row],[Month_Revenue]] &lt; AVERAGE(Sheet1[Month_Revenue]), "Off-Peak", "Peak")</f>
        <v>Peak</v>
      </c>
      <c r="J1323">
        <f xml:space="preserve"> IF(Sheet1[[#This Row],[Ad Spend]] &gt; 0, (Sheet1[[#This Row],[Profit]] / Sheet1[[#This Row],[Ad Spend]]), 0)</f>
        <v>3.3630992956146337</v>
      </c>
      <c r="K1323">
        <f>Sheet1[[#This Row],[Revenue]]-Sheet1[[#This Row],[Ad Spend]]</f>
        <v>148.01000000000002</v>
      </c>
      <c r="L1323" s="2" t="s">
        <v>22</v>
      </c>
      <c r="M1323">
        <v>4</v>
      </c>
      <c r="N1323" s="2" t="s">
        <v>19</v>
      </c>
      <c r="O1323">
        <v>96.01</v>
      </c>
    </row>
    <row r="1324" spans="1:15" x14ac:dyDescent="0.3">
      <c r="A1324" s="1">
        <v>45412</v>
      </c>
      <c r="B1324" s="2" t="s">
        <v>11</v>
      </c>
      <c r="C1324" s="2" t="s">
        <v>12</v>
      </c>
      <c r="D1324" s="2" t="s">
        <v>18</v>
      </c>
      <c r="E1324">
        <v>117.5</v>
      </c>
      <c r="F1324">
        <v>11.59</v>
      </c>
      <c r="G1324">
        <v>3</v>
      </c>
      <c r="H1324">
        <f t="shared" si="20"/>
        <v>58562.910000000018</v>
      </c>
      <c r="I1324" t="str">
        <f>IF(Sheet1[[#This Row],[Month_Revenue]] &lt; AVERAGE(Sheet1[Month_Revenue]), "Off-Peak", "Peak")</f>
        <v>Peak</v>
      </c>
      <c r="J1324">
        <f xml:space="preserve"> IF(Sheet1[[#This Row],[Ad Spend]] &gt; 0, (Sheet1[[#This Row],[Profit]] / Sheet1[[#This Row],[Ad Spend]]), 0)</f>
        <v>9.1380500431406375</v>
      </c>
      <c r="K1324">
        <f>Sheet1[[#This Row],[Revenue]]-Sheet1[[#This Row],[Ad Spend]]</f>
        <v>105.91</v>
      </c>
      <c r="L1324" s="2" t="s">
        <v>14</v>
      </c>
      <c r="M1324">
        <v>4</v>
      </c>
      <c r="N1324" s="2" t="s">
        <v>19</v>
      </c>
      <c r="O1324">
        <v>39.166666666666664</v>
      </c>
    </row>
    <row r="1325" spans="1:15" x14ac:dyDescent="0.3">
      <c r="A1325" s="1">
        <v>45335</v>
      </c>
      <c r="B1325" s="2" t="s">
        <v>23</v>
      </c>
      <c r="C1325" s="2" t="s">
        <v>21</v>
      </c>
      <c r="D1325" s="2" t="s">
        <v>13</v>
      </c>
      <c r="E1325">
        <v>184.01</v>
      </c>
      <c r="F1325">
        <v>39.090000000000003</v>
      </c>
      <c r="G1325">
        <v>3</v>
      </c>
      <c r="H1325">
        <f t="shared" si="20"/>
        <v>48675.899999999936</v>
      </c>
      <c r="I1325" t="str">
        <f>IF(Sheet1[[#This Row],[Month_Revenue]] &lt; AVERAGE(Sheet1[Month_Revenue]), "Off-Peak", "Peak")</f>
        <v>Off-Peak</v>
      </c>
      <c r="J1325">
        <f xml:space="preserve"> IF(Sheet1[[#This Row],[Ad Spend]] &gt; 0, (Sheet1[[#This Row],[Profit]] / Sheet1[[#This Row],[Ad Spend]]), 0)</f>
        <v>3.7073420312100276</v>
      </c>
      <c r="K1325">
        <f>Sheet1[[#This Row],[Revenue]]-Sheet1[[#This Row],[Ad Spend]]</f>
        <v>144.91999999999999</v>
      </c>
      <c r="L1325" s="2" t="s">
        <v>22</v>
      </c>
      <c r="M1325">
        <v>2</v>
      </c>
      <c r="N1325" s="2" t="s">
        <v>15</v>
      </c>
      <c r="O1325">
        <v>61.336666666666666</v>
      </c>
    </row>
    <row r="1326" spans="1:15" x14ac:dyDescent="0.3">
      <c r="A1326" s="1">
        <v>45346</v>
      </c>
      <c r="B1326" s="2" t="s">
        <v>24</v>
      </c>
      <c r="C1326" s="2" t="s">
        <v>17</v>
      </c>
      <c r="D1326" s="2" t="s">
        <v>13</v>
      </c>
      <c r="E1326">
        <v>179.97</v>
      </c>
      <c r="F1326">
        <v>11.47</v>
      </c>
      <c r="G1326">
        <v>2</v>
      </c>
      <c r="H1326">
        <f t="shared" si="20"/>
        <v>48675.899999999936</v>
      </c>
      <c r="I1326" t="str">
        <f>IF(Sheet1[[#This Row],[Month_Revenue]] &lt; AVERAGE(Sheet1[Month_Revenue]), "Off-Peak", "Peak")</f>
        <v>Off-Peak</v>
      </c>
      <c r="J1326">
        <f xml:space="preserve"> IF(Sheet1[[#This Row],[Ad Spend]] &gt; 0, (Sheet1[[#This Row],[Profit]] / Sheet1[[#This Row],[Ad Spend]]), 0)</f>
        <v>14.690496948561464</v>
      </c>
      <c r="K1326">
        <f>Sheet1[[#This Row],[Revenue]]-Sheet1[[#This Row],[Ad Spend]]</f>
        <v>168.5</v>
      </c>
      <c r="L1326" s="2" t="s">
        <v>22</v>
      </c>
      <c r="M1326">
        <v>2</v>
      </c>
      <c r="N1326" s="2" t="s">
        <v>15</v>
      </c>
      <c r="O1326">
        <v>89.984999999999999</v>
      </c>
    </row>
    <row r="1327" spans="1:15" x14ac:dyDescent="0.3">
      <c r="A1327" s="1">
        <v>45304</v>
      </c>
      <c r="B1327" s="2" t="s">
        <v>11</v>
      </c>
      <c r="C1327" s="2" t="s">
        <v>21</v>
      </c>
      <c r="D1327" s="2" t="s">
        <v>18</v>
      </c>
      <c r="E1327">
        <v>152.47</v>
      </c>
      <c r="F1327">
        <v>22.69</v>
      </c>
      <c r="G1327">
        <v>2</v>
      </c>
      <c r="H1327">
        <f t="shared" si="20"/>
        <v>61207.979999999989</v>
      </c>
      <c r="I1327" t="str">
        <f>IF(Sheet1[[#This Row],[Month_Revenue]] &lt; AVERAGE(Sheet1[Month_Revenue]), "Off-Peak", "Peak")</f>
        <v>Peak</v>
      </c>
      <c r="J1327">
        <f xml:space="preserve"> IF(Sheet1[[#This Row],[Ad Spend]] &gt; 0, (Sheet1[[#This Row],[Profit]] / Sheet1[[#This Row],[Ad Spend]]), 0)</f>
        <v>5.7197003085059492</v>
      </c>
      <c r="K1327">
        <f>Sheet1[[#This Row],[Revenue]]-Sheet1[[#This Row],[Ad Spend]]</f>
        <v>129.78</v>
      </c>
      <c r="L1327" s="2" t="s">
        <v>14</v>
      </c>
      <c r="M1327">
        <v>1</v>
      </c>
      <c r="N1327" s="2" t="s">
        <v>15</v>
      </c>
      <c r="O1327">
        <v>76.234999999999999</v>
      </c>
    </row>
    <row r="1328" spans="1:15" x14ac:dyDescent="0.3">
      <c r="A1328" s="1">
        <v>45359</v>
      </c>
      <c r="B1328" s="2" t="s">
        <v>24</v>
      </c>
      <c r="C1328" s="2" t="s">
        <v>12</v>
      </c>
      <c r="D1328" s="2" t="s">
        <v>13</v>
      </c>
      <c r="E1328">
        <v>143.69999999999999</v>
      </c>
      <c r="F1328">
        <v>5.42</v>
      </c>
      <c r="G1328">
        <v>0</v>
      </c>
      <c r="H1328">
        <f t="shared" si="20"/>
        <v>54735.250000000029</v>
      </c>
      <c r="I1328" t="str">
        <f>IF(Sheet1[[#This Row],[Month_Revenue]] &lt; AVERAGE(Sheet1[Month_Revenue]), "Off-Peak", "Peak")</f>
        <v>Off-Peak</v>
      </c>
      <c r="J1328">
        <f xml:space="preserve"> IF(Sheet1[[#This Row],[Ad Spend]] &gt; 0, (Sheet1[[#This Row],[Profit]] / Sheet1[[#This Row],[Ad Spend]]), 0)</f>
        <v>25.512915129151292</v>
      </c>
      <c r="K1328">
        <f>Sheet1[[#This Row],[Revenue]]-Sheet1[[#This Row],[Ad Spend]]</f>
        <v>138.28</v>
      </c>
      <c r="L1328" s="2" t="s">
        <v>14</v>
      </c>
      <c r="M1328">
        <v>3</v>
      </c>
      <c r="N1328" s="2" t="s">
        <v>19</v>
      </c>
      <c r="O1328">
        <v>0</v>
      </c>
    </row>
    <row r="1329" spans="1:15" x14ac:dyDescent="0.3">
      <c r="A1329" s="1">
        <v>45392</v>
      </c>
      <c r="B1329" s="2" t="s">
        <v>16</v>
      </c>
      <c r="C1329" s="2" t="s">
        <v>21</v>
      </c>
      <c r="D1329" s="2" t="s">
        <v>18</v>
      </c>
      <c r="E1329">
        <v>177.73</v>
      </c>
      <c r="F1329">
        <v>26.92</v>
      </c>
      <c r="G1329">
        <v>0</v>
      </c>
      <c r="H1329">
        <f t="shared" si="20"/>
        <v>58562.910000000018</v>
      </c>
      <c r="I1329" t="str">
        <f>IF(Sheet1[[#This Row],[Month_Revenue]] &lt; AVERAGE(Sheet1[Month_Revenue]), "Off-Peak", "Peak")</f>
        <v>Peak</v>
      </c>
      <c r="J1329">
        <f xml:space="preserve"> IF(Sheet1[[#This Row],[Ad Spend]] &gt; 0, (Sheet1[[#This Row],[Profit]] / Sheet1[[#This Row],[Ad Spend]]), 0)</f>
        <v>5.6021545319465078</v>
      </c>
      <c r="K1329">
        <f>Sheet1[[#This Row],[Revenue]]-Sheet1[[#This Row],[Ad Spend]]</f>
        <v>150.81</v>
      </c>
      <c r="L1329" s="2" t="s">
        <v>14</v>
      </c>
      <c r="M1329">
        <v>4</v>
      </c>
      <c r="N1329" s="2" t="s">
        <v>19</v>
      </c>
      <c r="O1329">
        <v>0</v>
      </c>
    </row>
    <row r="1330" spans="1:15" x14ac:dyDescent="0.3">
      <c r="A1330" s="1">
        <v>45410</v>
      </c>
      <c r="B1330" s="2" t="s">
        <v>24</v>
      </c>
      <c r="C1330" s="2" t="s">
        <v>12</v>
      </c>
      <c r="D1330" s="2" t="s">
        <v>18</v>
      </c>
      <c r="E1330">
        <v>131.18</v>
      </c>
      <c r="F1330">
        <v>44.23</v>
      </c>
      <c r="G1330">
        <v>2</v>
      </c>
      <c r="H1330">
        <f t="shared" si="20"/>
        <v>58562.910000000018</v>
      </c>
      <c r="I1330" t="str">
        <f>IF(Sheet1[[#This Row],[Month_Revenue]] &lt; AVERAGE(Sheet1[Month_Revenue]), "Off-Peak", "Peak")</f>
        <v>Peak</v>
      </c>
      <c r="J1330">
        <f xml:space="preserve"> IF(Sheet1[[#This Row],[Ad Spend]] &gt; 0, (Sheet1[[#This Row],[Profit]] / Sheet1[[#This Row],[Ad Spend]]), 0)</f>
        <v>1.9658602758308845</v>
      </c>
      <c r="K1330">
        <f>Sheet1[[#This Row],[Revenue]]-Sheet1[[#This Row],[Ad Spend]]</f>
        <v>86.950000000000017</v>
      </c>
      <c r="L1330" s="2" t="s">
        <v>14</v>
      </c>
      <c r="M1330">
        <v>4</v>
      </c>
      <c r="N1330" s="2" t="s">
        <v>19</v>
      </c>
      <c r="O1330">
        <v>65.59</v>
      </c>
    </row>
    <row r="1331" spans="1:15" x14ac:dyDescent="0.3">
      <c r="A1331" s="1">
        <v>45388</v>
      </c>
      <c r="B1331" s="2" t="s">
        <v>16</v>
      </c>
      <c r="C1331" s="2" t="s">
        <v>21</v>
      </c>
      <c r="D1331" s="2" t="s">
        <v>18</v>
      </c>
      <c r="E1331">
        <v>94.7</v>
      </c>
      <c r="F1331">
        <v>47.7</v>
      </c>
      <c r="G1331">
        <v>1</v>
      </c>
      <c r="H1331">
        <f t="shared" si="20"/>
        <v>58562.910000000018</v>
      </c>
      <c r="I1331" t="str">
        <f>IF(Sheet1[[#This Row],[Month_Revenue]] &lt; AVERAGE(Sheet1[Month_Revenue]), "Off-Peak", "Peak")</f>
        <v>Peak</v>
      </c>
      <c r="J1331">
        <f xml:space="preserve"> IF(Sheet1[[#This Row],[Ad Spend]] &gt; 0, (Sheet1[[#This Row],[Profit]] / Sheet1[[#This Row],[Ad Spend]]), 0)</f>
        <v>0.9853249475890985</v>
      </c>
      <c r="K1331">
        <f>Sheet1[[#This Row],[Revenue]]-Sheet1[[#This Row],[Ad Spend]]</f>
        <v>47</v>
      </c>
      <c r="L1331" s="2" t="s">
        <v>14</v>
      </c>
      <c r="M1331">
        <v>4</v>
      </c>
      <c r="N1331" s="2" t="s">
        <v>19</v>
      </c>
      <c r="O1331">
        <v>94.7</v>
      </c>
    </row>
    <row r="1332" spans="1:15" x14ac:dyDescent="0.3">
      <c r="A1332" s="1">
        <v>45404</v>
      </c>
      <c r="B1332" s="2" t="s">
        <v>20</v>
      </c>
      <c r="C1332" s="2" t="s">
        <v>21</v>
      </c>
      <c r="D1332" s="2" t="s">
        <v>18</v>
      </c>
      <c r="E1332">
        <v>125.31</v>
      </c>
      <c r="F1332">
        <v>47.15</v>
      </c>
      <c r="G1332">
        <v>2</v>
      </c>
      <c r="H1332">
        <f t="shared" si="20"/>
        <v>58562.910000000018</v>
      </c>
      <c r="I1332" t="str">
        <f>IF(Sheet1[[#This Row],[Month_Revenue]] &lt; AVERAGE(Sheet1[Month_Revenue]), "Off-Peak", "Peak")</f>
        <v>Peak</v>
      </c>
      <c r="J1332">
        <f xml:space="preserve"> IF(Sheet1[[#This Row],[Ad Spend]] &gt; 0, (Sheet1[[#This Row],[Profit]] / Sheet1[[#This Row],[Ad Spend]]), 0)</f>
        <v>1.6576882290562036</v>
      </c>
      <c r="K1332">
        <f>Sheet1[[#This Row],[Revenue]]-Sheet1[[#This Row],[Ad Spend]]</f>
        <v>78.16</v>
      </c>
      <c r="L1332" s="2" t="s">
        <v>14</v>
      </c>
      <c r="M1332">
        <v>4</v>
      </c>
      <c r="N1332" s="2" t="s">
        <v>19</v>
      </c>
      <c r="O1332">
        <v>62.655000000000001</v>
      </c>
    </row>
    <row r="1333" spans="1:15" x14ac:dyDescent="0.3">
      <c r="A1333" s="1">
        <v>45390</v>
      </c>
      <c r="B1333" s="2" t="s">
        <v>23</v>
      </c>
      <c r="C1333" s="2" t="s">
        <v>21</v>
      </c>
      <c r="D1333" s="2" t="s">
        <v>18</v>
      </c>
      <c r="E1333">
        <v>136.88999999999999</v>
      </c>
      <c r="F1333">
        <v>42.23</v>
      </c>
      <c r="G1333">
        <v>3</v>
      </c>
      <c r="H1333">
        <f t="shared" si="20"/>
        <v>58562.910000000018</v>
      </c>
      <c r="I1333" t="str">
        <f>IF(Sheet1[[#This Row],[Month_Revenue]] &lt; AVERAGE(Sheet1[Month_Revenue]), "Off-Peak", "Peak")</f>
        <v>Peak</v>
      </c>
      <c r="J1333">
        <f xml:space="preserve"> IF(Sheet1[[#This Row],[Ad Spend]] &gt; 0, (Sheet1[[#This Row],[Profit]] / Sheet1[[#This Row],[Ad Spend]]), 0)</f>
        <v>2.2415344541794933</v>
      </c>
      <c r="K1333">
        <f>Sheet1[[#This Row],[Revenue]]-Sheet1[[#This Row],[Ad Spend]]</f>
        <v>94.66</v>
      </c>
      <c r="L1333" s="2" t="s">
        <v>22</v>
      </c>
      <c r="M1333">
        <v>4</v>
      </c>
      <c r="N1333" s="2" t="s">
        <v>19</v>
      </c>
      <c r="O1333">
        <v>45.629999999999995</v>
      </c>
    </row>
    <row r="1334" spans="1:15" x14ac:dyDescent="0.3">
      <c r="A1334" s="1">
        <v>45352</v>
      </c>
      <c r="B1334" s="2" t="s">
        <v>23</v>
      </c>
      <c r="C1334" s="2" t="s">
        <v>12</v>
      </c>
      <c r="D1334" s="2" t="s">
        <v>13</v>
      </c>
      <c r="E1334">
        <v>149.55000000000001</v>
      </c>
      <c r="F1334">
        <v>8.92</v>
      </c>
      <c r="G1334">
        <v>1</v>
      </c>
      <c r="H1334">
        <f t="shared" si="20"/>
        <v>54735.250000000029</v>
      </c>
      <c r="I1334" t="str">
        <f>IF(Sheet1[[#This Row],[Month_Revenue]] &lt; AVERAGE(Sheet1[Month_Revenue]), "Off-Peak", "Peak")</f>
        <v>Off-Peak</v>
      </c>
      <c r="J1334">
        <f xml:space="preserve"> IF(Sheet1[[#This Row],[Ad Spend]] &gt; 0, (Sheet1[[#This Row],[Profit]] / Sheet1[[#This Row],[Ad Spend]]), 0)</f>
        <v>15.765695067264577</v>
      </c>
      <c r="K1334">
        <f>Sheet1[[#This Row],[Revenue]]-Sheet1[[#This Row],[Ad Spend]]</f>
        <v>140.63000000000002</v>
      </c>
      <c r="L1334" s="2" t="s">
        <v>22</v>
      </c>
      <c r="M1334">
        <v>3</v>
      </c>
      <c r="N1334" s="2" t="s">
        <v>19</v>
      </c>
      <c r="O1334">
        <v>149.55000000000001</v>
      </c>
    </row>
    <row r="1335" spans="1:15" x14ac:dyDescent="0.3">
      <c r="A1335" s="1">
        <v>45296</v>
      </c>
      <c r="B1335" s="2" t="s">
        <v>16</v>
      </c>
      <c r="C1335" s="2" t="s">
        <v>17</v>
      </c>
      <c r="D1335" s="2" t="s">
        <v>13</v>
      </c>
      <c r="E1335">
        <v>164.22</v>
      </c>
      <c r="F1335">
        <v>18.23</v>
      </c>
      <c r="G1335">
        <v>1</v>
      </c>
      <c r="H1335">
        <f t="shared" si="20"/>
        <v>61207.979999999989</v>
      </c>
      <c r="I1335" t="str">
        <f>IF(Sheet1[[#This Row],[Month_Revenue]] &lt; AVERAGE(Sheet1[Month_Revenue]), "Off-Peak", "Peak")</f>
        <v>Peak</v>
      </c>
      <c r="J1335">
        <f xml:space="preserve"> IF(Sheet1[[#This Row],[Ad Spend]] &gt; 0, (Sheet1[[#This Row],[Profit]] / Sheet1[[#This Row],[Ad Spend]]), 0)</f>
        <v>8.0082281952825021</v>
      </c>
      <c r="K1335">
        <f>Sheet1[[#This Row],[Revenue]]-Sheet1[[#This Row],[Ad Spend]]</f>
        <v>145.99</v>
      </c>
      <c r="L1335" s="2" t="s">
        <v>22</v>
      </c>
      <c r="M1335">
        <v>1</v>
      </c>
      <c r="N1335" s="2" t="s">
        <v>15</v>
      </c>
      <c r="O1335">
        <v>164.22</v>
      </c>
    </row>
    <row r="1336" spans="1:15" x14ac:dyDescent="0.3">
      <c r="A1336" s="1">
        <v>45314</v>
      </c>
      <c r="B1336" s="2" t="s">
        <v>20</v>
      </c>
      <c r="C1336" s="2" t="s">
        <v>12</v>
      </c>
      <c r="D1336" s="2" t="s">
        <v>18</v>
      </c>
      <c r="E1336">
        <v>155.69</v>
      </c>
      <c r="F1336">
        <v>35.409999999999997</v>
      </c>
      <c r="G1336">
        <v>0</v>
      </c>
      <c r="H1336">
        <f t="shared" si="20"/>
        <v>61207.979999999989</v>
      </c>
      <c r="I1336" t="str">
        <f>IF(Sheet1[[#This Row],[Month_Revenue]] &lt; AVERAGE(Sheet1[Month_Revenue]), "Off-Peak", "Peak")</f>
        <v>Peak</v>
      </c>
      <c r="J1336">
        <f xml:space="preserve"> IF(Sheet1[[#This Row],[Ad Spend]] &gt; 0, (Sheet1[[#This Row],[Profit]] / Sheet1[[#This Row],[Ad Spend]]), 0)</f>
        <v>3.3967805704603222</v>
      </c>
      <c r="K1336">
        <f>Sheet1[[#This Row],[Revenue]]-Sheet1[[#This Row],[Ad Spend]]</f>
        <v>120.28</v>
      </c>
      <c r="L1336" s="2" t="s">
        <v>22</v>
      </c>
      <c r="M1336">
        <v>1</v>
      </c>
      <c r="N1336" s="2" t="s">
        <v>15</v>
      </c>
      <c r="O1336">
        <v>0</v>
      </c>
    </row>
    <row r="1337" spans="1:15" x14ac:dyDescent="0.3">
      <c r="A1337" s="1">
        <v>45364</v>
      </c>
      <c r="B1337" s="2" t="s">
        <v>24</v>
      </c>
      <c r="C1337" s="2" t="s">
        <v>21</v>
      </c>
      <c r="D1337" s="2" t="s">
        <v>13</v>
      </c>
      <c r="E1337">
        <v>62.78</v>
      </c>
      <c r="F1337">
        <v>40</v>
      </c>
      <c r="G1337">
        <v>2</v>
      </c>
      <c r="H1337">
        <f t="shared" si="20"/>
        <v>54735.250000000029</v>
      </c>
      <c r="I1337" t="str">
        <f>IF(Sheet1[[#This Row],[Month_Revenue]] &lt; AVERAGE(Sheet1[Month_Revenue]), "Off-Peak", "Peak")</f>
        <v>Off-Peak</v>
      </c>
      <c r="J1337">
        <f xml:space="preserve"> IF(Sheet1[[#This Row],[Ad Spend]] &gt; 0, (Sheet1[[#This Row],[Profit]] / Sheet1[[#This Row],[Ad Spend]]), 0)</f>
        <v>0.56950000000000001</v>
      </c>
      <c r="K1337">
        <f>Sheet1[[#This Row],[Revenue]]-Sheet1[[#This Row],[Ad Spend]]</f>
        <v>22.78</v>
      </c>
      <c r="L1337" s="2" t="s">
        <v>22</v>
      </c>
      <c r="M1337">
        <v>3</v>
      </c>
      <c r="N1337" s="2" t="s">
        <v>19</v>
      </c>
      <c r="O1337">
        <v>31.39</v>
      </c>
    </row>
    <row r="1338" spans="1:15" x14ac:dyDescent="0.3">
      <c r="A1338" s="1">
        <v>45405</v>
      </c>
      <c r="B1338" s="2" t="s">
        <v>20</v>
      </c>
      <c r="C1338" s="2" t="s">
        <v>17</v>
      </c>
      <c r="D1338" s="2" t="s">
        <v>13</v>
      </c>
      <c r="E1338">
        <v>167.52</v>
      </c>
      <c r="F1338">
        <v>12.67</v>
      </c>
      <c r="G1338">
        <v>0</v>
      </c>
      <c r="H1338">
        <f t="shared" si="20"/>
        <v>58562.910000000018</v>
      </c>
      <c r="I1338" t="str">
        <f>IF(Sheet1[[#This Row],[Month_Revenue]] &lt; AVERAGE(Sheet1[Month_Revenue]), "Off-Peak", "Peak")</f>
        <v>Peak</v>
      </c>
      <c r="J1338">
        <f xml:space="preserve"> IF(Sheet1[[#This Row],[Ad Spend]] &gt; 0, (Sheet1[[#This Row],[Profit]] / Sheet1[[#This Row],[Ad Spend]]), 0)</f>
        <v>12.22178374112076</v>
      </c>
      <c r="K1338">
        <f>Sheet1[[#This Row],[Revenue]]-Sheet1[[#This Row],[Ad Spend]]</f>
        <v>154.85000000000002</v>
      </c>
      <c r="L1338" s="2" t="s">
        <v>14</v>
      </c>
      <c r="M1338">
        <v>4</v>
      </c>
      <c r="N1338" s="2" t="s">
        <v>19</v>
      </c>
      <c r="O1338">
        <v>0</v>
      </c>
    </row>
    <row r="1339" spans="1:15" x14ac:dyDescent="0.3">
      <c r="A1339" s="1">
        <v>45327</v>
      </c>
      <c r="B1339" s="2" t="s">
        <v>20</v>
      </c>
      <c r="C1339" s="2" t="s">
        <v>17</v>
      </c>
      <c r="D1339" s="2" t="s">
        <v>13</v>
      </c>
      <c r="E1339">
        <v>28.13</v>
      </c>
      <c r="F1339">
        <v>43.58</v>
      </c>
      <c r="G1339">
        <v>3</v>
      </c>
      <c r="H1339">
        <f t="shared" si="20"/>
        <v>48675.899999999936</v>
      </c>
      <c r="I1339" t="str">
        <f>IF(Sheet1[[#This Row],[Month_Revenue]] &lt; AVERAGE(Sheet1[Month_Revenue]), "Off-Peak", "Peak")</f>
        <v>Off-Peak</v>
      </c>
      <c r="J1339">
        <f xml:space="preserve"> IF(Sheet1[[#This Row],[Ad Spend]] &gt; 0, (Sheet1[[#This Row],[Profit]] / Sheet1[[#This Row],[Ad Spend]]), 0)</f>
        <v>-0.35452042221202384</v>
      </c>
      <c r="K1339">
        <f>Sheet1[[#This Row],[Revenue]]-Sheet1[[#This Row],[Ad Spend]]</f>
        <v>-15.45</v>
      </c>
      <c r="L1339" s="2" t="s">
        <v>14</v>
      </c>
      <c r="M1339">
        <v>2</v>
      </c>
      <c r="N1339" s="2" t="s">
        <v>15</v>
      </c>
      <c r="O1339">
        <v>9.3766666666666669</v>
      </c>
    </row>
    <row r="1340" spans="1:15" x14ac:dyDescent="0.3">
      <c r="A1340" s="1">
        <v>45402</v>
      </c>
      <c r="B1340" s="2" t="s">
        <v>11</v>
      </c>
      <c r="C1340" s="2" t="s">
        <v>17</v>
      </c>
      <c r="D1340" s="2" t="s">
        <v>13</v>
      </c>
      <c r="E1340">
        <v>83.44</v>
      </c>
      <c r="F1340">
        <v>46</v>
      </c>
      <c r="G1340">
        <v>3</v>
      </c>
      <c r="H1340">
        <f t="shared" si="20"/>
        <v>58562.910000000018</v>
      </c>
      <c r="I1340" t="str">
        <f>IF(Sheet1[[#This Row],[Month_Revenue]] &lt; AVERAGE(Sheet1[Month_Revenue]), "Off-Peak", "Peak")</f>
        <v>Peak</v>
      </c>
      <c r="J1340">
        <f xml:space="preserve"> IF(Sheet1[[#This Row],[Ad Spend]] &gt; 0, (Sheet1[[#This Row],[Profit]] / Sheet1[[#This Row],[Ad Spend]]), 0)</f>
        <v>0.81391304347826077</v>
      </c>
      <c r="K1340">
        <f>Sheet1[[#This Row],[Revenue]]-Sheet1[[#This Row],[Ad Spend]]</f>
        <v>37.44</v>
      </c>
      <c r="L1340" s="2" t="s">
        <v>22</v>
      </c>
      <c r="M1340">
        <v>4</v>
      </c>
      <c r="N1340" s="2" t="s">
        <v>19</v>
      </c>
      <c r="O1340">
        <v>27.813333333333333</v>
      </c>
    </row>
    <row r="1341" spans="1:15" x14ac:dyDescent="0.3">
      <c r="A1341" s="1">
        <v>45325</v>
      </c>
      <c r="B1341" s="2" t="s">
        <v>24</v>
      </c>
      <c r="C1341" s="2" t="s">
        <v>12</v>
      </c>
      <c r="D1341" s="2" t="s">
        <v>13</v>
      </c>
      <c r="E1341">
        <v>125.41</v>
      </c>
      <c r="F1341">
        <v>24.01</v>
      </c>
      <c r="G1341">
        <v>0</v>
      </c>
      <c r="H1341">
        <f t="shared" si="20"/>
        <v>48675.899999999936</v>
      </c>
      <c r="I1341" t="str">
        <f>IF(Sheet1[[#This Row],[Month_Revenue]] &lt; AVERAGE(Sheet1[Month_Revenue]), "Off-Peak", "Peak")</f>
        <v>Off-Peak</v>
      </c>
      <c r="J1341">
        <f xml:space="preserve"> IF(Sheet1[[#This Row],[Ad Spend]] &gt; 0, (Sheet1[[#This Row],[Profit]] / Sheet1[[#This Row],[Ad Spend]]), 0)</f>
        <v>4.2232403165347767</v>
      </c>
      <c r="K1341">
        <f>Sheet1[[#This Row],[Revenue]]-Sheet1[[#This Row],[Ad Spend]]</f>
        <v>101.39999999999999</v>
      </c>
      <c r="L1341" s="2" t="s">
        <v>22</v>
      </c>
      <c r="M1341">
        <v>2</v>
      </c>
      <c r="N1341" s="2" t="s">
        <v>15</v>
      </c>
      <c r="O1341">
        <v>0</v>
      </c>
    </row>
    <row r="1342" spans="1:15" x14ac:dyDescent="0.3">
      <c r="A1342" s="1">
        <v>45380</v>
      </c>
      <c r="B1342" s="2" t="s">
        <v>11</v>
      </c>
      <c r="C1342" s="2" t="s">
        <v>12</v>
      </c>
      <c r="D1342" s="2" t="s">
        <v>18</v>
      </c>
      <c r="E1342">
        <v>127.3</v>
      </c>
      <c r="F1342">
        <v>5.46</v>
      </c>
      <c r="G1342">
        <v>0</v>
      </c>
      <c r="H1342">
        <f t="shared" si="20"/>
        <v>54735.250000000029</v>
      </c>
      <c r="I1342" t="str">
        <f>IF(Sheet1[[#This Row],[Month_Revenue]] &lt; AVERAGE(Sheet1[Month_Revenue]), "Off-Peak", "Peak")</f>
        <v>Off-Peak</v>
      </c>
      <c r="J1342">
        <f xml:space="preserve"> IF(Sheet1[[#This Row],[Ad Spend]] &gt; 0, (Sheet1[[#This Row],[Profit]] / Sheet1[[#This Row],[Ad Spend]]), 0)</f>
        <v>22.315018315018317</v>
      </c>
      <c r="K1342">
        <f>Sheet1[[#This Row],[Revenue]]-Sheet1[[#This Row],[Ad Spend]]</f>
        <v>121.84</v>
      </c>
      <c r="L1342" s="2" t="s">
        <v>14</v>
      </c>
      <c r="M1342">
        <v>3</v>
      </c>
      <c r="N1342" s="2" t="s">
        <v>19</v>
      </c>
      <c r="O1342">
        <v>0</v>
      </c>
    </row>
    <row r="1343" spans="1:15" x14ac:dyDescent="0.3">
      <c r="A1343" s="1">
        <v>45319</v>
      </c>
      <c r="B1343" s="2" t="s">
        <v>20</v>
      </c>
      <c r="C1343" s="2" t="s">
        <v>21</v>
      </c>
      <c r="D1343" s="2" t="s">
        <v>13</v>
      </c>
      <c r="E1343">
        <v>153.63999999999999</v>
      </c>
      <c r="F1343">
        <v>32.200000000000003</v>
      </c>
      <c r="G1343">
        <v>0</v>
      </c>
      <c r="H1343">
        <f t="shared" si="20"/>
        <v>61207.979999999989</v>
      </c>
      <c r="I1343" t="str">
        <f>IF(Sheet1[[#This Row],[Month_Revenue]] &lt; AVERAGE(Sheet1[Month_Revenue]), "Off-Peak", "Peak")</f>
        <v>Peak</v>
      </c>
      <c r="J1343">
        <f xml:space="preserve"> IF(Sheet1[[#This Row],[Ad Spend]] &gt; 0, (Sheet1[[#This Row],[Profit]] / Sheet1[[#This Row],[Ad Spend]]), 0)</f>
        <v>3.7714285714285705</v>
      </c>
      <c r="K1343">
        <f>Sheet1[[#This Row],[Revenue]]-Sheet1[[#This Row],[Ad Spend]]</f>
        <v>121.43999999999998</v>
      </c>
      <c r="L1343" s="2" t="s">
        <v>22</v>
      </c>
      <c r="M1343">
        <v>1</v>
      </c>
      <c r="N1343" s="2" t="s">
        <v>15</v>
      </c>
      <c r="O1343">
        <v>0</v>
      </c>
    </row>
    <row r="1344" spans="1:15" x14ac:dyDescent="0.3">
      <c r="A1344" s="1">
        <v>45363</v>
      </c>
      <c r="B1344" s="2" t="s">
        <v>23</v>
      </c>
      <c r="C1344" s="2" t="s">
        <v>17</v>
      </c>
      <c r="D1344" s="2" t="s">
        <v>18</v>
      </c>
      <c r="E1344">
        <v>69.58</v>
      </c>
      <c r="F1344">
        <v>43.61</v>
      </c>
      <c r="G1344">
        <v>3</v>
      </c>
      <c r="H1344">
        <f t="shared" si="20"/>
        <v>54735.250000000029</v>
      </c>
      <c r="I1344" t="str">
        <f>IF(Sheet1[[#This Row],[Month_Revenue]] &lt; AVERAGE(Sheet1[Month_Revenue]), "Off-Peak", "Peak")</f>
        <v>Off-Peak</v>
      </c>
      <c r="J1344">
        <f xml:space="preserve"> IF(Sheet1[[#This Row],[Ad Spend]] &gt; 0, (Sheet1[[#This Row],[Profit]] / Sheet1[[#This Row],[Ad Spend]]), 0)</f>
        <v>0.5955056179775281</v>
      </c>
      <c r="K1344">
        <f>Sheet1[[#This Row],[Revenue]]-Sheet1[[#This Row],[Ad Spend]]</f>
        <v>25.97</v>
      </c>
      <c r="L1344" s="2" t="s">
        <v>22</v>
      </c>
      <c r="M1344">
        <v>3</v>
      </c>
      <c r="N1344" s="2" t="s">
        <v>19</v>
      </c>
      <c r="O1344">
        <v>23.193333333333332</v>
      </c>
    </row>
    <row r="1345" spans="1:15" x14ac:dyDescent="0.3">
      <c r="A1345" s="1">
        <v>45295</v>
      </c>
      <c r="B1345" s="2" t="s">
        <v>11</v>
      </c>
      <c r="C1345" s="2" t="s">
        <v>21</v>
      </c>
      <c r="D1345" s="2" t="s">
        <v>18</v>
      </c>
      <c r="E1345">
        <v>175.15</v>
      </c>
      <c r="F1345">
        <v>11.41</v>
      </c>
      <c r="G1345">
        <v>1</v>
      </c>
      <c r="H1345">
        <f t="shared" si="20"/>
        <v>61207.979999999989</v>
      </c>
      <c r="I1345" t="str">
        <f>IF(Sheet1[[#This Row],[Month_Revenue]] &lt; AVERAGE(Sheet1[Month_Revenue]), "Off-Peak", "Peak")</f>
        <v>Peak</v>
      </c>
      <c r="J1345">
        <f xml:space="preserve"> IF(Sheet1[[#This Row],[Ad Spend]] &gt; 0, (Sheet1[[#This Row],[Profit]] / Sheet1[[#This Row],[Ad Spend]]), 0)</f>
        <v>14.350569675723051</v>
      </c>
      <c r="K1345">
        <f>Sheet1[[#This Row],[Revenue]]-Sheet1[[#This Row],[Ad Spend]]</f>
        <v>163.74</v>
      </c>
      <c r="L1345" s="2" t="s">
        <v>14</v>
      </c>
      <c r="M1345">
        <v>1</v>
      </c>
      <c r="N1345" s="2" t="s">
        <v>15</v>
      </c>
      <c r="O1345">
        <v>175.15</v>
      </c>
    </row>
    <row r="1346" spans="1:15" x14ac:dyDescent="0.3">
      <c r="A1346" s="1">
        <v>45311</v>
      </c>
      <c r="B1346" s="2" t="s">
        <v>16</v>
      </c>
      <c r="C1346" s="2" t="s">
        <v>21</v>
      </c>
      <c r="D1346" s="2" t="s">
        <v>18</v>
      </c>
      <c r="E1346">
        <v>172.21</v>
      </c>
      <c r="F1346">
        <v>30.07</v>
      </c>
      <c r="G1346">
        <v>1</v>
      </c>
      <c r="H1346">
        <f t="shared" ref="H1346:H1409" si="21">SUMIFS($E$2:$E$2001, $M$2:$M$2001, M1346)</f>
        <v>61207.979999999989</v>
      </c>
      <c r="I1346" t="str">
        <f>IF(Sheet1[[#This Row],[Month_Revenue]] &lt; AVERAGE(Sheet1[Month_Revenue]), "Off-Peak", "Peak")</f>
        <v>Peak</v>
      </c>
      <c r="J1346">
        <f xml:space="preserve"> IF(Sheet1[[#This Row],[Ad Spend]] &gt; 0, (Sheet1[[#This Row],[Profit]] / Sheet1[[#This Row],[Ad Spend]]), 0)</f>
        <v>4.7269704023944135</v>
      </c>
      <c r="K1346">
        <f>Sheet1[[#This Row],[Revenue]]-Sheet1[[#This Row],[Ad Spend]]</f>
        <v>142.14000000000001</v>
      </c>
      <c r="L1346" s="2" t="s">
        <v>14</v>
      </c>
      <c r="M1346">
        <v>1</v>
      </c>
      <c r="N1346" s="2" t="s">
        <v>15</v>
      </c>
      <c r="O1346">
        <v>172.21</v>
      </c>
    </row>
    <row r="1347" spans="1:15" x14ac:dyDescent="0.3">
      <c r="A1347" s="1">
        <v>45323</v>
      </c>
      <c r="B1347" s="2" t="s">
        <v>23</v>
      </c>
      <c r="C1347" s="2" t="s">
        <v>21</v>
      </c>
      <c r="D1347" s="2" t="s">
        <v>13</v>
      </c>
      <c r="E1347">
        <v>127.82</v>
      </c>
      <c r="F1347">
        <v>43.58</v>
      </c>
      <c r="G1347">
        <v>2</v>
      </c>
      <c r="H1347">
        <f t="shared" si="21"/>
        <v>48675.899999999936</v>
      </c>
      <c r="I1347" t="str">
        <f>IF(Sheet1[[#This Row],[Month_Revenue]] &lt; AVERAGE(Sheet1[Month_Revenue]), "Off-Peak", "Peak")</f>
        <v>Off-Peak</v>
      </c>
      <c r="J1347">
        <f xml:space="preserve"> IF(Sheet1[[#This Row],[Ad Spend]] &gt; 0, (Sheet1[[#This Row],[Profit]] / Sheet1[[#This Row],[Ad Spend]]), 0)</f>
        <v>1.9329967875172096</v>
      </c>
      <c r="K1347">
        <f>Sheet1[[#This Row],[Revenue]]-Sheet1[[#This Row],[Ad Spend]]</f>
        <v>84.24</v>
      </c>
      <c r="L1347" s="2" t="s">
        <v>22</v>
      </c>
      <c r="M1347">
        <v>2</v>
      </c>
      <c r="N1347" s="2" t="s">
        <v>15</v>
      </c>
      <c r="O1347">
        <v>63.91</v>
      </c>
    </row>
    <row r="1348" spans="1:15" x14ac:dyDescent="0.3">
      <c r="A1348" s="1">
        <v>45393</v>
      </c>
      <c r="B1348" s="2" t="s">
        <v>23</v>
      </c>
      <c r="C1348" s="2" t="s">
        <v>12</v>
      </c>
      <c r="D1348" s="2" t="s">
        <v>18</v>
      </c>
      <c r="E1348">
        <v>188.78</v>
      </c>
      <c r="F1348">
        <v>44.13</v>
      </c>
      <c r="G1348">
        <v>2</v>
      </c>
      <c r="H1348">
        <f t="shared" si="21"/>
        <v>58562.910000000018</v>
      </c>
      <c r="I1348" t="str">
        <f>IF(Sheet1[[#This Row],[Month_Revenue]] &lt; AVERAGE(Sheet1[Month_Revenue]), "Off-Peak", "Peak")</f>
        <v>Peak</v>
      </c>
      <c r="J1348">
        <f xml:space="preserve"> IF(Sheet1[[#This Row],[Ad Spend]] &gt; 0, (Sheet1[[#This Row],[Profit]] / Sheet1[[#This Row],[Ad Spend]]), 0)</f>
        <v>3.2778155449807387</v>
      </c>
      <c r="K1348">
        <f>Sheet1[[#This Row],[Revenue]]-Sheet1[[#This Row],[Ad Spend]]</f>
        <v>144.65</v>
      </c>
      <c r="L1348" s="2" t="s">
        <v>14</v>
      </c>
      <c r="M1348">
        <v>4</v>
      </c>
      <c r="N1348" s="2" t="s">
        <v>19</v>
      </c>
      <c r="O1348">
        <v>94.39</v>
      </c>
    </row>
    <row r="1349" spans="1:15" x14ac:dyDescent="0.3">
      <c r="A1349" s="1">
        <v>45389</v>
      </c>
      <c r="B1349" s="2" t="s">
        <v>16</v>
      </c>
      <c r="C1349" s="2" t="s">
        <v>17</v>
      </c>
      <c r="D1349" s="2" t="s">
        <v>13</v>
      </c>
      <c r="E1349">
        <v>175.39</v>
      </c>
      <c r="F1349">
        <v>43.28</v>
      </c>
      <c r="G1349">
        <v>1</v>
      </c>
      <c r="H1349">
        <f t="shared" si="21"/>
        <v>58562.910000000018</v>
      </c>
      <c r="I1349" t="str">
        <f>IF(Sheet1[[#This Row],[Month_Revenue]] &lt; AVERAGE(Sheet1[Month_Revenue]), "Off-Peak", "Peak")</f>
        <v>Peak</v>
      </c>
      <c r="J1349">
        <f xml:space="preserve"> IF(Sheet1[[#This Row],[Ad Spend]] &gt; 0, (Sheet1[[#This Row],[Profit]] / Sheet1[[#This Row],[Ad Spend]]), 0)</f>
        <v>3.0524491682070236</v>
      </c>
      <c r="K1349">
        <f>Sheet1[[#This Row],[Revenue]]-Sheet1[[#This Row],[Ad Spend]]</f>
        <v>132.10999999999999</v>
      </c>
      <c r="L1349" s="2" t="s">
        <v>14</v>
      </c>
      <c r="M1349">
        <v>4</v>
      </c>
      <c r="N1349" s="2" t="s">
        <v>19</v>
      </c>
      <c r="O1349">
        <v>175.39</v>
      </c>
    </row>
    <row r="1350" spans="1:15" x14ac:dyDescent="0.3">
      <c r="A1350" s="1">
        <v>45317</v>
      </c>
      <c r="B1350" s="2" t="s">
        <v>20</v>
      </c>
      <c r="C1350" s="2" t="s">
        <v>12</v>
      </c>
      <c r="D1350" s="2" t="s">
        <v>13</v>
      </c>
      <c r="E1350">
        <v>142.15</v>
      </c>
      <c r="F1350">
        <v>23.34</v>
      </c>
      <c r="G1350">
        <v>3</v>
      </c>
      <c r="H1350">
        <f t="shared" si="21"/>
        <v>61207.979999999989</v>
      </c>
      <c r="I1350" t="str">
        <f>IF(Sheet1[[#This Row],[Month_Revenue]] &lt; AVERAGE(Sheet1[Month_Revenue]), "Off-Peak", "Peak")</f>
        <v>Peak</v>
      </c>
      <c r="J1350">
        <f xml:space="preserve"> IF(Sheet1[[#This Row],[Ad Spend]] &gt; 0, (Sheet1[[#This Row],[Profit]] / Sheet1[[#This Row],[Ad Spend]]), 0)</f>
        <v>5.0904027420736933</v>
      </c>
      <c r="K1350">
        <f>Sheet1[[#This Row],[Revenue]]-Sheet1[[#This Row],[Ad Spend]]</f>
        <v>118.81</v>
      </c>
      <c r="L1350" s="2" t="s">
        <v>22</v>
      </c>
      <c r="M1350">
        <v>1</v>
      </c>
      <c r="N1350" s="2" t="s">
        <v>15</v>
      </c>
      <c r="O1350">
        <v>47.383333333333333</v>
      </c>
    </row>
    <row r="1351" spans="1:15" x14ac:dyDescent="0.3">
      <c r="A1351" s="1">
        <v>45411</v>
      </c>
      <c r="B1351" s="2" t="s">
        <v>23</v>
      </c>
      <c r="C1351" s="2" t="s">
        <v>21</v>
      </c>
      <c r="D1351" s="2" t="s">
        <v>13</v>
      </c>
      <c r="E1351">
        <v>69.63</v>
      </c>
      <c r="F1351">
        <v>14.37</v>
      </c>
      <c r="G1351">
        <v>2</v>
      </c>
      <c r="H1351">
        <f t="shared" si="21"/>
        <v>58562.910000000018</v>
      </c>
      <c r="I1351" t="str">
        <f>IF(Sheet1[[#This Row],[Month_Revenue]] &lt; AVERAGE(Sheet1[Month_Revenue]), "Off-Peak", "Peak")</f>
        <v>Peak</v>
      </c>
      <c r="J1351">
        <f xml:space="preserve"> IF(Sheet1[[#This Row],[Ad Spend]] &gt; 0, (Sheet1[[#This Row],[Profit]] / Sheet1[[#This Row],[Ad Spend]]), 0)</f>
        <v>3.8455114822546972</v>
      </c>
      <c r="K1351">
        <f>Sheet1[[#This Row],[Revenue]]-Sheet1[[#This Row],[Ad Spend]]</f>
        <v>55.26</v>
      </c>
      <c r="L1351" s="2" t="s">
        <v>22</v>
      </c>
      <c r="M1351">
        <v>4</v>
      </c>
      <c r="N1351" s="2" t="s">
        <v>19</v>
      </c>
      <c r="O1351">
        <v>34.814999999999998</v>
      </c>
    </row>
    <row r="1352" spans="1:15" x14ac:dyDescent="0.3">
      <c r="A1352" s="1">
        <v>45378</v>
      </c>
      <c r="B1352" s="2" t="s">
        <v>20</v>
      </c>
      <c r="C1352" s="2" t="s">
        <v>12</v>
      </c>
      <c r="D1352" s="2" t="s">
        <v>18</v>
      </c>
      <c r="E1352">
        <v>63.27</v>
      </c>
      <c r="F1352">
        <v>20.96</v>
      </c>
      <c r="G1352">
        <v>2</v>
      </c>
      <c r="H1352">
        <f t="shared" si="21"/>
        <v>54735.250000000029</v>
      </c>
      <c r="I1352" t="str">
        <f>IF(Sheet1[[#This Row],[Month_Revenue]] &lt; AVERAGE(Sheet1[Month_Revenue]), "Off-Peak", "Peak")</f>
        <v>Off-Peak</v>
      </c>
      <c r="J1352">
        <f xml:space="preserve"> IF(Sheet1[[#This Row],[Ad Spend]] &gt; 0, (Sheet1[[#This Row],[Profit]] / Sheet1[[#This Row],[Ad Spend]]), 0)</f>
        <v>2.0186068702290076</v>
      </c>
      <c r="K1352">
        <f>Sheet1[[#This Row],[Revenue]]-Sheet1[[#This Row],[Ad Spend]]</f>
        <v>42.31</v>
      </c>
      <c r="L1352" s="2" t="s">
        <v>14</v>
      </c>
      <c r="M1352">
        <v>3</v>
      </c>
      <c r="N1352" s="2" t="s">
        <v>19</v>
      </c>
      <c r="O1352">
        <v>31.635000000000002</v>
      </c>
    </row>
    <row r="1353" spans="1:15" x14ac:dyDescent="0.3">
      <c r="A1353" s="1">
        <v>45375</v>
      </c>
      <c r="B1353" s="2" t="s">
        <v>16</v>
      </c>
      <c r="C1353" s="2" t="s">
        <v>12</v>
      </c>
      <c r="D1353" s="2" t="s">
        <v>18</v>
      </c>
      <c r="E1353">
        <v>162.83000000000001</v>
      </c>
      <c r="F1353">
        <v>29.39</v>
      </c>
      <c r="G1353">
        <v>3</v>
      </c>
      <c r="H1353">
        <f t="shared" si="21"/>
        <v>54735.250000000029</v>
      </c>
      <c r="I1353" t="str">
        <f>IF(Sheet1[[#This Row],[Month_Revenue]] &lt; AVERAGE(Sheet1[Month_Revenue]), "Off-Peak", "Peak")</f>
        <v>Off-Peak</v>
      </c>
      <c r="J1353">
        <f xml:space="preserve"> IF(Sheet1[[#This Row],[Ad Spend]] &gt; 0, (Sheet1[[#This Row],[Profit]] / Sheet1[[#This Row],[Ad Spend]]), 0)</f>
        <v>4.5403198366791422</v>
      </c>
      <c r="K1353">
        <f>Sheet1[[#This Row],[Revenue]]-Sheet1[[#This Row],[Ad Spend]]</f>
        <v>133.44</v>
      </c>
      <c r="L1353" s="2" t="s">
        <v>14</v>
      </c>
      <c r="M1353">
        <v>3</v>
      </c>
      <c r="N1353" s="2" t="s">
        <v>19</v>
      </c>
      <c r="O1353">
        <v>54.276666666666671</v>
      </c>
    </row>
    <row r="1354" spans="1:15" x14ac:dyDescent="0.3">
      <c r="A1354" s="1">
        <v>45369</v>
      </c>
      <c r="B1354" s="2" t="s">
        <v>20</v>
      </c>
      <c r="C1354" s="2" t="s">
        <v>21</v>
      </c>
      <c r="D1354" s="2" t="s">
        <v>13</v>
      </c>
      <c r="E1354">
        <v>59.38</v>
      </c>
      <c r="F1354">
        <v>32.409999999999997</v>
      </c>
      <c r="G1354">
        <v>3</v>
      </c>
      <c r="H1354">
        <f t="shared" si="21"/>
        <v>54735.250000000029</v>
      </c>
      <c r="I1354" t="str">
        <f>IF(Sheet1[[#This Row],[Month_Revenue]] &lt; AVERAGE(Sheet1[Month_Revenue]), "Off-Peak", "Peak")</f>
        <v>Off-Peak</v>
      </c>
      <c r="J1354">
        <f xml:space="preserve"> IF(Sheet1[[#This Row],[Ad Spend]] &gt; 0, (Sheet1[[#This Row],[Profit]] / Sheet1[[#This Row],[Ad Spend]]), 0)</f>
        <v>0.83215057081147825</v>
      </c>
      <c r="K1354">
        <f>Sheet1[[#This Row],[Revenue]]-Sheet1[[#This Row],[Ad Spend]]</f>
        <v>26.970000000000006</v>
      </c>
      <c r="L1354" s="2" t="s">
        <v>22</v>
      </c>
      <c r="M1354">
        <v>3</v>
      </c>
      <c r="N1354" s="2" t="s">
        <v>19</v>
      </c>
      <c r="O1354">
        <v>19.793333333333333</v>
      </c>
    </row>
    <row r="1355" spans="1:15" x14ac:dyDescent="0.3">
      <c r="A1355" s="1">
        <v>45312</v>
      </c>
      <c r="B1355" s="2" t="s">
        <v>11</v>
      </c>
      <c r="C1355" s="2" t="s">
        <v>12</v>
      </c>
      <c r="D1355" s="2" t="s">
        <v>18</v>
      </c>
      <c r="E1355">
        <v>198.15</v>
      </c>
      <c r="F1355">
        <v>16.88</v>
      </c>
      <c r="G1355">
        <v>0</v>
      </c>
      <c r="H1355">
        <f t="shared" si="21"/>
        <v>61207.979999999989</v>
      </c>
      <c r="I1355" t="str">
        <f>IF(Sheet1[[#This Row],[Month_Revenue]] &lt; AVERAGE(Sheet1[Month_Revenue]), "Off-Peak", "Peak")</f>
        <v>Peak</v>
      </c>
      <c r="J1355">
        <f xml:space="preserve"> IF(Sheet1[[#This Row],[Ad Spend]] &gt; 0, (Sheet1[[#This Row],[Profit]] / Sheet1[[#This Row],[Ad Spend]]), 0)</f>
        <v>10.738744075829386</v>
      </c>
      <c r="K1355">
        <f>Sheet1[[#This Row],[Revenue]]-Sheet1[[#This Row],[Ad Spend]]</f>
        <v>181.27</v>
      </c>
      <c r="L1355" s="2" t="s">
        <v>14</v>
      </c>
      <c r="M1355">
        <v>1</v>
      </c>
      <c r="N1355" s="2" t="s">
        <v>15</v>
      </c>
      <c r="O1355">
        <v>0</v>
      </c>
    </row>
    <row r="1356" spans="1:15" x14ac:dyDescent="0.3">
      <c r="A1356" s="1">
        <v>45363</v>
      </c>
      <c r="B1356" s="2" t="s">
        <v>24</v>
      </c>
      <c r="C1356" s="2" t="s">
        <v>21</v>
      </c>
      <c r="D1356" s="2" t="s">
        <v>18</v>
      </c>
      <c r="E1356">
        <v>190.59</v>
      </c>
      <c r="F1356">
        <v>16.47</v>
      </c>
      <c r="G1356">
        <v>3</v>
      </c>
      <c r="H1356">
        <f t="shared" si="21"/>
        <v>54735.250000000029</v>
      </c>
      <c r="I1356" t="str">
        <f>IF(Sheet1[[#This Row],[Month_Revenue]] &lt; AVERAGE(Sheet1[Month_Revenue]), "Off-Peak", "Peak")</f>
        <v>Off-Peak</v>
      </c>
      <c r="J1356">
        <f xml:space="preserve"> IF(Sheet1[[#This Row],[Ad Spend]] &gt; 0, (Sheet1[[#This Row],[Profit]] / Sheet1[[#This Row],[Ad Spend]]), 0)</f>
        <v>10.571948998178508</v>
      </c>
      <c r="K1356">
        <f>Sheet1[[#This Row],[Revenue]]-Sheet1[[#This Row],[Ad Spend]]</f>
        <v>174.12</v>
      </c>
      <c r="L1356" s="2" t="s">
        <v>14</v>
      </c>
      <c r="M1356">
        <v>3</v>
      </c>
      <c r="N1356" s="2" t="s">
        <v>19</v>
      </c>
      <c r="O1356">
        <v>63.53</v>
      </c>
    </row>
    <row r="1357" spans="1:15" x14ac:dyDescent="0.3">
      <c r="A1357" s="1">
        <v>45367</v>
      </c>
      <c r="B1357" s="2" t="s">
        <v>23</v>
      </c>
      <c r="C1357" s="2" t="s">
        <v>17</v>
      </c>
      <c r="D1357" s="2" t="s">
        <v>13</v>
      </c>
      <c r="E1357">
        <v>130.27000000000001</v>
      </c>
      <c r="F1357">
        <v>18.670000000000002</v>
      </c>
      <c r="G1357">
        <v>3</v>
      </c>
      <c r="H1357">
        <f t="shared" si="21"/>
        <v>54735.250000000029</v>
      </c>
      <c r="I1357" t="str">
        <f>IF(Sheet1[[#This Row],[Month_Revenue]] &lt; AVERAGE(Sheet1[Month_Revenue]), "Off-Peak", "Peak")</f>
        <v>Off-Peak</v>
      </c>
      <c r="J1357">
        <f xml:space="preserve"> IF(Sheet1[[#This Row],[Ad Spend]] &gt; 0, (Sheet1[[#This Row],[Profit]] / Sheet1[[#This Row],[Ad Spend]]), 0)</f>
        <v>5.977504017139796</v>
      </c>
      <c r="K1357">
        <f>Sheet1[[#This Row],[Revenue]]-Sheet1[[#This Row],[Ad Spend]]</f>
        <v>111.60000000000001</v>
      </c>
      <c r="L1357" s="2" t="s">
        <v>14</v>
      </c>
      <c r="M1357">
        <v>3</v>
      </c>
      <c r="N1357" s="2" t="s">
        <v>19</v>
      </c>
      <c r="O1357">
        <v>43.423333333333339</v>
      </c>
    </row>
    <row r="1358" spans="1:15" x14ac:dyDescent="0.3">
      <c r="A1358" s="1">
        <v>45340</v>
      </c>
      <c r="B1358" s="2" t="s">
        <v>23</v>
      </c>
      <c r="C1358" s="2" t="s">
        <v>17</v>
      </c>
      <c r="D1358" s="2" t="s">
        <v>13</v>
      </c>
      <c r="E1358">
        <v>113.79</v>
      </c>
      <c r="F1358">
        <v>35.26</v>
      </c>
      <c r="G1358">
        <v>2</v>
      </c>
      <c r="H1358">
        <f t="shared" si="21"/>
        <v>48675.899999999936</v>
      </c>
      <c r="I1358" t="str">
        <f>IF(Sheet1[[#This Row],[Month_Revenue]] &lt; AVERAGE(Sheet1[Month_Revenue]), "Off-Peak", "Peak")</f>
        <v>Off-Peak</v>
      </c>
      <c r="J1358">
        <f xml:space="preserve"> IF(Sheet1[[#This Row],[Ad Spend]] &gt; 0, (Sheet1[[#This Row],[Profit]] / Sheet1[[#This Row],[Ad Spend]]), 0)</f>
        <v>2.2271695972773684</v>
      </c>
      <c r="K1358">
        <f>Sheet1[[#This Row],[Revenue]]-Sheet1[[#This Row],[Ad Spend]]</f>
        <v>78.53</v>
      </c>
      <c r="L1358" s="2" t="s">
        <v>22</v>
      </c>
      <c r="M1358">
        <v>2</v>
      </c>
      <c r="N1358" s="2" t="s">
        <v>15</v>
      </c>
      <c r="O1358">
        <v>56.895000000000003</v>
      </c>
    </row>
    <row r="1359" spans="1:15" x14ac:dyDescent="0.3">
      <c r="A1359" s="1">
        <v>45407</v>
      </c>
      <c r="B1359" s="2" t="s">
        <v>20</v>
      </c>
      <c r="C1359" s="2" t="s">
        <v>17</v>
      </c>
      <c r="D1359" s="2" t="s">
        <v>13</v>
      </c>
      <c r="E1359">
        <v>103.9</v>
      </c>
      <c r="F1359">
        <v>0.87</v>
      </c>
      <c r="G1359">
        <v>2</v>
      </c>
      <c r="H1359">
        <f t="shared" si="21"/>
        <v>58562.910000000018</v>
      </c>
      <c r="I1359" t="str">
        <f>IF(Sheet1[[#This Row],[Month_Revenue]] &lt; AVERAGE(Sheet1[Month_Revenue]), "Off-Peak", "Peak")</f>
        <v>Peak</v>
      </c>
      <c r="J1359">
        <f xml:space="preserve"> IF(Sheet1[[#This Row],[Ad Spend]] &gt; 0, (Sheet1[[#This Row],[Profit]] / Sheet1[[#This Row],[Ad Spend]]), 0)</f>
        <v>118.42528735632185</v>
      </c>
      <c r="K1359">
        <f>Sheet1[[#This Row],[Revenue]]-Sheet1[[#This Row],[Ad Spend]]</f>
        <v>103.03</v>
      </c>
      <c r="L1359" s="2" t="s">
        <v>14</v>
      </c>
      <c r="M1359">
        <v>4</v>
      </c>
      <c r="N1359" s="2" t="s">
        <v>19</v>
      </c>
      <c r="O1359">
        <v>51.95</v>
      </c>
    </row>
    <row r="1360" spans="1:15" x14ac:dyDescent="0.3">
      <c r="A1360" s="1">
        <v>45353</v>
      </c>
      <c r="B1360" s="2" t="s">
        <v>11</v>
      </c>
      <c r="C1360" s="2" t="s">
        <v>17</v>
      </c>
      <c r="D1360" s="2" t="s">
        <v>13</v>
      </c>
      <c r="E1360">
        <v>145.99</v>
      </c>
      <c r="F1360">
        <v>47.57</v>
      </c>
      <c r="G1360">
        <v>1</v>
      </c>
      <c r="H1360">
        <f t="shared" si="21"/>
        <v>54735.250000000029</v>
      </c>
      <c r="I1360" t="str">
        <f>IF(Sheet1[[#This Row],[Month_Revenue]] &lt; AVERAGE(Sheet1[Month_Revenue]), "Off-Peak", "Peak")</f>
        <v>Off-Peak</v>
      </c>
      <c r="J1360">
        <f xml:space="preserve"> IF(Sheet1[[#This Row],[Ad Spend]] &gt; 0, (Sheet1[[#This Row],[Profit]] / Sheet1[[#This Row],[Ad Spend]]), 0)</f>
        <v>2.0689510195501368</v>
      </c>
      <c r="K1360">
        <f>Sheet1[[#This Row],[Revenue]]-Sheet1[[#This Row],[Ad Spend]]</f>
        <v>98.420000000000016</v>
      </c>
      <c r="L1360" s="2" t="s">
        <v>14</v>
      </c>
      <c r="M1360">
        <v>3</v>
      </c>
      <c r="N1360" s="2" t="s">
        <v>19</v>
      </c>
      <c r="O1360">
        <v>145.99</v>
      </c>
    </row>
    <row r="1361" spans="1:15" x14ac:dyDescent="0.3">
      <c r="A1361" s="1">
        <v>45353</v>
      </c>
      <c r="B1361" s="2" t="s">
        <v>24</v>
      </c>
      <c r="C1361" s="2" t="s">
        <v>17</v>
      </c>
      <c r="D1361" s="2" t="s">
        <v>18</v>
      </c>
      <c r="E1361">
        <v>112.06</v>
      </c>
      <c r="F1361">
        <v>46.62</v>
      </c>
      <c r="G1361">
        <v>2</v>
      </c>
      <c r="H1361">
        <f t="shared" si="21"/>
        <v>54735.250000000029</v>
      </c>
      <c r="I1361" t="str">
        <f>IF(Sheet1[[#This Row],[Month_Revenue]] &lt; AVERAGE(Sheet1[Month_Revenue]), "Off-Peak", "Peak")</f>
        <v>Off-Peak</v>
      </c>
      <c r="J1361">
        <f xml:space="preserve"> IF(Sheet1[[#This Row],[Ad Spend]] &gt; 0, (Sheet1[[#This Row],[Profit]] / Sheet1[[#This Row],[Ad Spend]]), 0)</f>
        <v>1.4036894036894036</v>
      </c>
      <c r="K1361">
        <f>Sheet1[[#This Row],[Revenue]]-Sheet1[[#This Row],[Ad Spend]]</f>
        <v>65.44</v>
      </c>
      <c r="L1361" s="2" t="s">
        <v>22</v>
      </c>
      <c r="M1361">
        <v>3</v>
      </c>
      <c r="N1361" s="2" t="s">
        <v>19</v>
      </c>
      <c r="O1361">
        <v>56.03</v>
      </c>
    </row>
    <row r="1362" spans="1:15" x14ac:dyDescent="0.3">
      <c r="A1362" s="1">
        <v>45396</v>
      </c>
      <c r="B1362" s="2" t="s">
        <v>24</v>
      </c>
      <c r="C1362" s="2" t="s">
        <v>12</v>
      </c>
      <c r="D1362" s="2" t="s">
        <v>18</v>
      </c>
      <c r="E1362">
        <v>79.319999999999993</v>
      </c>
      <c r="F1362">
        <v>7.72</v>
      </c>
      <c r="G1362">
        <v>3</v>
      </c>
      <c r="H1362">
        <f t="shared" si="21"/>
        <v>58562.910000000018</v>
      </c>
      <c r="I1362" t="str">
        <f>IF(Sheet1[[#This Row],[Month_Revenue]] &lt; AVERAGE(Sheet1[Month_Revenue]), "Off-Peak", "Peak")</f>
        <v>Peak</v>
      </c>
      <c r="J1362">
        <f xml:space="preserve"> IF(Sheet1[[#This Row],[Ad Spend]] &gt; 0, (Sheet1[[#This Row],[Profit]] / Sheet1[[#This Row],[Ad Spend]]), 0)</f>
        <v>9.2746113989637298</v>
      </c>
      <c r="K1362">
        <f>Sheet1[[#This Row],[Revenue]]-Sheet1[[#This Row],[Ad Spend]]</f>
        <v>71.599999999999994</v>
      </c>
      <c r="L1362" s="2" t="s">
        <v>22</v>
      </c>
      <c r="M1362">
        <v>4</v>
      </c>
      <c r="N1362" s="2" t="s">
        <v>19</v>
      </c>
      <c r="O1362">
        <v>26.439999999999998</v>
      </c>
    </row>
    <row r="1363" spans="1:15" x14ac:dyDescent="0.3">
      <c r="A1363" s="1">
        <v>45308</v>
      </c>
      <c r="B1363" s="2" t="s">
        <v>20</v>
      </c>
      <c r="C1363" s="2" t="s">
        <v>17</v>
      </c>
      <c r="D1363" s="2" t="s">
        <v>18</v>
      </c>
      <c r="E1363">
        <v>55.46</v>
      </c>
      <c r="F1363">
        <v>33.93</v>
      </c>
      <c r="G1363">
        <v>2</v>
      </c>
      <c r="H1363">
        <f t="shared" si="21"/>
        <v>61207.979999999989</v>
      </c>
      <c r="I1363" t="str">
        <f>IF(Sheet1[[#This Row],[Month_Revenue]] &lt; AVERAGE(Sheet1[Month_Revenue]), "Off-Peak", "Peak")</f>
        <v>Peak</v>
      </c>
      <c r="J1363">
        <f xml:space="preserve"> IF(Sheet1[[#This Row],[Ad Spend]] &gt; 0, (Sheet1[[#This Row],[Profit]] / Sheet1[[#This Row],[Ad Spend]]), 0)</f>
        <v>0.63454170350722083</v>
      </c>
      <c r="K1363">
        <f>Sheet1[[#This Row],[Revenue]]-Sheet1[[#This Row],[Ad Spend]]</f>
        <v>21.53</v>
      </c>
      <c r="L1363" s="2" t="s">
        <v>14</v>
      </c>
      <c r="M1363">
        <v>1</v>
      </c>
      <c r="N1363" s="2" t="s">
        <v>15</v>
      </c>
      <c r="O1363">
        <v>27.73</v>
      </c>
    </row>
    <row r="1364" spans="1:15" x14ac:dyDescent="0.3">
      <c r="A1364" s="1">
        <v>45312</v>
      </c>
      <c r="B1364" s="2" t="s">
        <v>24</v>
      </c>
      <c r="C1364" s="2" t="s">
        <v>21</v>
      </c>
      <c r="D1364" s="2" t="s">
        <v>18</v>
      </c>
      <c r="E1364">
        <v>105.92</v>
      </c>
      <c r="F1364">
        <v>26.58</v>
      </c>
      <c r="G1364">
        <v>3</v>
      </c>
      <c r="H1364">
        <f t="shared" si="21"/>
        <v>61207.979999999989</v>
      </c>
      <c r="I1364" t="str">
        <f>IF(Sheet1[[#This Row],[Month_Revenue]] &lt; AVERAGE(Sheet1[Month_Revenue]), "Off-Peak", "Peak")</f>
        <v>Peak</v>
      </c>
      <c r="J1364">
        <f xml:space="preserve"> IF(Sheet1[[#This Row],[Ad Spend]] &gt; 0, (Sheet1[[#This Row],[Profit]] / Sheet1[[#This Row],[Ad Spend]]), 0)</f>
        <v>2.9849510910458994</v>
      </c>
      <c r="K1364">
        <f>Sheet1[[#This Row],[Revenue]]-Sheet1[[#This Row],[Ad Spend]]</f>
        <v>79.34</v>
      </c>
      <c r="L1364" s="2" t="s">
        <v>22</v>
      </c>
      <c r="M1364">
        <v>1</v>
      </c>
      <c r="N1364" s="2" t="s">
        <v>15</v>
      </c>
      <c r="O1364">
        <v>35.306666666666665</v>
      </c>
    </row>
    <row r="1365" spans="1:15" x14ac:dyDescent="0.3">
      <c r="A1365" s="1">
        <v>45400</v>
      </c>
      <c r="B1365" s="2" t="s">
        <v>23</v>
      </c>
      <c r="C1365" s="2" t="s">
        <v>12</v>
      </c>
      <c r="D1365" s="2" t="s">
        <v>18</v>
      </c>
      <c r="E1365">
        <v>194.99</v>
      </c>
      <c r="F1365">
        <v>45.98</v>
      </c>
      <c r="G1365">
        <v>1</v>
      </c>
      <c r="H1365">
        <f t="shared" si="21"/>
        <v>58562.910000000018</v>
      </c>
      <c r="I1365" t="str">
        <f>IF(Sheet1[[#This Row],[Month_Revenue]] &lt; AVERAGE(Sheet1[Month_Revenue]), "Off-Peak", "Peak")</f>
        <v>Peak</v>
      </c>
      <c r="J1365">
        <f xml:space="preserve"> IF(Sheet1[[#This Row],[Ad Spend]] &gt; 0, (Sheet1[[#This Row],[Profit]] / Sheet1[[#This Row],[Ad Spend]]), 0)</f>
        <v>3.2407568508046984</v>
      </c>
      <c r="K1365">
        <f>Sheet1[[#This Row],[Revenue]]-Sheet1[[#This Row],[Ad Spend]]</f>
        <v>149.01000000000002</v>
      </c>
      <c r="L1365" s="2" t="s">
        <v>22</v>
      </c>
      <c r="M1365">
        <v>4</v>
      </c>
      <c r="N1365" s="2" t="s">
        <v>19</v>
      </c>
      <c r="O1365">
        <v>194.99</v>
      </c>
    </row>
    <row r="1366" spans="1:15" x14ac:dyDescent="0.3">
      <c r="A1366" s="1">
        <v>45315</v>
      </c>
      <c r="B1366" s="2" t="s">
        <v>16</v>
      </c>
      <c r="C1366" s="2" t="s">
        <v>12</v>
      </c>
      <c r="D1366" s="2" t="s">
        <v>18</v>
      </c>
      <c r="E1366">
        <v>128.33000000000001</v>
      </c>
      <c r="F1366">
        <v>7.76</v>
      </c>
      <c r="G1366">
        <v>0</v>
      </c>
      <c r="H1366">
        <f t="shared" si="21"/>
        <v>61207.979999999989</v>
      </c>
      <c r="I1366" t="str">
        <f>IF(Sheet1[[#This Row],[Month_Revenue]] &lt; AVERAGE(Sheet1[Month_Revenue]), "Off-Peak", "Peak")</f>
        <v>Peak</v>
      </c>
      <c r="J1366">
        <f xml:space="preserve"> IF(Sheet1[[#This Row],[Ad Spend]] &gt; 0, (Sheet1[[#This Row],[Profit]] / Sheet1[[#This Row],[Ad Spend]]), 0)</f>
        <v>15.537371134020621</v>
      </c>
      <c r="K1366">
        <f>Sheet1[[#This Row],[Revenue]]-Sheet1[[#This Row],[Ad Spend]]</f>
        <v>120.57000000000001</v>
      </c>
      <c r="L1366" s="2" t="s">
        <v>14</v>
      </c>
      <c r="M1366">
        <v>1</v>
      </c>
      <c r="N1366" s="2" t="s">
        <v>15</v>
      </c>
      <c r="O1366">
        <v>0</v>
      </c>
    </row>
    <row r="1367" spans="1:15" x14ac:dyDescent="0.3">
      <c r="A1367" s="1">
        <v>45395</v>
      </c>
      <c r="B1367" s="2" t="s">
        <v>20</v>
      </c>
      <c r="C1367" s="2" t="s">
        <v>21</v>
      </c>
      <c r="D1367" s="2" t="s">
        <v>13</v>
      </c>
      <c r="E1367">
        <v>142.63999999999999</v>
      </c>
      <c r="F1367">
        <v>11.03</v>
      </c>
      <c r="G1367">
        <v>3</v>
      </c>
      <c r="H1367">
        <f t="shared" si="21"/>
        <v>58562.910000000018</v>
      </c>
      <c r="I1367" t="str">
        <f>IF(Sheet1[[#This Row],[Month_Revenue]] &lt; AVERAGE(Sheet1[Month_Revenue]), "Off-Peak", "Peak")</f>
        <v>Peak</v>
      </c>
      <c r="J1367">
        <f xml:space="preserve"> IF(Sheet1[[#This Row],[Ad Spend]] &gt; 0, (Sheet1[[#This Row],[Profit]] / Sheet1[[#This Row],[Ad Spend]]), 0)</f>
        <v>11.932003626473254</v>
      </c>
      <c r="K1367">
        <f>Sheet1[[#This Row],[Revenue]]-Sheet1[[#This Row],[Ad Spend]]</f>
        <v>131.60999999999999</v>
      </c>
      <c r="L1367" s="2" t="s">
        <v>14</v>
      </c>
      <c r="M1367">
        <v>4</v>
      </c>
      <c r="N1367" s="2" t="s">
        <v>19</v>
      </c>
      <c r="O1367">
        <v>47.54666666666666</v>
      </c>
    </row>
    <row r="1368" spans="1:15" x14ac:dyDescent="0.3">
      <c r="A1368" s="1">
        <v>45394</v>
      </c>
      <c r="B1368" s="2" t="s">
        <v>20</v>
      </c>
      <c r="C1368" s="2" t="s">
        <v>12</v>
      </c>
      <c r="D1368" s="2" t="s">
        <v>18</v>
      </c>
      <c r="E1368">
        <v>80.55</v>
      </c>
      <c r="F1368">
        <v>26.08</v>
      </c>
      <c r="G1368">
        <v>3</v>
      </c>
      <c r="H1368">
        <f t="shared" si="21"/>
        <v>58562.910000000018</v>
      </c>
      <c r="I1368" t="str">
        <f>IF(Sheet1[[#This Row],[Month_Revenue]] &lt; AVERAGE(Sheet1[Month_Revenue]), "Off-Peak", "Peak")</f>
        <v>Peak</v>
      </c>
      <c r="J1368">
        <f xml:space="preserve"> IF(Sheet1[[#This Row],[Ad Spend]] &gt; 0, (Sheet1[[#This Row],[Profit]] / Sheet1[[#This Row],[Ad Spend]]), 0)</f>
        <v>2.088573619631902</v>
      </c>
      <c r="K1368">
        <f>Sheet1[[#This Row],[Revenue]]-Sheet1[[#This Row],[Ad Spend]]</f>
        <v>54.47</v>
      </c>
      <c r="L1368" s="2" t="s">
        <v>22</v>
      </c>
      <c r="M1368">
        <v>4</v>
      </c>
      <c r="N1368" s="2" t="s">
        <v>19</v>
      </c>
      <c r="O1368">
        <v>26.849999999999998</v>
      </c>
    </row>
    <row r="1369" spans="1:15" x14ac:dyDescent="0.3">
      <c r="A1369" s="1">
        <v>45359</v>
      </c>
      <c r="B1369" s="2" t="s">
        <v>24</v>
      </c>
      <c r="C1369" s="2" t="s">
        <v>12</v>
      </c>
      <c r="D1369" s="2" t="s">
        <v>13</v>
      </c>
      <c r="E1369">
        <v>26.23</v>
      </c>
      <c r="F1369">
        <v>24.92</v>
      </c>
      <c r="G1369">
        <v>1</v>
      </c>
      <c r="H1369">
        <f t="shared" si="21"/>
        <v>54735.250000000029</v>
      </c>
      <c r="I1369" t="str">
        <f>IF(Sheet1[[#This Row],[Month_Revenue]] &lt; AVERAGE(Sheet1[Month_Revenue]), "Off-Peak", "Peak")</f>
        <v>Off-Peak</v>
      </c>
      <c r="J1369">
        <f xml:space="preserve"> IF(Sheet1[[#This Row],[Ad Spend]] &gt; 0, (Sheet1[[#This Row],[Profit]] / Sheet1[[#This Row],[Ad Spend]]), 0)</f>
        <v>5.2568218298555319E-2</v>
      </c>
      <c r="K1369">
        <f>Sheet1[[#This Row],[Revenue]]-Sheet1[[#This Row],[Ad Spend]]</f>
        <v>1.3099999999999987</v>
      </c>
      <c r="L1369" s="2" t="s">
        <v>14</v>
      </c>
      <c r="M1369">
        <v>3</v>
      </c>
      <c r="N1369" s="2" t="s">
        <v>19</v>
      </c>
      <c r="O1369">
        <v>26.23</v>
      </c>
    </row>
    <row r="1370" spans="1:15" x14ac:dyDescent="0.3">
      <c r="A1370" s="1">
        <v>45365</v>
      </c>
      <c r="B1370" s="2" t="s">
        <v>23</v>
      </c>
      <c r="C1370" s="2" t="s">
        <v>21</v>
      </c>
      <c r="D1370" s="2" t="s">
        <v>18</v>
      </c>
      <c r="E1370">
        <v>25.9</v>
      </c>
      <c r="F1370">
        <v>44.21</v>
      </c>
      <c r="G1370">
        <v>0</v>
      </c>
      <c r="H1370">
        <f t="shared" si="21"/>
        <v>54735.250000000029</v>
      </c>
      <c r="I1370" t="str">
        <f>IF(Sheet1[[#This Row],[Month_Revenue]] &lt; AVERAGE(Sheet1[Month_Revenue]), "Off-Peak", "Peak")</f>
        <v>Off-Peak</v>
      </c>
      <c r="J1370">
        <f xml:space="preserve"> IF(Sheet1[[#This Row],[Ad Spend]] &gt; 0, (Sheet1[[#This Row],[Profit]] / Sheet1[[#This Row],[Ad Spend]]), 0)</f>
        <v>-0.41415969237729022</v>
      </c>
      <c r="K1370">
        <f>Sheet1[[#This Row],[Revenue]]-Sheet1[[#This Row],[Ad Spend]]</f>
        <v>-18.310000000000002</v>
      </c>
      <c r="L1370" s="2" t="s">
        <v>22</v>
      </c>
      <c r="M1370">
        <v>3</v>
      </c>
      <c r="N1370" s="2" t="s">
        <v>19</v>
      </c>
      <c r="O1370">
        <v>0</v>
      </c>
    </row>
    <row r="1371" spans="1:15" x14ac:dyDescent="0.3">
      <c r="A1371" s="1">
        <v>45398</v>
      </c>
      <c r="B1371" s="2" t="s">
        <v>23</v>
      </c>
      <c r="C1371" s="2" t="s">
        <v>17</v>
      </c>
      <c r="D1371" s="2" t="s">
        <v>13</v>
      </c>
      <c r="E1371">
        <v>47.3</v>
      </c>
      <c r="F1371">
        <v>49.29</v>
      </c>
      <c r="G1371">
        <v>0</v>
      </c>
      <c r="H1371">
        <f t="shared" si="21"/>
        <v>58562.910000000018</v>
      </c>
      <c r="I1371" t="str">
        <f>IF(Sheet1[[#This Row],[Month_Revenue]] &lt; AVERAGE(Sheet1[Month_Revenue]), "Off-Peak", "Peak")</f>
        <v>Peak</v>
      </c>
      <c r="J1371">
        <f xml:space="preserve"> IF(Sheet1[[#This Row],[Ad Spend]] &gt; 0, (Sheet1[[#This Row],[Profit]] / Sheet1[[#This Row],[Ad Spend]]), 0)</f>
        <v>-4.0373300872387947E-2</v>
      </c>
      <c r="K1371">
        <f>Sheet1[[#This Row],[Revenue]]-Sheet1[[#This Row],[Ad Spend]]</f>
        <v>-1.990000000000002</v>
      </c>
      <c r="L1371" s="2" t="s">
        <v>22</v>
      </c>
      <c r="M1371">
        <v>4</v>
      </c>
      <c r="N1371" s="2" t="s">
        <v>19</v>
      </c>
      <c r="O1371">
        <v>0</v>
      </c>
    </row>
    <row r="1372" spans="1:15" x14ac:dyDescent="0.3">
      <c r="A1372" s="1">
        <v>45351</v>
      </c>
      <c r="B1372" s="2" t="s">
        <v>11</v>
      </c>
      <c r="C1372" s="2" t="s">
        <v>21</v>
      </c>
      <c r="D1372" s="2" t="s">
        <v>13</v>
      </c>
      <c r="E1372">
        <v>82.77</v>
      </c>
      <c r="F1372">
        <v>22.66</v>
      </c>
      <c r="G1372">
        <v>2</v>
      </c>
      <c r="H1372">
        <f t="shared" si="21"/>
        <v>48675.899999999936</v>
      </c>
      <c r="I1372" t="str">
        <f>IF(Sheet1[[#This Row],[Month_Revenue]] &lt; AVERAGE(Sheet1[Month_Revenue]), "Off-Peak", "Peak")</f>
        <v>Off-Peak</v>
      </c>
      <c r="J1372">
        <f xml:space="preserve"> IF(Sheet1[[#This Row],[Ad Spend]] &gt; 0, (Sheet1[[#This Row],[Profit]] / Sheet1[[#This Row],[Ad Spend]]), 0)</f>
        <v>2.6526919682259487</v>
      </c>
      <c r="K1372">
        <f>Sheet1[[#This Row],[Revenue]]-Sheet1[[#This Row],[Ad Spend]]</f>
        <v>60.11</v>
      </c>
      <c r="L1372" s="2" t="s">
        <v>22</v>
      </c>
      <c r="M1372">
        <v>2</v>
      </c>
      <c r="N1372" s="2" t="s">
        <v>15</v>
      </c>
      <c r="O1372">
        <v>41.384999999999998</v>
      </c>
    </row>
    <row r="1373" spans="1:15" x14ac:dyDescent="0.3">
      <c r="A1373" s="1">
        <v>45298</v>
      </c>
      <c r="B1373" s="2" t="s">
        <v>24</v>
      </c>
      <c r="C1373" s="2" t="s">
        <v>12</v>
      </c>
      <c r="D1373" s="2" t="s">
        <v>18</v>
      </c>
      <c r="E1373">
        <v>28.76</v>
      </c>
      <c r="F1373">
        <v>47.92</v>
      </c>
      <c r="G1373">
        <v>3</v>
      </c>
      <c r="H1373">
        <f t="shared" si="21"/>
        <v>61207.979999999989</v>
      </c>
      <c r="I1373" t="str">
        <f>IF(Sheet1[[#This Row],[Month_Revenue]] &lt; AVERAGE(Sheet1[Month_Revenue]), "Off-Peak", "Peak")</f>
        <v>Peak</v>
      </c>
      <c r="J1373">
        <f xml:space="preserve"> IF(Sheet1[[#This Row],[Ad Spend]] &gt; 0, (Sheet1[[#This Row],[Profit]] / Sheet1[[#This Row],[Ad Spend]]), 0)</f>
        <v>-0.39983305509181971</v>
      </c>
      <c r="K1373">
        <f>Sheet1[[#This Row],[Revenue]]-Sheet1[[#This Row],[Ad Spend]]</f>
        <v>-19.16</v>
      </c>
      <c r="L1373" s="2" t="s">
        <v>22</v>
      </c>
      <c r="M1373">
        <v>1</v>
      </c>
      <c r="N1373" s="2" t="s">
        <v>15</v>
      </c>
      <c r="O1373">
        <v>9.5866666666666678</v>
      </c>
    </row>
    <row r="1374" spans="1:15" x14ac:dyDescent="0.3">
      <c r="A1374" s="1">
        <v>45359</v>
      </c>
      <c r="B1374" s="2" t="s">
        <v>16</v>
      </c>
      <c r="C1374" s="2" t="s">
        <v>12</v>
      </c>
      <c r="D1374" s="2" t="s">
        <v>18</v>
      </c>
      <c r="E1374">
        <v>139.82</v>
      </c>
      <c r="F1374">
        <v>21.88</v>
      </c>
      <c r="G1374">
        <v>1</v>
      </c>
      <c r="H1374">
        <f t="shared" si="21"/>
        <v>54735.250000000029</v>
      </c>
      <c r="I1374" t="str">
        <f>IF(Sheet1[[#This Row],[Month_Revenue]] &lt; AVERAGE(Sheet1[Month_Revenue]), "Off-Peak", "Peak")</f>
        <v>Off-Peak</v>
      </c>
      <c r="J1374">
        <f xml:space="preserve"> IF(Sheet1[[#This Row],[Ad Spend]] &gt; 0, (Sheet1[[#This Row],[Profit]] / Sheet1[[#This Row],[Ad Spend]]), 0)</f>
        <v>5.3903107861060331</v>
      </c>
      <c r="K1374">
        <f>Sheet1[[#This Row],[Revenue]]-Sheet1[[#This Row],[Ad Spend]]</f>
        <v>117.94</v>
      </c>
      <c r="L1374" s="2" t="s">
        <v>22</v>
      </c>
      <c r="M1374">
        <v>3</v>
      </c>
      <c r="N1374" s="2" t="s">
        <v>19</v>
      </c>
      <c r="O1374">
        <v>139.82</v>
      </c>
    </row>
    <row r="1375" spans="1:15" x14ac:dyDescent="0.3">
      <c r="A1375" s="1">
        <v>45361</v>
      </c>
      <c r="B1375" s="2" t="s">
        <v>23</v>
      </c>
      <c r="C1375" s="2" t="s">
        <v>21</v>
      </c>
      <c r="D1375" s="2" t="s">
        <v>18</v>
      </c>
      <c r="E1375">
        <v>137.94</v>
      </c>
      <c r="F1375">
        <v>42.22</v>
      </c>
      <c r="G1375">
        <v>0</v>
      </c>
      <c r="H1375">
        <f t="shared" si="21"/>
        <v>54735.250000000029</v>
      </c>
      <c r="I1375" t="str">
        <f>IF(Sheet1[[#This Row],[Month_Revenue]] &lt; AVERAGE(Sheet1[Month_Revenue]), "Off-Peak", "Peak")</f>
        <v>Off-Peak</v>
      </c>
      <c r="J1375">
        <f xml:space="preserve"> IF(Sheet1[[#This Row],[Ad Spend]] &gt; 0, (Sheet1[[#This Row],[Profit]] / Sheet1[[#This Row],[Ad Spend]]), 0)</f>
        <v>2.2671719564187591</v>
      </c>
      <c r="K1375">
        <f>Sheet1[[#This Row],[Revenue]]-Sheet1[[#This Row],[Ad Spend]]</f>
        <v>95.72</v>
      </c>
      <c r="L1375" s="2" t="s">
        <v>14</v>
      </c>
      <c r="M1375">
        <v>3</v>
      </c>
      <c r="N1375" s="2" t="s">
        <v>19</v>
      </c>
      <c r="O1375">
        <v>0</v>
      </c>
    </row>
    <row r="1376" spans="1:15" x14ac:dyDescent="0.3">
      <c r="A1376" s="1">
        <v>45342</v>
      </c>
      <c r="B1376" s="2" t="s">
        <v>23</v>
      </c>
      <c r="C1376" s="2" t="s">
        <v>17</v>
      </c>
      <c r="D1376" s="2" t="s">
        <v>13</v>
      </c>
      <c r="E1376">
        <v>167.43</v>
      </c>
      <c r="F1376">
        <v>20.53</v>
      </c>
      <c r="G1376">
        <v>1</v>
      </c>
      <c r="H1376">
        <f t="shared" si="21"/>
        <v>48675.899999999936</v>
      </c>
      <c r="I1376" t="str">
        <f>IF(Sheet1[[#This Row],[Month_Revenue]] &lt; AVERAGE(Sheet1[Month_Revenue]), "Off-Peak", "Peak")</f>
        <v>Off-Peak</v>
      </c>
      <c r="J1376">
        <f xml:space="preserve"> IF(Sheet1[[#This Row],[Ad Spend]] &gt; 0, (Sheet1[[#This Row],[Profit]] / Sheet1[[#This Row],[Ad Spend]]), 0)</f>
        <v>7.1553823672674133</v>
      </c>
      <c r="K1376">
        <f>Sheet1[[#This Row],[Revenue]]-Sheet1[[#This Row],[Ad Spend]]</f>
        <v>146.9</v>
      </c>
      <c r="L1376" s="2" t="s">
        <v>22</v>
      </c>
      <c r="M1376">
        <v>2</v>
      </c>
      <c r="N1376" s="2" t="s">
        <v>15</v>
      </c>
      <c r="O1376">
        <v>167.43</v>
      </c>
    </row>
    <row r="1377" spans="1:15" x14ac:dyDescent="0.3">
      <c r="A1377" s="1">
        <v>45341</v>
      </c>
      <c r="B1377" s="2" t="s">
        <v>24</v>
      </c>
      <c r="C1377" s="2" t="s">
        <v>21</v>
      </c>
      <c r="D1377" s="2" t="s">
        <v>18</v>
      </c>
      <c r="E1377">
        <v>37.72</v>
      </c>
      <c r="F1377">
        <v>10.74</v>
      </c>
      <c r="G1377">
        <v>2</v>
      </c>
      <c r="H1377">
        <f t="shared" si="21"/>
        <v>48675.899999999936</v>
      </c>
      <c r="I1377" t="str">
        <f>IF(Sheet1[[#This Row],[Month_Revenue]] &lt; AVERAGE(Sheet1[Month_Revenue]), "Off-Peak", "Peak")</f>
        <v>Off-Peak</v>
      </c>
      <c r="J1377">
        <f xml:space="preserve"> IF(Sheet1[[#This Row],[Ad Spend]] &gt; 0, (Sheet1[[#This Row],[Profit]] / Sheet1[[#This Row],[Ad Spend]]), 0)</f>
        <v>2.5121042830540032</v>
      </c>
      <c r="K1377">
        <f>Sheet1[[#This Row],[Revenue]]-Sheet1[[#This Row],[Ad Spend]]</f>
        <v>26.979999999999997</v>
      </c>
      <c r="L1377" s="2" t="s">
        <v>22</v>
      </c>
      <c r="M1377">
        <v>2</v>
      </c>
      <c r="N1377" s="2" t="s">
        <v>15</v>
      </c>
      <c r="O1377">
        <v>18.86</v>
      </c>
    </row>
    <row r="1378" spans="1:15" x14ac:dyDescent="0.3">
      <c r="A1378" s="1">
        <v>45306</v>
      </c>
      <c r="B1378" s="2" t="s">
        <v>20</v>
      </c>
      <c r="C1378" s="2" t="s">
        <v>12</v>
      </c>
      <c r="D1378" s="2" t="s">
        <v>13</v>
      </c>
      <c r="E1378">
        <v>193.52</v>
      </c>
      <c r="F1378">
        <v>9.1999999999999993</v>
      </c>
      <c r="G1378">
        <v>2</v>
      </c>
      <c r="H1378">
        <f t="shared" si="21"/>
        <v>61207.979999999989</v>
      </c>
      <c r="I1378" t="str">
        <f>IF(Sheet1[[#This Row],[Month_Revenue]] &lt; AVERAGE(Sheet1[Month_Revenue]), "Off-Peak", "Peak")</f>
        <v>Peak</v>
      </c>
      <c r="J1378">
        <f xml:space="preserve"> IF(Sheet1[[#This Row],[Ad Spend]] &gt; 0, (Sheet1[[#This Row],[Profit]] / Sheet1[[#This Row],[Ad Spend]]), 0)</f>
        <v>20.034782608695657</v>
      </c>
      <c r="K1378">
        <f>Sheet1[[#This Row],[Revenue]]-Sheet1[[#This Row],[Ad Spend]]</f>
        <v>184.32000000000002</v>
      </c>
      <c r="L1378" s="2" t="s">
        <v>22</v>
      </c>
      <c r="M1378">
        <v>1</v>
      </c>
      <c r="N1378" s="2" t="s">
        <v>15</v>
      </c>
      <c r="O1378">
        <v>96.76</v>
      </c>
    </row>
    <row r="1379" spans="1:15" x14ac:dyDescent="0.3">
      <c r="A1379" s="1">
        <v>45295</v>
      </c>
      <c r="B1379" s="2" t="s">
        <v>16</v>
      </c>
      <c r="C1379" s="2" t="s">
        <v>21</v>
      </c>
      <c r="D1379" s="2" t="s">
        <v>18</v>
      </c>
      <c r="E1379">
        <v>146.16</v>
      </c>
      <c r="F1379">
        <v>44.1</v>
      </c>
      <c r="G1379">
        <v>1</v>
      </c>
      <c r="H1379">
        <f t="shared" si="21"/>
        <v>61207.979999999989</v>
      </c>
      <c r="I1379" t="str">
        <f>IF(Sheet1[[#This Row],[Month_Revenue]] &lt; AVERAGE(Sheet1[Month_Revenue]), "Off-Peak", "Peak")</f>
        <v>Peak</v>
      </c>
      <c r="J1379">
        <f xml:space="preserve"> IF(Sheet1[[#This Row],[Ad Spend]] &gt; 0, (Sheet1[[#This Row],[Profit]] / Sheet1[[#This Row],[Ad Spend]]), 0)</f>
        <v>2.3142857142857141</v>
      </c>
      <c r="K1379">
        <f>Sheet1[[#This Row],[Revenue]]-Sheet1[[#This Row],[Ad Spend]]</f>
        <v>102.06</v>
      </c>
      <c r="L1379" s="2" t="s">
        <v>22</v>
      </c>
      <c r="M1379">
        <v>1</v>
      </c>
      <c r="N1379" s="2" t="s">
        <v>15</v>
      </c>
      <c r="O1379">
        <v>146.16</v>
      </c>
    </row>
    <row r="1380" spans="1:15" x14ac:dyDescent="0.3">
      <c r="A1380" s="1">
        <v>45341</v>
      </c>
      <c r="B1380" s="2" t="s">
        <v>11</v>
      </c>
      <c r="C1380" s="2" t="s">
        <v>21</v>
      </c>
      <c r="D1380" s="2" t="s">
        <v>18</v>
      </c>
      <c r="E1380">
        <v>39.85</v>
      </c>
      <c r="F1380">
        <v>9.24</v>
      </c>
      <c r="G1380">
        <v>1</v>
      </c>
      <c r="H1380">
        <f t="shared" si="21"/>
        <v>48675.899999999936</v>
      </c>
      <c r="I1380" t="str">
        <f>IF(Sheet1[[#This Row],[Month_Revenue]] &lt; AVERAGE(Sheet1[Month_Revenue]), "Off-Peak", "Peak")</f>
        <v>Off-Peak</v>
      </c>
      <c r="J1380">
        <f xml:space="preserve"> IF(Sheet1[[#This Row],[Ad Spend]] &gt; 0, (Sheet1[[#This Row],[Profit]] / Sheet1[[#This Row],[Ad Spend]]), 0)</f>
        <v>3.3127705627705626</v>
      </c>
      <c r="K1380">
        <f>Sheet1[[#This Row],[Revenue]]-Sheet1[[#This Row],[Ad Spend]]</f>
        <v>30.61</v>
      </c>
      <c r="L1380" s="2" t="s">
        <v>14</v>
      </c>
      <c r="M1380">
        <v>2</v>
      </c>
      <c r="N1380" s="2" t="s">
        <v>15</v>
      </c>
      <c r="O1380">
        <v>39.85</v>
      </c>
    </row>
    <row r="1381" spans="1:15" x14ac:dyDescent="0.3">
      <c r="A1381" s="1">
        <v>45370</v>
      </c>
      <c r="B1381" s="2" t="s">
        <v>11</v>
      </c>
      <c r="C1381" s="2" t="s">
        <v>12</v>
      </c>
      <c r="D1381" s="2" t="s">
        <v>18</v>
      </c>
      <c r="E1381">
        <v>89.4</v>
      </c>
      <c r="F1381">
        <v>43.04</v>
      </c>
      <c r="G1381">
        <v>1</v>
      </c>
      <c r="H1381">
        <f t="shared" si="21"/>
        <v>54735.250000000029</v>
      </c>
      <c r="I1381" t="str">
        <f>IF(Sheet1[[#This Row],[Month_Revenue]] &lt; AVERAGE(Sheet1[Month_Revenue]), "Off-Peak", "Peak")</f>
        <v>Off-Peak</v>
      </c>
      <c r="J1381">
        <f xml:space="preserve"> IF(Sheet1[[#This Row],[Ad Spend]] &gt; 0, (Sheet1[[#This Row],[Profit]] / Sheet1[[#This Row],[Ad Spend]]), 0)</f>
        <v>1.0771375464684017</v>
      </c>
      <c r="K1381">
        <f>Sheet1[[#This Row],[Revenue]]-Sheet1[[#This Row],[Ad Spend]]</f>
        <v>46.360000000000007</v>
      </c>
      <c r="L1381" s="2" t="s">
        <v>22</v>
      </c>
      <c r="M1381">
        <v>3</v>
      </c>
      <c r="N1381" s="2" t="s">
        <v>19</v>
      </c>
      <c r="O1381">
        <v>89.4</v>
      </c>
    </row>
    <row r="1382" spans="1:15" x14ac:dyDescent="0.3">
      <c r="A1382" s="1">
        <v>45329</v>
      </c>
      <c r="B1382" s="2" t="s">
        <v>20</v>
      </c>
      <c r="C1382" s="2" t="s">
        <v>12</v>
      </c>
      <c r="D1382" s="2" t="s">
        <v>18</v>
      </c>
      <c r="E1382">
        <v>96.91</v>
      </c>
      <c r="F1382">
        <v>36.869999999999997</v>
      </c>
      <c r="G1382">
        <v>0</v>
      </c>
      <c r="H1382">
        <f t="shared" si="21"/>
        <v>48675.899999999936</v>
      </c>
      <c r="I1382" t="str">
        <f>IF(Sheet1[[#This Row],[Month_Revenue]] &lt; AVERAGE(Sheet1[Month_Revenue]), "Off-Peak", "Peak")</f>
        <v>Off-Peak</v>
      </c>
      <c r="J1382">
        <f xml:space="preserve"> IF(Sheet1[[#This Row],[Ad Spend]] &gt; 0, (Sheet1[[#This Row],[Profit]] / Sheet1[[#This Row],[Ad Spend]]), 0)</f>
        <v>1.6284241931109305</v>
      </c>
      <c r="K1382">
        <f>Sheet1[[#This Row],[Revenue]]-Sheet1[[#This Row],[Ad Spend]]</f>
        <v>60.04</v>
      </c>
      <c r="L1382" s="2" t="s">
        <v>22</v>
      </c>
      <c r="M1382">
        <v>2</v>
      </c>
      <c r="N1382" s="2" t="s">
        <v>15</v>
      </c>
      <c r="O1382">
        <v>0</v>
      </c>
    </row>
    <row r="1383" spans="1:15" x14ac:dyDescent="0.3">
      <c r="A1383" s="1">
        <v>45330</v>
      </c>
      <c r="B1383" s="2" t="s">
        <v>16</v>
      </c>
      <c r="C1383" s="2" t="s">
        <v>21</v>
      </c>
      <c r="D1383" s="2" t="s">
        <v>18</v>
      </c>
      <c r="E1383">
        <v>93.83</v>
      </c>
      <c r="F1383">
        <v>23.86</v>
      </c>
      <c r="G1383">
        <v>3</v>
      </c>
      <c r="H1383">
        <f t="shared" si="21"/>
        <v>48675.899999999936</v>
      </c>
      <c r="I1383" t="str">
        <f>IF(Sheet1[[#This Row],[Month_Revenue]] &lt; AVERAGE(Sheet1[Month_Revenue]), "Off-Peak", "Peak")</f>
        <v>Off-Peak</v>
      </c>
      <c r="J1383">
        <f xml:space="preserve"> IF(Sheet1[[#This Row],[Ad Spend]] &gt; 0, (Sheet1[[#This Row],[Profit]] / Sheet1[[#This Row],[Ad Spend]]), 0)</f>
        <v>2.9325230511316009</v>
      </c>
      <c r="K1383">
        <f>Sheet1[[#This Row],[Revenue]]-Sheet1[[#This Row],[Ad Spend]]</f>
        <v>69.97</v>
      </c>
      <c r="L1383" s="2" t="s">
        <v>14</v>
      </c>
      <c r="M1383">
        <v>2</v>
      </c>
      <c r="N1383" s="2" t="s">
        <v>15</v>
      </c>
      <c r="O1383">
        <v>31.276666666666667</v>
      </c>
    </row>
    <row r="1384" spans="1:15" x14ac:dyDescent="0.3">
      <c r="A1384" s="1">
        <v>45347</v>
      </c>
      <c r="B1384" s="2" t="s">
        <v>11</v>
      </c>
      <c r="C1384" s="2" t="s">
        <v>17</v>
      </c>
      <c r="D1384" s="2" t="s">
        <v>13</v>
      </c>
      <c r="E1384">
        <v>160.09</v>
      </c>
      <c r="F1384">
        <v>47.6</v>
      </c>
      <c r="G1384">
        <v>1</v>
      </c>
      <c r="H1384">
        <f t="shared" si="21"/>
        <v>48675.899999999936</v>
      </c>
      <c r="I1384" t="str">
        <f>IF(Sheet1[[#This Row],[Month_Revenue]] &lt; AVERAGE(Sheet1[Month_Revenue]), "Off-Peak", "Peak")</f>
        <v>Off-Peak</v>
      </c>
      <c r="J1384">
        <f xml:space="preserve"> IF(Sheet1[[#This Row],[Ad Spend]] &gt; 0, (Sheet1[[#This Row],[Profit]] / Sheet1[[#This Row],[Ad Spend]]), 0)</f>
        <v>2.3632352941176471</v>
      </c>
      <c r="K1384">
        <f>Sheet1[[#This Row],[Revenue]]-Sheet1[[#This Row],[Ad Spend]]</f>
        <v>112.49000000000001</v>
      </c>
      <c r="L1384" s="2" t="s">
        <v>22</v>
      </c>
      <c r="M1384">
        <v>2</v>
      </c>
      <c r="N1384" s="2" t="s">
        <v>15</v>
      </c>
      <c r="O1384">
        <v>160.09</v>
      </c>
    </row>
    <row r="1385" spans="1:15" x14ac:dyDescent="0.3">
      <c r="A1385" s="1">
        <v>45356</v>
      </c>
      <c r="B1385" s="2" t="s">
        <v>23</v>
      </c>
      <c r="C1385" s="2" t="s">
        <v>21</v>
      </c>
      <c r="D1385" s="2" t="s">
        <v>18</v>
      </c>
      <c r="E1385">
        <v>122.84</v>
      </c>
      <c r="F1385">
        <v>8.34</v>
      </c>
      <c r="G1385">
        <v>3</v>
      </c>
      <c r="H1385">
        <f t="shared" si="21"/>
        <v>54735.250000000029</v>
      </c>
      <c r="I1385" t="str">
        <f>IF(Sheet1[[#This Row],[Month_Revenue]] &lt; AVERAGE(Sheet1[Month_Revenue]), "Off-Peak", "Peak")</f>
        <v>Off-Peak</v>
      </c>
      <c r="J1385">
        <f xml:space="preserve"> IF(Sheet1[[#This Row],[Ad Spend]] &gt; 0, (Sheet1[[#This Row],[Profit]] / Sheet1[[#This Row],[Ad Spend]]), 0)</f>
        <v>13.729016786570744</v>
      </c>
      <c r="K1385">
        <f>Sheet1[[#This Row],[Revenue]]-Sheet1[[#This Row],[Ad Spend]]</f>
        <v>114.5</v>
      </c>
      <c r="L1385" s="2" t="s">
        <v>22</v>
      </c>
      <c r="M1385">
        <v>3</v>
      </c>
      <c r="N1385" s="2" t="s">
        <v>19</v>
      </c>
      <c r="O1385">
        <v>40.946666666666665</v>
      </c>
    </row>
    <row r="1386" spans="1:15" x14ac:dyDescent="0.3">
      <c r="A1386" s="1">
        <v>45364</v>
      </c>
      <c r="B1386" s="2" t="s">
        <v>16</v>
      </c>
      <c r="C1386" s="2" t="s">
        <v>17</v>
      </c>
      <c r="D1386" s="2" t="s">
        <v>18</v>
      </c>
      <c r="E1386">
        <v>153.21</v>
      </c>
      <c r="F1386">
        <v>1.39</v>
      </c>
      <c r="G1386">
        <v>3</v>
      </c>
      <c r="H1386">
        <f t="shared" si="21"/>
        <v>54735.250000000029</v>
      </c>
      <c r="I1386" t="str">
        <f>IF(Sheet1[[#This Row],[Month_Revenue]] &lt; AVERAGE(Sheet1[Month_Revenue]), "Off-Peak", "Peak")</f>
        <v>Off-Peak</v>
      </c>
      <c r="J1386">
        <f xml:space="preserve"> IF(Sheet1[[#This Row],[Ad Spend]] &gt; 0, (Sheet1[[#This Row],[Profit]] / Sheet1[[#This Row],[Ad Spend]]), 0)</f>
        <v>109.22302158273384</v>
      </c>
      <c r="K1386">
        <f>Sheet1[[#This Row],[Revenue]]-Sheet1[[#This Row],[Ad Spend]]</f>
        <v>151.82000000000002</v>
      </c>
      <c r="L1386" s="2" t="s">
        <v>14</v>
      </c>
      <c r="M1386">
        <v>3</v>
      </c>
      <c r="N1386" s="2" t="s">
        <v>19</v>
      </c>
      <c r="O1386">
        <v>51.07</v>
      </c>
    </row>
    <row r="1387" spans="1:15" x14ac:dyDescent="0.3">
      <c r="A1387" s="1">
        <v>45320</v>
      </c>
      <c r="B1387" s="2" t="s">
        <v>20</v>
      </c>
      <c r="C1387" s="2" t="s">
        <v>21</v>
      </c>
      <c r="D1387" s="2" t="s">
        <v>13</v>
      </c>
      <c r="E1387">
        <v>175.5</v>
      </c>
      <c r="F1387">
        <v>25.93</v>
      </c>
      <c r="G1387">
        <v>3</v>
      </c>
      <c r="H1387">
        <f t="shared" si="21"/>
        <v>61207.979999999989</v>
      </c>
      <c r="I1387" t="str">
        <f>IF(Sheet1[[#This Row],[Month_Revenue]] &lt; AVERAGE(Sheet1[Month_Revenue]), "Off-Peak", "Peak")</f>
        <v>Peak</v>
      </c>
      <c r="J1387">
        <f xml:space="preserve"> IF(Sheet1[[#This Row],[Ad Spend]] &gt; 0, (Sheet1[[#This Row],[Profit]] / Sheet1[[#This Row],[Ad Spend]]), 0)</f>
        <v>5.7682221365214037</v>
      </c>
      <c r="K1387">
        <f>Sheet1[[#This Row],[Revenue]]-Sheet1[[#This Row],[Ad Spend]]</f>
        <v>149.57</v>
      </c>
      <c r="L1387" s="2" t="s">
        <v>22</v>
      </c>
      <c r="M1387">
        <v>1</v>
      </c>
      <c r="N1387" s="2" t="s">
        <v>15</v>
      </c>
      <c r="O1387">
        <v>58.5</v>
      </c>
    </row>
    <row r="1388" spans="1:15" x14ac:dyDescent="0.3">
      <c r="A1388" s="1">
        <v>45412</v>
      </c>
      <c r="B1388" s="2" t="s">
        <v>16</v>
      </c>
      <c r="C1388" s="2" t="s">
        <v>12</v>
      </c>
      <c r="D1388" s="2" t="s">
        <v>13</v>
      </c>
      <c r="E1388">
        <v>94.15</v>
      </c>
      <c r="F1388">
        <v>18.63</v>
      </c>
      <c r="G1388">
        <v>2</v>
      </c>
      <c r="H1388">
        <f t="shared" si="21"/>
        <v>58562.910000000018</v>
      </c>
      <c r="I1388" t="str">
        <f>IF(Sheet1[[#This Row],[Month_Revenue]] &lt; AVERAGE(Sheet1[Month_Revenue]), "Off-Peak", "Peak")</f>
        <v>Peak</v>
      </c>
      <c r="J1388">
        <f xml:space="preserve"> IF(Sheet1[[#This Row],[Ad Spend]] &gt; 0, (Sheet1[[#This Row],[Profit]] / Sheet1[[#This Row],[Ad Spend]]), 0)</f>
        <v>4.0536768652710693</v>
      </c>
      <c r="K1388">
        <f>Sheet1[[#This Row],[Revenue]]-Sheet1[[#This Row],[Ad Spend]]</f>
        <v>75.52000000000001</v>
      </c>
      <c r="L1388" s="2" t="s">
        <v>14</v>
      </c>
      <c r="M1388">
        <v>4</v>
      </c>
      <c r="N1388" s="2" t="s">
        <v>19</v>
      </c>
      <c r="O1388">
        <v>47.075000000000003</v>
      </c>
    </row>
    <row r="1389" spans="1:15" x14ac:dyDescent="0.3">
      <c r="A1389" s="1">
        <v>45346</v>
      </c>
      <c r="B1389" s="2" t="s">
        <v>20</v>
      </c>
      <c r="C1389" s="2" t="s">
        <v>12</v>
      </c>
      <c r="D1389" s="2" t="s">
        <v>13</v>
      </c>
      <c r="E1389">
        <v>67.099999999999994</v>
      </c>
      <c r="F1389">
        <v>43.46</v>
      </c>
      <c r="G1389">
        <v>0</v>
      </c>
      <c r="H1389">
        <f t="shared" si="21"/>
        <v>48675.899999999936</v>
      </c>
      <c r="I1389" t="str">
        <f>IF(Sheet1[[#This Row],[Month_Revenue]] &lt; AVERAGE(Sheet1[Month_Revenue]), "Off-Peak", "Peak")</f>
        <v>Off-Peak</v>
      </c>
      <c r="J1389">
        <f xml:space="preserve"> IF(Sheet1[[#This Row],[Ad Spend]] &gt; 0, (Sheet1[[#This Row],[Profit]] / Sheet1[[#This Row],[Ad Spend]]), 0)</f>
        <v>0.54394845835250794</v>
      </c>
      <c r="K1389">
        <f>Sheet1[[#This Row],[Revenue]]-Sheet1[[#This Row],[Ad Spend]]</f>
        <v>23.639999999999993</v>
      </c>
      <c r="L1389" s="2" t="s">
        <v>14</v>
      </c>
      <c r="M1389">
        <v>2</v>
      </c>
      <c r="N1389" s="2" t="s">
        <v>15</v>
      </c>
      <c r="O1389">
        <v>0</v>
      </c>
    </row>
    <row r="1390" spans="1:15" x14ac:dyDescent="0.3">
      <c r="A1390" s="1">
        <v>45348</v>
      </c>
      <c r="B1390" s="2" t="s">
        <v>11</v>
      </c>
      <c r="C1390" s="2" t="s">
        <v>12</v>
      </c>
      <c r="D1390" s="2" t="s">
        <v>18</v>
      </c>
      <c r="E1390">
        <v>151.26</v>
      </c>
      <c r="F1390">
        <v>24.96</v>
      </c>
      <c r="G1390">
        <v>0</v>
      </c>
      <c r="H1390">
        <f t="shared" si="21"/>
        <v>48675.899999999936</v>
      </c>
      <c r="I1390" t="str">
        <f>IF(Sheet1[[#This Row],[Month_Revenue]] &lt; AVERAGE(Sheet1[Month_Revenue]), "Off-Peak", "Peak")</f>
        <v>Off-Peak</v>
      </c>
      <c r="J1390">
        <f xml:space="preserve"> IF(Sheet1[[#This Row],[Ad Spend]] &gt; 0, (Sheet1[[#This Row],[Profit]] / Sheet1[[#This Row],[Ad Spend]]), 0)</f>
        <v>5.0600961538461533</v>
      </c>
      <c r="K1390">
        <f>Sheet1[[#This Row],[Revenue]]-Sheet1[[#This Row],[Ad Spend]]</f>
        <v>126.29999999999998</v>
      </c>
      <c r="L1390" s="2" t="s">
        <v>22</v>
      </c>
      <c r="M1390">
        <v>2</v>
      </c>
      <c r="N1390" s="2" t="s">
        <v>15</v>
      </c>
      <c r="O1390">
        <v>0</v>
      </c>
    </row>
    <row r="1391" spans="1:15" x14ac:dyDescent="0.3">
      <c r="A1391" s="1">
        <v>45325</v>
      </c>
      <c r="B1391" s="2" t="s">
        <v>16</v>
      </c>
      <c r="C1391" s="2" t="s">
        <v>17</v>
      </c>
      <c r="D1391" s="2" t="s">
        <v>18</v>
      </c>
      <c r="E1391">
        <v>32</v>
      </c>
      <c r="F1391">
        <v>41.51</v>
      </c>
      <c r="G1391">
        <v>1</v>
      </c>
      <c r="H1391">
        <f t="shared" si="21"/>
        <v>48675.899999999936</v>
      </c>
      <c r="I1391" t="str">
        <f>IF(Sheet1[[#This Row],[Month_Revenue]] &lt; AVERAGE(Sheet1[Month_Revenue]), "Off-Peak", "Peak")</f>
        <v>Off-Peak</v>
      </c>
      <c r="J1391">
        <f xml:space="preserve"> IF(Sheet1[[#This Row],[Ad Spend]] &gt; 0, (Sheet1[[#This Row],[Profit]] / Sheet1[[#This Row],[Ad Spend]]), 0)</f>
        <v>-0.22910142134425435</v>
      </c>
      <c r="K1391">
        <f>Sheet1[[#This Row],[Revenue]]-Sheet1[[#This Row],[Ad Spend]]</f>
        <v>-9.509999999999998</v>
      </c>
      <c r="L1391" s="2" t="s">
        <v>14</v>
      </c>
      <c r="M1391">
        <v>2</v>
      </c>
      <c r="N1391" s="2" t="s">
        <v>15</v>
      </c>
      <c r="O1391">
        <v>32</v>
      </c>
    </row>
    <row r="1392" spans="1:15" x14ac:dyDescent="0.3">
      <c r="A1392" s="1">
        <v>45372</v>
      </c>
      <c r="B1392" s="2" t="s">
        <v>23</v>
      </c>
      <c r="C1392" s="2" t="s">
        <v>12</v>
      </c>
      <c r="D1392" s="2" t="s">
        <v>18</v>
      </c>
      <c r="E1392">
        <v>37.049999999999997</v>
      </c>
      <c r="F1392">
        <v>38.200000000000003</v>
      </c>
      <c r="G1392">
        <v>2</v>
      </c>
      <c r="H1392">
        <f t="shared" si="21"/>
        <v>54735.250000000029</v>
      </c>
      <c r="I1392" t="str">
        <f>IF(Sheet1[[#This Row],[Month_Revenue]] &lt; AVERAGE(Sheet1[Month_Revenue]), "Off-Peak", "Peak")</f>
        <v>Off-Peak</v>
      </c>
      <c r="J1392">
        <f xml:space="preserve"> IF(Sheet1[[#This Row],[Ad Spend]] &gt; 0, (Sheet1[[#This Row],[Profit]] / Sheet1[[#This Row],[Ad Spend]]), 0)</f>
        <v>-3.0104712041884963E-2</v>
      </c>
      <c r="K1392">
        <f>Sheet1[[#This Row],[Revenue]]-Sheet1[[#This Row],[Ad Spend]]</f>
        <v>-1.1500000000000057</v>
      </c>
      <c r="L1392" s="2" t="s">
        <v>14</v>
      </c>
      <c r="M1392">
        <v>3</v>
      </c>
      <c r="N1392" s="2" t="s">
        <v>19</v>
      </c>
      <c r="O1392">
        <v>18.524999999999999</v>
      </c>
    </row>
    <row r="1393" spans="1:15" x14ac:dyDescent="0.3">
      <c r="A1393" s="1">
        <v>45394</v>
      </c>
      <c r="B1393" s="2" t="s">
        <v>24</v>
      </c>
      <c r="C1393" s="2" t="s">
        <v>17</v>
      </c>
      <c r="D1393" s="2" t="s">
        <v>18</v>
      </c>
      <c r="E1393">
        <v>42.49</v>
      </c>
      <c r="F1393">
        <v>25.44</v>
      </c>
      <c r="G1393">
        <v>1</v>
      </c>
      <c r="H1393">
        <f t="shared" si="21"/>
        <v>58562.910000000018</v>
      </c>
      <c r="I1393" t="str">
        <f>IF(Sheet1[[#This Row],[Month_Revenue]] &lt; AVERAGE(Sheet1[Month_Revenue]), "Off-Peak", "Peak")</f>
        <v>Peak</v>
      </c>
      <c r="J1393">
        <f xml:space="preserve"> IF(Sheet1[[#This Row],[Ad Spend]] &gt; 0, (Sheet1[[#This Row],[Profit]] / Sheet1[[#This Row],[Ad Spend]]), 0)</f>
        <v>0.67020440251572322</v>
      </c>
      <c r="K1393">
        <f>Sheet1[[#This Row],[Revenue]]-Sheet1[[#This Row],[Ad Spend]]</f>
        <v>17.05</v>
      </c>
      <c r="L1393" s="2" t="s">
        <v>22</v>
      </c>
      <c r="M1393">
        <v>4</v>
      </c>
      <c r="N1393" s="2" t="s">
        <v>19</v>
      </c>
      <c r="O1393">
        <v>42.49</v>
      </c>
    </row>
    <row r="1394" spans="1:15" x14ac:dyDescent="0.3">
      <c r="A1394" s="1">
        <v>45393</v>
      </c>
      <c r="B1394" s="2" t="s">
        <v>16</v>
      </c>
      <c r="C1394" s="2" t="s">
        <v>17</v>
      </c>
      <c r="D1394" s="2" t="s">
        <v>13</v>
      </c>
      <c r="E1394">
        <v>74.36</v>
      </c>
      <c r="F1394">
        <v>0.6</v>
      </c>
      <c r="G1394">
        <v>1</v>
      </c>
      <c r="H1394">
        <f t="shared" si="21"/>
        <v>58562.910000000018</v>
      </c>
      <c r="I1394" t="str">
        <f>IF(Sheet1[[#This Row],[Month_Revenue]] &lt; AVERAGE(Sheet1[Month_Revenue]), "Off-Peak", "Peak")</f>
        <v>Peak</v>
      </c>
      <c r="J1394">
        <f xml:space="preserve"> IF(Sheet1[[#This Row],[Ad Spend]] &gt; 0, (Sheet1[[#This Row],[Profit]] / Sheet1[[#This Row],[Ad Spend]]), 0)</f>
        <v>122.93333333333335</v>
      </c>
      <c r="K1394">
        <f>Sheet1[[#This Row],[Revenue]]-Sheet1[[#This Row],[Ad Spend]]</f>
        <v>73.760000000000005</v>
      </c>
      <c r="L1394" s="2" t="s">
        <v>22</v>
      </c>
      <c r="M1394">
        <v>4</v>
      </c>
      <c r="N1394" s="2" t="s">
        <v>19</v>
      </c>
      <c r="O1394">
        <v>74.36</v>
      </c>
    </row>
    <row r="1395" spans="1:15" x14ac:dyDescent="0.3">
      <c r="A1395" s="1">
        <v>45311</v>
      </c>
      <c r="B1395" s="2" t="s">
        <v>23</v>
      </c>
      <c r="C1395" s="2" t="s">
        <v>17</v>
      </c>
      <c r="D1395" s="2" t="s">
        <v>18</v>
      </c>
      <c r="E1395">
        <v>84.28</v>
      </c>
      <c r="F1395">
        <v>44.54</v>
      </c>
      <c r="G1395">
        <v>3</v>
      </c>
      <c r="H1395">
        <f t="shared" si="21"/>
        <v>61207.979999999989</v>
      </c>
      <c r="I1395" t="str">
        <f>IF(Sheet1[[#This Row],[Month_Revenue]] &lt; AVERAGE(Sheet1[Month_Revenue]), "Off-Peak", "Peak")</f>
        <v>Peak</v>
      </c>
      <c r="J1395">
        <f xml:space="preserve"> IF(Sheet1[[#This Row],[Ad Spend]] &gt; 0, (Sheet1[[#This Row],[Profit]] / Sheet1[[#This Row],[Ad Spend]]), 0)</f>
        <v>0.89223170184104184</v>
      </c>
      <c r="K1395">
        <f>Sheet1[[#This Row],[Revenue]]-Sheet1[[#This Row],[Ad Spend]]</f>
        <v>39.74</v>
      </c>
      <c r="L1395" s="2" t="s">
        <v>14</v>
      </c>
      <c r="M1395">
        <v>1</v>
      </c>
      <c r="N1395" s="2" t="s">
        <v>15</v>
      </c>
      <c r="O1395">
        <v>28.093333333333334</v>
      </c>
    </row>
    <row r="1396" spans="1:15" x14ac:dyDescent="0.3">
      <c r="A1396" s="1">
        <v>45358</v>
      </c>
      <c r="B1396" s="2" t="s">
        <v>24</v>
      </c>
      <c r="C1396" s="2" t="s">
        <v>17</v>
      </c>
      <c r="D1396" s="2" t="s">
        <v>18</v>
      </c>
      <c r="E1396">
        <v>95.83</v>
      </c>
      <c r="F1396">
        <v>2.65</v>
      </c>
      <c r="G1396">
        <v>3</v>
      </c>
      <c r="H1396">
        <f t="shared" si="21"/>
        <v>54735.250000000029</v>
      </c>
      <c r="I1396" t="str">
        <f>IF(Sheet1[[#This Row],[Month_Revenue]] &lt; AVERAGE(Sheet1[Month_Revenue]), "Off-Peak", "Peak")</f>
        <v>Off-Peak</v>
      </c>
      <c r="J1396">
        <f xml:space="preserve"> IF(Sheet1[[#This Row],[Ad Spend]] &gt; 0, (Sheet1[[#This Row],[Profit]] / Sheet1[[#This Row],[Ad Spend]]), 0)</f>
        <v>35.162264150943393</v>
      </c>
      <c r="K1396">
        <f>Sheet1[[#This Row],[Revenue]]-Sheet1[[#This Row],[Ad Spend]]</f>
        <v>93.179999999999993</v>
      </c>
      <c r="L1396" s="2" t="s">
        <v>14</v>
      </c>
      <c r="M1396">
        <v>3</v>
      </c>
      <c r="N1396" s="2" t="s">
        <v>19</v>
      </c>
      <c r="O1396">
        <v>31.943333333333332</v>
      </c>
    </row>
    <row r="1397" spans="1:15" x14ac:dyDescent="0.3">
      <c r="A1397" s="1">
        <v>45300</v>
      </c>
      <c r="B1397" s="2" t="s">
        <v>24</v>
      </c>
      <c r="C1397" s="2" t="s">
        <v>12</v>
      </c>
      <c r="D1397" s="2" t="s">
        <v>13</v>
      </c>
      <c r="E1397">
        <v>105.25</v>
      </c>
      <c r="F1397">
        <v>0.7</v>
      </c>
      <c r="G1397">
        <v>3</v>
      </c>
      <c r="H1397">
        <f t="shared" si="21"/>
        <v>61207.979999999989</v>
      </c>
      <c r="I1397" t="str">
        <f>IF(Sheet1[[#This Row],[Month_Revenue]] &lt; AVERAGE(Sheet1[Month_Revenue]), "Off-Peak", "Peak")</f>
        <v>Peak</v>
      </c>
      <c r="J1397">
        <f xml:space="preserve"> IF(Sheet1[[#This Row],[Ad Spend]] &gt; 0, (Sheet1[[#This Row],[Profit]] / Sheet1[[#This Row],[Ad Spend]]), 0)</f>
        <v>149.35714285714286</v>
      </c>
      <c r="K1397">
        <f>Sheet1[[#This Row],[Revenue]]-Sheet1[[#This Row],[Ad Spend]]</f>
        <v>104.55</v>
      </c>
      <c r="L1397" s="2" t="s">
        <v>14</v>
      </c>
      <c r="M1397">
        <v>1</v>
      </c>
      <c r="N1397" s="2" t="s">
        <v>15</v>
      </c>
      <c r="O1397">
        <v>35.083333333333336</v>
      </c>
    </row>
    <row r="1398" spans="1:15" x14ac:dyDescent="0.3">
      <c r="A1398" s="1">
        <v>45333</v>
      </c>
      <c r="B1398" s="2" t="s">
        <v>23</v>
      </c>
      <c r="C1398" s="2" t="s">
        <v>17</v>
      </c>
      <c r="D1398" s="2" t="s">
        <v>13</v>
      </c>
      <c r="E1398">
        <v>186.61</v>
      </c>
      <c r="F1398">
        <v>7.49</v>
      </c>
      <c r="G1398">
        <v>1</v>
      </c>
      <c r="H1398">
        <f t="shared" si="21"/>
        <v>48675.899999999936</v>
      </c>
      <c r="I1398" t="str">
        <f>IF(Sheet1[[#This Row],[Month_Revenue]] &lt; AVERAGE(Sheet1[Month_Revenue]), "Off-Peak", "Peak")</f>
        <v>Off-Peak</v>
      </c>
      <c r="J1398">
        <f xml:space="preserve"> IF(Sheet1[[#This Row],[Ad Spend]] &gt; 0, (Sheet1[[#This Row],[Profit]] / Sheet1[[#This Row],[Ad Spend]]), 0)</f>
        <v>23.914552736982643</v>
      </c>
      <c r="K1398">
        <f>Sheet1[[#This Row],[Revenue]]-Sheet1[[#This Row],[Ad Spend]]</f>
        <v>179.12</v>
      </c>
      <c r="L1398" s="2" t="s">
        <v>22</v>
      </c>
      <c r="M1398">
        <v>2</v>
      </c>
      <c r="N1398" s="2" t="s">
        <v>15</v>
      </c>
      <c r="O1398">
        <v>186.61</v>
      </c>
    </row>
    <row r="1399" spans="1:15" x14ac:dyDescent="0.3">
      <c r="A1399" s="1">
        <v>45328</v>
      </c>
      <c r="B1399" s="2" t="s">
        <v>11</v>
      </c>
      <c r="C1399" s="2" t="s">
        <v>12</v>
      </c>
      <c r="D1399" s="2" t="s">
        <v>18</v>
      </c>
      <c r="E1399">
        <v>33.4</v>
      </c>
      <c r="F1399">
        <v>3.01</v>
      </c>
      <c r="G1399">
        <v>0</v>
      </c>
      <c r="H1399">
        <f t="shared" si="21"/>
        <v>48675.899999999936</v>
      </c>
      <c r="I1399" t="str">
        <f>IF(Sheet1[[#This Row],[Month_Revenue]] &lt; AVERAGE(Sheet1[Month_Revenue]), "Off-Peak", "Peak")</f>
        <v>Off-Peak</v>
      </c>
      <c r="J1399">
        <f xml:space="preserve"> IF(Sheet1[[#This Row],[Ad Spend]] &gt; 0, (Sheet1[[#This Row],[Profit]] / Sheet1[[#This Row],[Ad Spend]]), 0)</f>
        <v>10.096345514950167</v>
      </c>
      <c r="K1399">
        <f>Sheet1[[#This Row],[Revenue]]-Sheet1[[#This Row],[Ad Spend]]</f>
        <v>30.39</v>
      </c>
      <c r="L1399" s="2" t="s">
        <v>14</v>
      </c>
      <c r="M1399">
        <v>2</v>
      </c>
      <c r="N1399" s="2" t="s">
        <v>15</v>
      </c>
      <c r="O1399">
        <v>0</v>
      </c>
    </row>
    <row r="1400" spans="1:15" x14ac:dyDescent="0.3">
      <c r="A1400" s="1">
        <v>45368</v>
      </c>
      <c r="B1400" s="2" t="s">
        <v>11</v>
      </c>
      <c r="C1400" s="2" t="s">
        <v>21</v>
      </c>
      <c r="D1400" s="2" t="s">
        <v>18</v>
      </c>
      <c r="E1400">
        <v>38.42</v>
      </c>
      <c r="F1400">
        <v>9.23</v>
      </c>
      <c r="G1400">
        <v>2</v>
      </c>
      <c r="H1400">
        <f t="shared" si="21"/>
        <v>54735.250000000029</v>
      </c>
      <c r="I1400" t="str">
        <f>IF(Sheet1[[#This Row],[Month_Revenue]] &lt; AVERAGE(Sheet1[Month_Revenue]), "Off-Peak", "Peak")</f>
        <v>Off-Peak</v>
      </c>
      <c r="J1400">
        <f xml:space="preserve"> IF(Sheet1[[#This Row],[Ad Spend]] &gt; 0, (Sheet1[[#This Row],[Profit]] / Sheet1[[#This Row],[Ad Spend]]), 0)</f>
        <v>3.1625135427952329</v>
      </c>
      <c r="K1400">
        <f>Sheet1[[#This Row],[Revenue]]-Sheet1[[#This Row],[Ad Spend]]</f>
        <v>29.19</v>
      </c>
      <c r="L1400" s="2" t="s">
        <v>22</v>
      </c>
      <c r="M1400">
        <v>3</v>
      </c>
      <c r="N1400" s="2" t="s">
        <v>19</v>
      </c>
      <c r="O1400">
        <v>19.21</v>
      </c>
    </row>
    <row r="1401" spans="1:15" x14ac:dyDescent="0.3">
      <c r="A1401" s="1">
        <v>45359</v>
      </c>
      <c r="B1401" s="2" t="s">
        <v>24</v>
      </c>
      <c r="C1401" s="2" t="s">
        <v>17</v>
      </c>
      <c r="D1401" s="2" t="s">
        <v>18</v>
      </c>
      <c r="E1401">
        <v>158.12</v>
      </c>
      <c r="F1401">
        <v>37</v>
      </c>
      <c r="G1401">
        <v>2</v>
      </c>
      <c r="H1401">
        <f t="shared" si="21"/>
        <v>54735.250000000029</v>
      </c>
      <c r="I1401" t="str">
        <f>IF(Sheet1[[#This Row],[Month_Revenue]] &lt; AVERAGE(Sheet1[Month_Revenue]), "Off-Peak", "Peak")</f>
        <v>Off-Peak</v>
      </c>
      <c r="J1401">
        <f xml:space="preserve"> IF(Sheet1[[#This Row],[Ad Spend]] &gt; 0, (Sheet1[[#This Row],[Profit]] / Sheet1[[#This Row],[Ad Spend]]), 0)</f>
        <v>3.2735135135135138</v>
      </c>
      <c r="K1401">
        <f>Sheet1[[#This Row],[Revenue]]-Sheet1[[#This Row],[Ad Spend]]</f>
        <v>121.12</v>
      </c>
      <c r="L1401" s="2" t="s">
        <v>22</v>
      </c>
      <c r="M1401">
        <v>3</v>
      </c>
      <c r="N1401" s="2" t="s">
        <v>19</v>
      </c>
      <c r="O1401">
        <v>79.06</v>
      </c>
    </row>
    <row r="1402" spans="1:15" x14ac:dyDescent="0.3">
      <c r="A1402" s="1">
        <v>45406</v>
      </c>
      <c r="B1402" s="2" t="s">
        <v>16</v>
      </c>
      <c r="C1402" s="2" t="s">
        <v>17</v>
      </c>
      <c r="D1402" s="2" t="s">
        <v>13</v>
      </c>
      <c r="E1402">
        <v>56.88</v>
      </c>
      <c r="F1402">
        <v>34.549999999999997</v>
      </c>
      <c r="G1402">
        <v>2</v>
      </c>
      <c r="H1402">
        <f t="shared" si="21"/>
        <v>58562.910000000018</v>
      </c>
      <c r="I1402" t="str">
        <f>IF(Sheet1[[#This Row],[Month_Revenue]] &lt; AVERAGE(Sheet1[Month_Revenue]), "Off-Peak", "Peak")</f>
        <v>Peak</v>
      </c>
      <c r="J1402">
        <f xml:space="preserve"> IF(Sheet1[[#This Row],[Ad Spend]] &gt; 0, (Sheet1[[#This Row],[Profit]] / Sheet1[[#This Row],[Ad Spend]]), 0)</f>
        <v>0.64630969609261957</v>
      </c>
      <c r="K1402">
        <f>Sheet1[[#This Row],[Revenue]]-Sheet1[[#This Row],[Ad Spend]]</f>
        <v>22.330000000000005</v>
      </c>
      <c r="L1402" s="2" t="s">
        <v>22</v>
      </c>
      <c r="M1402">
        <v>4</v>
      </c>
      <c r="N1402" s="2" t="s">
        <v>19</v>
      </c>
      <c r="O1402">
        <v>28.44</v>
      </c>
    </row>
    <row r="1403" spans="1:15" x14ac:dyDescent="0.3">
      <c r="A1403" s="1">
        <v>45369</v>
      </c>
      <c r="B1403" s="2" t="s">
        <v>23</v>
      </c>
      <c r="C1403" s="2" t="s">
        <v>17</v>
      </c>
      <c r="D1403" s="2" t="s">
        <v>13</v>
      </c>
      <c r="E1403">
        <v>29.56</v>
      </c>
      <c r="F1403">
        <v>23.67</v>
      </c>
      <c r="G1403">
        <v>3</v>
      </c>
      <c r="H1403">
        <f t="shared" si="21"/>
        <v>54735.250000000029</v>
      </c>
      <c r="I1403" t="str">
        <f>IF(Sheet1[[#This Row],[Month_Revenue]] &lt; AVERAGE(Sheet1[Month_Revenue]), "Off-Peak", "Peak")</f>
        <v>Off-Peak</v>
      </c>
      <c r="J1403">
        <f xml:space="preserve"> IF(Sheet1[[#This Row],[Ad Spend]] &gt; 0, (Sheet1[[#This Row],[Profit]] / Sheet1[[#This Row],[Ad Spend]]), 0)</f>
        <v>0.24883819180397113</v>
      </c>
      <c r="K1403">
        <f>Sheet1[[#This Row],[Revenue]]-Sheet1[[#This Row],[Ad Spend]]</f>
        <v>5.889999999999997</v>
      </c>
      <c r="L1403" s="2" t="s">
        <v>14</v>
      </c>
      <c r="M1403">
        <v>3</v>
      </c>
      <c r="N1403" s="2" t="s">
        <v>19</v>
      </c>
      <c r="O1403">
        <v>9.8533333333333335</v>
      </c>
    </row>
    <row r="1404" spans="1:15" x14ac:dyDescent="0.3">
      <c r="A1404" s="1">
        <v>45357</v>
      </c>
      <c r="B1404" s="2" t="s">
        <v>20</v>
      </c>
      <c r="C1404" s="2" t="s">
        <v>12</v>
      </c>
      <c r="D1404" s="2" t="s">
        <v>13</v>
      </c>
      <c r="E1404">
        <v>125.13</v>
      </c>
      <c r="F1404">
        <v>26.07</v>
      </c>
      <c r="G1404">
        <v>1</v>
      </c>
      <c r="H1404">
        <f t="shared" si="21"/>
        <v>54735.250000000029</v>
      </c>
      <c r="I1404" t="str">
        <f>IF(Sheet1[[#This Row],[Month_Revenue]] &lt; AVERAGE(Sheet1[Month_Revenue]), "Off-Peak", "Peak")</f>
        <v>Off-Peak</v>
      </c>
      <c r="J1404">
        <f xml:space="preserve"> IF(Sheet1[[#This Row],[Ad Spend]] &gt; 0, (Sheet1[[#This Row],[Profit]] / Sheet1[[#This Row],[Ad Spend]]), 0)</f>
        <v>3.7997698504027619</v>
      </c>
      <c r="K1404">
        <f>Sheet1[[#This Row],[Revenue]]-Sheet1[[#This Row],[Ad Spend]]</f>
        <v>99.06</v>
      </c>
      <c r="L1404" s="2" t="s">
        <v>22</v>
      </c>
      <c r="M1404">
        <v>3</v>
      </c>
      <c r="N1404" s="2" t="s">
        <v>19</v>
      </c>
      <c r="O1404">
        <v>125.13</v>
      </c>
    </row>
    <row r="1405" spans="1:15" x14ac:dyDescent="0.3">
      <c r="A1405" s="1">
        <v>45304</v>
      </c>
      <c r="B1405" s="2" t="s">
        <v>16</v>
      </c>
      <c r="C1405" s="2" t="s">
        <v>17</v>
      </c>
      <c r="D1405" s="2" t="s">
        <v>18</v>
      </c>
      <c r="E1405">
        <v>188.17</v>
      </c>
      <c r="F1405">
        <v>23.13</v>
      </c>
      <c r="G1405">
        <v>2</v>
      </c>
      <c r="H1405">
        <f t="shared" si="21"/>
        <v>61207.979999999989</v>
      </c>
      <c r="I1405" t="str">
        <f>IF(Sheet1[[#This Row],[Month_Revenue]] &lt; AVERAGE(Sheet1[Month_Revenue]), "Off-Peak", "Peak")</f>
        <v>Peak</v>
      </c>
      <c r="J1405">
        <f xml:space="preserve"> IF(Sheet1[[#This Row],[Ad Spend]] &gt; 0, (Sheet1[[#This Row],[Profit]] / Sheet1[[#This Row],[Ad Spend]]), 0)</f>
        <v>7.1353220925205356</v>
      </c>
      <c r="K1405">
        <f>Sheet1[[#This Row],[Revenue]]-Sheet1[[#This Row],[Ad Spend]]</f>
        <v>165.04</v>
      </c>
      <c r="L1405" s="2" t="s">
        <v>22</v>
      </c>
      <c r="M1405">
        <v>1</v>
      </c>
      <c r="N1405" s="2" t="s">
        <v>15</v>
      </c>
      <c r="O1405">
        <v>94.084999999999994</v>
      </c>
    </row>
    <row r="1406" spans="1:15" x14ac:dyDescent="0.3">
      <c r="A1406" s="1">
        <v>45382</v>
      </c>
      <c r="B1406" s="2" t="s">
        <v>20</v>
      </c>
      <c r="C1406" s="2" t="s">
        <v>12</v>
      </c>
      <c r="D1406" s="2" t="s">
        <v>18</v>
      </c>
      <c r="E1406">
        <v>172.06</v>
      </c>
      <c r="F1406">
        <v>35.11</v>
      </c>
      <c r="G1406">
        <v>3</v>
      </c>
      <c r="H1406">
        <f t="shared" si="21"/>
        <v>54735.250000000029</v>
      </c>
      <c r="I1406" t="str">
        <f>IF(Sheet1[[#This Row],[Month_Revenue]] &lt; AVERAGE(Sheet1[Month_Revenue]), "Off-Peak", "Peak")</f>
        <v>Off-Peak</v>
      </c>
      <c r="J1406">
        <f xml:space="preserve"> IF(Sheet1[[#This Row],[Ad Spend]] &gt; 0, (Sheet1[[#This Row],[Profit]] / Sheet1[[#This Row],[Ad Spend]]), 0)</f>
        <v>3.9005981201936768</v>
      </c>
      <c r="K1406">
        <f>Sheet1[[#This Row],[Revenue]]-Sheet1[[#This Row],[Ad Spend]]</f>
        <v>136.94999999999999</v>
      </c>
      <c r="L1406" s="2" t="s">
        <v>22</v>
      </c>
      <c r="M1406">
        <v>3</v>
      </c>
      <c r="N1406" s="2" t="s">
        <v>19</v>
      </c>
      <c r="O1406">
        <v>57.353333333333332</v>
      </c>
    </row>
    <row r="1407" spans="1:15" x14ac:dyDescent="0.3">
      <c r="A1407" s="1">
        <v>45339</v>
      </c>
      <c r="B1407" s="2" t="s">
        <v>20</v>
      </c>
      <c r="C1407" s="2" t="s">
        <v>21</v>
      </c>
      <c r="D1407" s="2" t="s">
        <v>18</v>
      </c>
      <c r="E1407">
        <v>31.86</v>
      </c>
      <c r="F1407">
        <v>44.24</v>
      </c>
      <c r="G1407">
        <v>2</v>
      </c>
      <c r="H1407">
        <f t="shared" si="21"/>
        <v>48675.899999999936</v>
      </c>
      <c r="I1407" t="str">
        <f>IF(Sheet1[[#This Row],[Month_Revenue]] &lt; AVERAGE(Sheet1[Month_Revenue]), "Off-Peak", "Peak")</f>
        <v>Off-Peak</v>
      </c>
      <c r="J1407">
        <f xml:space="preserve"> IF(Sheet1[[#This Row],[Ad Spend]] &gt; 0, (Sheet1[[#This Row],[Profit]] / Sheet1[[#This Row],[Ad Spend]]), 0)</f>
        <v>-0.27983725135623877</v>
      </c>
      <c r="K1407">
        <f>Sheet1[[#This Row],[Revenue]]-Sheet1[[#This Row],[Ad Spend]]</f>
        <v>-12.380000000000003</v>
      </c>
      <c r="L1407" s="2" t="s">
        <v>22</v>
      </c>
      <c r="M1407">
        <v>2</v>
      </c>
      <c r="N1407" s="2" t="s">
        <v>15</v>
      </c>
      <c r="O1407">
        <v>15.93</v>
      </c>
    </row>
    <row r="1408" spans="1:15" x14ac:dyDescent="0.3">
      <c r="A1408" s="1">
        <v>45368</v>
      </c>
      <c r="B1408" s="2" t="s">
        <v>24</v>
      </c>
      <c r="C1408" s="2" t="s">
        <v>12</v>
      </c>
      <c r="D1408" s="2" t="s">
        <v>18</v>
      </c>
      <c r="E1408">
        <v>72.680000000000007</v>
      </c>
      <c r="F1408">
        <v>25.89</v>
      </c>
      <c r="G1408">
        <v>2</v>
      </c>
      <c r="H1408">
        <f t="shared" si="21"/>
        <v>54735.250000000029</v>
      </c>
      <c r="I1408" t="str">
        <f>IF(Sheet1[[#This Row],[Month_Revenue]] &lt; AVERAGE(Sheet1[Month_Revenue]), "Off-Peak", "Peak")</f>
        <v>Off-Peak</v>
      </c>
      <c r="J1408">
        <f xml:space="preserve"> IF(Sheet1[[#This Row],[Ad Spend]] &gt; 0, (Sheet1[[#This Row],[Profit]] / Sheet1[[#This Row],[Ad Spend]]), 0)</f>
        <v>1.8072614909231366</v>
      </c>
      <c r="K1408">
        <f>Sheet1[[#This Row],[Revenue]]-Sheet1[[#This Row],[Ad Spend]]</f>
        <v>46.790000000000006</v>
      </c>
      <c r="L1408" s="2" t="s">
        <v>14</v>
      </c>
      <c r="M1408">
        <v>3</v>
      </c>
      <c r="N1408" s="2" t="s">
        <v>19</v>
      </c>
      <c r="O1408">
        <v>36.340000000000003</v>
      </c>
    </row>
    <row r="1409" spans="1:15" x14ac:dyDescent="0.3">
      <c r="A1409" s="1">
        <v>45369</v>
      </c>
      <c r="B1409" s="2" t="s">
        <v>11</v>
      </c>
      <c r="C1409" s="2" t="s">
        <v>21</v>
      </c>
      <c r="D1409" s="2" t="s">
        <v>18</v>
      </c>
      <c r="E1409">
        <v>87.21</v>
      </c>
      <c r="F1409">
        <v>19.760000000000002</v>
      </c>
      <c r="G1409">
        <v>3</v>
      </c>
      <c r="H1409">
        <f t="shared" si="21"/>
        <v>54735.250000000029</v>
      </c>
      <c r="I1409" t="str">
        <f>IF(Sheet1[[#This Row],[Month_Revenue]] &lt; AVERAGE(Sheet1[Month_Revenue]), "Off-Peak", "Peak")</f>
        <v>Off-Peak</v>
      </c>
      <c r="J1409">
        <f xml:space="preserve"> IF(Sheet1[[#This Row],[Ad Spend]] &gt; 0, (Sheet1[[#This Row],[Profit]] / Sheet1[[#This Row],[Ad Spend]]), 0)</f>
        <v>3.4134615384615374</v>
      </c>
      <c r="K1409">
        <f>Sheet1[[#This Row],[Revenue]]-Sheet1[[#This Row],[Ad Spend]]</f>
        <v>67.449999999999989</v>
      </c>
      <c r="L1409" s="2" t="s">
        <v>22</v>
      </c>
      <c r="M1409">
        <v>3</v>
      </c>
      <c r="N1409" s="2" t="s">
        <v>19</v>
      </c>
      <c r="O1409">
        <v>29.069999999999997</v>
      </c>
    </row>
    <row r="1410" spans="1:15" x14ac:dyDescent="0.3">
      <c r="A1410" s="1">
        <v>45411</v>
      </c>
      <c r="B1410" s="2" t="s">
        <v>23</v>
      </c>
      <c r="C1410" s="2" t="s">
        <v>17</v>
      </c>
      <c r="D1410" s="2" t="s">
        <v>18</v>
      </c>
      <c r="E1410">
        <v>64.19</v>
      </c>
      <c r="F1410">
        <v>49.25</v>
      </c>
      <c r="G1410">
        <v>3</v>
      </c>
      <c r="H1410">
        <f t="shared" ref="H1410:H1473" si="22">SUMIFS($E$2:$E$2001, $M$2:$M$2001, M1410)</f>
        <v>58562.910000000018</v>
      </c>
      <c r="I1410" t="str">
        <f>IF(Sheet1[[#This Row],[Month_Revenue]] &lt; AVERAGE(Sheet1[Month_Revenue]), "Off-Peak", "Peak")</f>
        <v>Peak</v>
      </c>
      <c r="J1410">
        <f xml:space="preserve"> IF(Sheet1[[#This Row],[Ad Spend]] &gt; 0, (Sheet1[[#This Row],[Profit]] / Sheet1[[#This Row],[Ad Spend]]), 0)</f>
        <v>0.30335025380710656</v>
      </c>
      <c r="K1410">
        <f>Sheet1[[#This Row],[Revenue]]-Sheet1[[#This Row],[Ad Spend]]</f>
        <v>14.939999999999998</v>
      </c>
      <c r="L1410" s="2" t="s">
        <v>14</v>
      </c>
      <c r="M1410">
        <v>4</v>
      </c>
      <c r="N1410" s="2" t="s">
        <v>19</v>
      </c>
      <c r="O1410">
        <v>21.396666666666665</v>
      </c>
    </row>
    <row r="1411" spans="1:15" x14ac:dyDescent="0.3">
      <c r="A1411" s="1">
        <v>45356</v>
      </c>
      <c r="B1411" s="2" t="s">
        <v>20</v>
      </c>
      <c r="C1411" s="2" t="s">
        <v>17</v>
      </c>
      <c r="D1411" s="2" t="s">
        <v>13</v>
      </c>
      <c r="E1411">
        <v>192.16</v>
      </c>
      <c r="F1411">
        <v>7.73</v>
      </c>
      <c r="G1411">
        <v>2</v>
      </c>
      <c r="H1411">
        <f t="shared" si="22"/>
        <v>54735.250000000029</v>
      </c>
      <c r="I1411" t="str">
        <f>IF(Sheet1[[#This Row],[Month_Revenue]] &lt; AVERAGE(Sheet1[Month_Revenue]), "Off-Peak", "Peak")</f>
        <v>Off-Peak</v>
      </c>
      <c r="J1411">
        <f xml:space="preserve"> IF(Sheet1[[#This Row],[Ad Spend]] &gt; 0, (Sheet1[[#This Row],[Profit]] / Sheet1[[#This Row],[Ad Spend]]), 0)</f>
        <v>23.858990944372575</v>
      </c>
      <c r="K1411">
        <f>Sheet1[[#This Row],[Revenue]]-Sheet1[[#This Row],[Ad Spend]]</f>
        <v>184.43</v>
      </c>
      <c r="L1411" s="2" t="s">
        <v>22</v>
      </c>
      <c r="M1411">
        <v>3</v>
      </c>
      <c r="N1411" s="2" t="s">
        <v>19</v>
      </c>
      <c r="O1411">
        <v>96.08</v>
      </c>
    </row>
    <row r="1412" spans="1:15" x14ac:dyDescent="0.3">
      <c r="A1412" s="1">
        <v>45388</v>
      </c>
      <c r="B1412" s="2" t="s">
        <v>11</v>
      </c>
      <c r="C1412" s="2" t="s">
        <v>12</v>
      </c>
      <c r="D1412" s="2" t="s">
        <v>18</v>
      </c>
      <c r="E1412">
        <v>110.78</v>
      </c>
      <c r="F1412">
        <v>27.33</v>
      </c>
      <c r="G1412">
        <v>2</v>
      </c>
      <c r="H1412">
        <f t="shared" si="22"/>
        <v>58562.910000000018</v>
      </c>
      <c r="I1412" t="str">
        <f>IF(Sheet1[[#This Row],[Month_Revenue]] &lt; AVERAGE(Sheet1[Month_Revenue]), "Off-Peak", "Peak")</f>
        <v>Peak</v>
      </c>
      <c r="J1412">
        <f xml:space="preserve"> IF(Sheet1[[#This Row],[Ad Spend]] &gt; 0, (Sheet1[[#This Row],[Profit]] / Sheet1[[#This Row],[Ad Spend]]), 0)</f>
        <v>3.0534211489206005</v>
      </c>
      <c r="K1412">
        <f>Sheet1[[#This Row],[Revenue]]-Sheet1[[#This Row],[Ad Spend]]</f>
        <v>83.45</v>
      </c>
      <c r="L1412" s="2" t="s">
        <v>22</v>
      </c>
      <c r="M1412">
        <v>4</v>
      </c>
      <c r="N1412" s="2" t="s">
        <v>19</v>
      </c>
      <c r="O1412">
        <v>55.39</v>
      </c>
    </row>
    <row r="1413" spans="1:15" x14ac:dyDescent="0.3">
      <c r="A1413" s="1">
        <v>45404</v>
      </c>
      <c r="B1413" s="2" t="s">
        <v>20</v>
      </c>
      <c r="C1413" s="2" t="s">
        <v>17</v>
      </c>
      <c r="D1413" s="2" t="s">
        <v>13</v>
      </c>
      <c r="E1413">
        <v>148.24</v>
      </c>
      <c r="F1413">
        <v>12.72</v>
      </c>
      <c r="G1413">
        <v>2</v>
      </c>
      <c r="H1413">
        <f t="shared" si="22"/>
        <v>58562.910000000018</v>
      </c>
      <c r="I1413" t="str">
        <f>IF(Sheet1[[#This Row],[Month_Revenue]] &lt; AVERAGE(Sheet1[Month_Revenue]), "Off-Peak", "Peak")</f>
        <v>Peak</v>
      </c>
      <c r="J1413">
        <f xml:space="preserve"> IF(Sheet1[[#This Row],[Ad Spend]] &gt; 0, (Sheet1[[#This Row],[Profit]] / Sheet1[[#This Row],[Ad Spend]]), 0)</f>
        <v>10.654088050314465</v>
      </c>
      <c r="K1413">
        <f>Sheet1[[#This Row],[Revenue]]-Sheet1[[#This Row],[Ad Spend]]</f>
        <v>135.52000000000001</v>
      </c>
      <c r="L1413" s="2" t="s">
        <v>14</v>
      </c>
      <c r="M1413">
        <v>4</v>
      </c>
      <c r="N1413" s="2" t="s">
        <v>19</v>
      </c>
      <c r="O1413">
        <v>74.12</v>
      </c>
    </row>
    <row r="1414" spans="1:15" x14ac:dyDescent="0.3">
      <c r="A1414" s="1">
        <v>45333</v>
      </c>
      <c r="B1414" s="2" t="s">
        <v>24</v>
      </c>
      <c r="C1414" s="2" t="s">
        <v>12</v>
      </c>
      <c r="D1414" s="2" t="s">
        <v>18</v>
      </c>
      <c r="E1414">
        <v>51.25</v>
      </c>
      <c r="F1414">
        <v>49.33</v>
      </c>
      <c r="G1414">
        <v>2</v>
      </c>
      <c r="H1414">
        <f t="shared" si="22"/>
        <v>48675.899999999936</v>
      </c>
      <c r="I1414" t="str">
        <f>IF(Sheet1[[#This Row],[Month_Revenue]] &lt; AVERAGE(Sheet1[Month_Revenue]), "Off-Peak", "Peak")</f>
        <v>Off-Peak</v>
      </c>
      <c r="J1414">
        <f xml:space="preserve"> IF(Sheet1[[#This Row],[Ad Spend]] &gt; 0, (Sheet1[[#This Row],[Profit]] / Sheet1[[#This Row],[Ad Spend]]), 0)</f>
        <v>3.8921548753294177E-2</v>
      </c>
      <c r="K1414">
        <f>Sheet1[[#This Row],[Revenue]]-Sheet1[[#This Row],[Ad Spend]]</f>
        <v>1.9200000000000017</v>
      </c>
      <c r="L1414" s="2" t="s">
        <v>22</v>
      </c>
      <c r="M1414">
        <v>2</v>
      </c>
      <c r="N1414" s="2" t="s">
        <v>15</v>
      </c>
      <c r="O1414">
        <v>25.625</v>
      </c>
    </row>
    <row r="1415" spans="1:15" x14ac:dyDescent="0.3">
      <c r="A1415" s="1">
        <v>45294</v>
      </c>
      <c r="B1415" s="2" t="s">
        <v>16</v>
      </c>
      <c r="C1415" s="2" t="s">
        <v>12</v>
      </c>
      <c r="D1415" s="2" t="s">
        <v>13</v>
      </c>
      <c r="E1415">
        <v>198.43</v>
      </c>
      <c r="F1415">
        <v>0.46</v>
      </c>
      <c r="G1415">
        <v>1</v>
      </c>
      <c r="H1415">
        <f t="shared" si="22"/>
        <v>61207.979999999989</v>
      </c>
      <c r="I1415" t="str">
        <f>IF(Sheet1[[#This Row],[Month_Revenue]] &lt; AVERAGE(Sheet1[Month_Revenue]), "Off-Peak", "Peak")</f>
        <v>Peak</v>
      </c>
      <c r="J1415">
        <f xml:space="preserve"> IF(Sheet1[[#This Row],[Ad Spend]] &gt; 0, (Sheet1[[#This Row],[Profit]] / Sheet1[[#This Row],[Ad Spend]]), 0)</f>
        <v>430.36956521739125</v>
      </c>
      <c r="K1415">
        <f>Sheet1[[#This Row],[Revenue]]-Sheet1[[#This Row],[Ad Spend]]</f>
        <v>197.97</v>
      </c>
      <c r="L1415" s="2" t="s">
        <v>22</v>
      </c>
      <c r="M1415">
        <v>1</v>
      </c>
      <c r="N1415" s="2" t="s">
        <v>15</v>
      </c>
      <c r="O1415">
        <v>198.43</v>
      </c>
    </row>
    <row r="1416" spans="1:15" x14ac:dyDescent="0.3">
      <c r="A1416" s="1">
        <v>45340</v>
      </c>
      <c r="B1416" s="2" t="s">
        <v>23</v>
      </c>
      <c r="C1416" s="2" t="s">
        <v>12</v>
      </c>
      <c r="D1416" s="2" t="s">
        <v>18</v>
      </c>
      <c r="E1416">
        <v>157.52000000000001</v>
      </c>
      <c r="F1416">
        <v>40.85</v>
      </c>
      <c r="G1416">
        <v>3</v>
      </c>
      <c r="H1416">
        <f t="shared" si="22"/>
        <v>48675.899999999936</v>
      </c>
      <c r="I1416" t="str">
        <f>IF(Sheet1[[#This Row],[Month_Revenue]] &lt; AVERAGE(Sheet1[Month_Revenue]), "Off-Peak", "Peak")</f>
        <v>Off-Peak</v>
      </c>
      <c r="J1416">
        <f xml:space="preserve"> IF(Sheet1[[#This Row],[Ad Spend]] &gt; 0, (Sheet1[[#This Row],[Profit]] / Sheet1[[#This Row],[Ad Spend]]), 0)</f>
        <v>2.856058751529988</v>
      </c>
      <c r="K1416">
        <f>Sheet1[[#This Row],[Revenue]]-Sheet1[[#This Row],[Ad Spend]]</f>
        <v>116.67000000000002</v>
      </c>
      <c r="L1416" s="2" t="s">
        <v>22</v>
      </c>
      <c r="M1416">
        <v>2</v>
      </c>
      <c r="N1416" s="2" t="s">
        <v>15</v>
      </c>
      <c r="O1416">
        <v>52.506666666666668</v>
      </c>
    </row>
    <row r="1417" spans="1:15" x14ac:dyDescent="0.3">
      <c r="A1417" s="1">
        <v>45323</v>
      </c>
      <c r="B1417" s="2" t="s">
        <v>16</v>
      </c>
      <c r="C1417" s="2" t="s">
        <v>21</v>
      </c>
      <c r="D1417" s="2" t="s">
        <v>18</v>
      </c>
      <c r="E1417">
        <v>168.58</v>
      </c>
      <c r="F1417">
        <v>12.82</v>
      </c>
      <c r="G1417">
        <v>2</v>
      </c>
      <c r="H1417">
        <f t="shared" si="22"/>
        <v>48675.899999999936</v>
      </c>
      <c r="I1417" t="str">
        <f>IF(Sheet1[[#This Row],[Month_Revenue]] &lt; AVERAGE(Sheet1[Month_Revenue]), "Off-Peak", "Peak")</f>
        <v>Off-Peak</v>
      </c>
      <c r="J1417">
        <f xml:space="preserve"> IF(Sheet1[[#This Row],[Ad Spend]] &gt; 0, (Sheet1[[#This Row],[Profit]] / Sheet1[[#This Row],[Ad Spend]]), 0)</f>
        <v>12.149765990639628</v>
      </c>
      <c r="K1417">
        <f>Sheet1[[#This Row],[Revenue]]-Sheet1[[#This Row],[Ad Spend]]</f>
        <v>155.76000000000002</v>
      </c>
      <c r="L1417" s="2" t="s">
        <v>14</v>
      </c>
      <c r="M1417">
        <v>2</v>
      </c>
      <c r="N1417" s="2" t="s">
        <v>15</v>
      </c>
      <c r="O1417">
        <v>84.29</v>
      </c>
    </row>
    <row r="1418" spans="1:15" x14ac:dyDescent="0.3">
      <c r="A1418" s="1">
        <v>45371</v>
      </c>
      <c r="B1418" s="2" t="s">
        <v>20</v>
      </c>
      <c r="C1418" s="2" t="s">
        <v>21</v>
      </c>
      <c r="D1418" s="2" t="s">
        <v>13</v>
      </c>
      <c r="E1418">
        <v>136.96</v>
      </c>
      <c r="F1418">
        <v>14.59</v>
      </c>
      <c r="G1418">
        <v>0</v>
      </c>
      <c r="H1418">
        <f t="shared" si="22"/>
        <v>54735.250000000029</v>
      </c>
      <c r="I1418" t="str">
        <f>IF(Sheet1[[#This Row],[Month_Revenue]] &lt; AVERAGE(Sheet1[Month_Revenue]), "Off-Peak", "Peak")</f>
        <v>Off-Peak</v>
      </c>
      <c r="J1418">
        <f xml:space="preserve"> IF(Sheet1[[#This Row],[Ad Spend]] &gt; 0, (Sheet1[[#This Row],[Profit]] / Sheet1[[#This Row],[Ad Spend]]), 0)</f>
        <v>8.3872515421521587</v>
      </c>
      <c r="K1418">
        <f>Sheet1[[#This Row],[Revenue]]-Sheet1[[#This Row],[Ad Spend]]</f>
        <v>122.37</v>
      </c>
      <c r="L1418" s="2" t="s">
        <v>22</v>
      </c>
      <c r="M1418">
        <v>3</v>
      </c>
      <c r="N1418" s="2" t="s">
        <v>19</v>
      </c>
      <c r="O1418">
        <v>0</v>
      </c>
    </row>
    <row r="1419" spans="1:15" x14ac:dyDescent="0.3">
      <c r="A1419" s="1">
        <v>45408</v>
      </c>
      <c r="B1419" s="2" t="s">
        <v>11</v>
      </c>
      <c r="C1419" s="2" t="s">
        <v>12</v>
      </c>
      <c r="D1419" s="2" t="s">
        <v>18</v>
      </c>
      <c r="E1419">
        <v>25.67</v>
      </c>
      <c r="F1419">
        <v>28.8</v>
      </c>
      <c r="G1419">
        <v>1</v>
      </c>
      <c r="H1419">
        <f t="shared" si="22"/>
        <v>58562.910000000018</v>
      </c>
      <c r="I1419" t="str">
        <f>IF(Sheet1[[#This Row],[Month_Revenue]] &lt; AVERAGE(Sheet1[Month_Revenue]), "Off-Peak", "Peak")</f>
        <v>Peak</v>
      </c>
      <c r="J1419">
        <f xml:space="preserve"> IF(Sheet1[[#This Row],[Ad Spend]] &gt; 0, (Sheet1[[#This Row],[Profit]] / Sheet1[[#This Row],[Ad Spend]]), 0)</f>
        <v>-0.10868055555555552</v>
      </c>
      <c r="K1419">
        <f>Sheet1[[#This Row],[Revenue]]-Sheet1[[#This Row],[Ad Spend]]</f>
        <v>-3.129999999999999</v>
      </c>
      <c r="L1419" s="2" t="s">
        <v>22</v>
      </c>
      <c r="M1419">
        <v>4</v>
      </c>
      <c r="N1419" s="2" t="s">
        <v>19</v>
      </c>
      <c r="O1419">
        <v>25.67</v>
      </c>
    </row>
    <row r="1420" spans="1:15" x14ac:dyDescent="0.3">
      <c r="A1420" s="1">
        <v>45408</v>
      </c>
      <c r="B1420" s="2" t="s">
        <v>20</v>
      </c>
      <c r="C1420" s="2" t="s">
        <v>17</v>
      </c>
      <c r="D1420" s="2" t="s">
        <v>18</v>
      </c>
      <c r="E1420">
        <v>164.38</v>
      </c>
      <c r="F1420">
        <v>39.79</v>
      </c>
      <c r="G1420">
        <v>1</v>
      </c>
      <c r="H1420">
        <f t="shared" si="22"/>
        <v>58562.910000000018</v>
      </c>
      <c r="I1420" t="str">
        <f>IF(Sheet1[[#This Row],[Month_Revenue]] &lt; AVERAGE(Sheet1[Month_Revenue]), "Off-Peak", "Peak")</f>
        <v>Peak</v>
      </c>
      <c r="J1420">
        <f xml:space="preserve"> IF(Sheet1[[#This Row],[Ad Spend]] &gt; 0, (Sheet1[[#This Row],[Profit]] / Sheet1[[#This Row],[Ad Spend]]), 0)</f>
        <v>3.1311887408896708</v>
      </c>
      <c r="K1420">
        <f>Sheet1[[#This Row],[Revenue]]-Sheet1[[#This Row],[Ad Spend]]</f>
        <v>124.59</v>
      </c>
      <c r="L1420" s="2" t="s">
        <v>22</v>
      </c>
      <c r="M1420">
        <v>4</v>
      </c>
      <c r="N1420" s="2" t="s">
        <v>19</v>
      </c>
      <c r="O1420">
        <v>164.38</v>
      </c>
    </row>
    <row r="1421" spans="1:15" x14ac:dyDescent="0.3">
      <c r="A1421" s="1">
        <v>45292</v>
      </c>
      <c r="B1421" s="2" t="s">
        <v>11</v>
      </c>
      <c r="C1421" s="2" t="s">
        <v>17</v>
      </c>
      <c r="D1421" s="2" t="s">
        <v>18</v>
      </c>
      <c r="E1421">
        <v>109.43</v>
      </c>
      <c r="F1421">
        <v>27.46</v>
      </c>
      <c r="G1421">
        <v>3</v>
      </c>
      <c r="H1421">
        <f t="shared" si="22"/>
        <v>61207.979999999989</v>
      </c>
      <c r="I1421" t="str">
        <f>IF(Sheet1[[#This Row],[Month_Revenue]] &lt; AVERAGE(Sheet1[Month_Revenue]), "Off-Peak", "Peak")</f>
        <v>Peak</v>
      </c>
      <c r="J1421">
        <f xml:space="preserve"> IF(Sheet1[[#This Row],[Ad Spend]] &gt; 0, (Sheet1[[#This Row],[Profit]] / Sheet1[[#This Row],[Ad Spend]]), 0)</f>
        <v>2.9850691915513474</v>
      </c>
      <c r="K1421">
        <f>Sheet1[[#This Row],[Revenue]]-Sheet1[[#This Row],[Ad Spend]]</f>
        <v>81.97</v>
      </c>
      <c r="L1421" s="2" t="s">
        <v>22</v>
      </c>
      <c r="M1421">
        <v>1</v>
      </c>
      <c r="N1421" s="2" t="s">
        <v>15</v>
      </c>
      <c r="O1421">
        <v>36.476666666666667</v>
      </c>
    </row>
    <row r="1422" spans="1:15" x14ac:dyDescent="0.3">
      <c r="A1422" s="1">
        <v>45409</v>
      </c>
      <c r="B1422" s="2" t="s">
        <v>24</v>
      </c>
      <c r="C1422" s="2" t="s">
        <v>21</v>
      </c>
      <c r="D1422" s="2" t="s">
        <v>13</v>
      </c>
      <c r="E1422">
        <v>183.33</v>
      </c>
      <c r="F1422">
        <v>16.14</v>
      </c>
      <c r="G1422">
        <v>0</v>
      </c>
      <c r="H1422">
        <f t="shared" si="22"/>
        <v>58562.910000000018</v>
      </c>
      <c r="I1422" t="str">
        <f>IF(Sheet1[[#This Row],[Month_Revenue]] &lt; AVERAGE(Sheet1[Month_Revenue]), "Off-Peak", "Peak")</f>
        <v>Peak</v>
      </c>
      <c r="J1422">
        <f xml:space="preserve"> IF(Sheet1[[#This Row],[Ad Spend]] &gt; 0, (Sheet1[[#This Row],[Profit]] / Sheet1[[#This Row],[Ad Spend]]), 0)</f>
        <v>10.358736059479554</v>
      </c>
      <c r="K1422">
        <f>Sheet1[[#This Row],[Revenue]]-Sheet1[[#This Row],[Ad Spend]]</f>
        <v>167.19</v>
      </c>
      <c r="L1422" s="2" t="s">
        <v>22</v>
      </c>
      <c r="M1422">
        <v>4</v>
      </c>
      <c r="N1422" s="2" t="s">
        <v>19</v>
      </c>
      <c r="O1422">
        <v>0</v>
      </c>
    </row>
    <row r="1423" spans="1:15" x14ac:dyDescent="0.3">
      <c r="A1423" s="1">
        <v>45305</v>
      </c>
      <c r="B1423" s="2" t="s">
        <v>11</v>
      </c>
      <c r="C1423" s="2" t="s">
        <v>12</v>
      </c>
      <c r="D1423" s="2" t="s">
        <v>18</v>
      </c>
      <c r="E1423">
        <v>77.430000000000007</v>
      </c>
      <c r="F1423">
        <v>3.81</v>
      </c>
      <c r="G1423">
        <v>3</v>
      </c>
      <c r="H1423">
        <f t="shared" si="22"/>
        <v>61207.979999999989</v>
      </c>
      <c r="I1423" t="str">
        <f>IF(Sheet1[[#This Row],[Month_Revenue]] &lt; AVERAGE(Sheet1[Month_Revenue]), "Off-Peak", "Peak")</f>
        <v>Peak</v>
      </c>
      <c r="J1423">
        <f xml:space="preserve"> IF(Sheet1[[#This Row],[Ad Spend]] &gt; 0, (Sheet1[[#This Row],[Profit]] / Sheet1[[#This Row],[Ad Spend]]), 0)</f>
        <v>19.322834645669293</v>
      </c>
      <c r="K1423">
        <f>Sheet1[[#This Row],[Revenue]]-Sheet1[[#This Row],[Ad Spend]]</f>
        <v>73.62</v>
      </c>
      <c r="L1423" s="2" t="s">
        <v>14</v>
      </c>
      <c r="M1423">
        <v>1</v>
      </c>
      <c r="N1423" s="2" t="s">
        <v>15</v>
      </c>
      <c r="O1423">
        <v>25.810000000000002</v>
      </c>
    </row>
    <row r="1424" spans="1:15" x14ac:dyDescent="0.3">
      <c r="A1424" s="1">
        <v>45404</v>
      </c>
      <c r="B1424" s="2" t="s">
        <v>16</v>
      </c>
      <c r="C1424" s="2" t="s">
        <v>21</v>
      </c>
      <c r="D1424" s="2" t="s">
        <v>18</v>
      </c>
      <c r="E1424">
        <v>138.76</v>
      </c>
      <c r="F1424">
        <v>40.479999999999997</v>
      </c>
      <c r="G1424">
        <v>1</v>
      </c>
      <c r="H1424">
        <f t="shared" si="22"/>
        <v>58562.910000000018</v>
      </c>
      <c r="I1424" t="str">
        <f>IF(Sheet1[[#This Row],[Month_Revenue]] &lt; AVERAGE(Sheet1[Month_Revenue]), "Off-Peak", "Peak")</f>
        <v>Peak</v>
      </c>
      <c r="J1424">
        <f xml:space="preserve"> IF(Sheet1[[#This Row],[Ad Spend]] &gt; 0, (Sheet1[[#This Row],[Profit]] / Sheet1[[#This Row],[Ad Spend]]), 0)</f>
        <v>2.4278656126482216</v>
      </c>
      <c r="K1424">
        <f>Sheet1[[#This Row],[Revenue]]-Sheet1[[#This Row],[Ad Spend]]</f>
        <v>98.28</v>
      </c>
      <c r="L1424" s="2" t="s">
        <v>14</v>
      </c>
      <c r="M1424">
        <v>4</v>
      </c>
      <c r="N1424" s="2" t="s">
        <v>19</v>
      </c>
      <c r="O1424">
        <v>138.76</v>
      </c>
    </row>
    <row r="1425" spans="1:15" x14ac:dyDescent="0.3">
      <c r="A1425" s="1">
        <v>45368</v>
      </c>
      <c r="B1425" s="2" t="s">
        <v>16</v>
      </c>
      <c r="C1425" s="2" t="s">
        <v>17</v>
      </c>
      <c r="D1425" s="2" t="s">
        <v>18</v>
      </c>
      <c r="E1425">
        <v>60.95</v>
      </c>
      <c r="F1425">
        <v>6.79</v>
      </c>
      <c r="G1425">
        <v>2</v>
      </c>
      <c r="H1425">
        <f t="shared" si="22"/>
        <v>54735.250000000029</v>
      </c>
      <c r="I1425" t="str">
        <f>IF(Sheet1[[#This Row],[Month_Revenue]] &lt; AVERAGE(Sheet1[Month_Revenue]), "Off-Peak", "Peak")</f>
        <v>Off-Peak</v>
      </c>
      <c r="J1425">
        <f xml:space="preserve"> IF(Sheet1[[#This Row],[Ad Spend]] &gt; 0, (Sheet1[[#This Row],[Profit]] / Sheet1[[#This Row],[Ad Spend]]), 0)</f>
        <v>7.9764359351988219</v>
      </c>
      <c r="K1425">
        <f>Sheet1[[#This Row],[Revenue]]-Sheet1[[#This Row],[Ad Spend]]</f>
        <v>54.160000000000004</v>
      </c>
      <c r="L1425" s="2" t="s">
        <v>22</v>
      </c>
      <c r="M1425">
        <v>3</v>
      </c>
      <c r="N1425" s="2" t="s">
        <v>19</v>
      </c>
      <c r="O1425">
        <v>30.475000000000001</v>
      </c>
    </row>
    <row r="1426" spans="1:15" x14ac:dyDescent="0.3">
      <c r="A1426" s="1">
        <v>45349</v>
      </c>
      <c r="B1426" s="2" t="s">
        <v>24</v>
      </c>
      <c r="C1426" s="2" t="s">
        <v>12</v>
      </c>
      <c r="D1426" s="2" t="s">
        <v>18</v>
      </c>
      <c r="E1426">
        <v>197.45</v>
      </c>
      <c r="F1426">
        <v>20.99</v>
      </c>
      <c r="G1426">
        <v>3</v>
      </c>
      <c r="H1426">
        <f t="shared" si="22"/>
        <v>48675.899999999936</v>
      </c>
      <c r="I1426" t="str">
        <f>IF(Sheet1[[#This Row],[Month_Revenue]] &lt; AVERAGE(Sheet1[Month_Revenue]), "Off-Peak", "Peak")</f>
        <v>Off-Peak</v>
      </c>
      <c r="J1426">
        <f xml:space="preserve"> IF(Sheet1[[#This Row],[Ad Spend]] &gt; 0, (Sheet1[[#This Row],[Profit]] / Sheet1[[#This Row],[Ad Spend]]), 0)</f>
        <v>8.406860409718913</v>
      </c>
      <c r="K1426">
        <f>Sheet1[[#This Row],[Revenue]]-Sheet1[[#This Row],[Ad Spend]]</f>
        <v>176.45999999999998</v>
      </c>
      <c r="L1426" s="2" t="s">
        <v>22</v>
      </c>
      <c r="M1426">
        <v>2</v>
      </c>
      <c r="N1426" s="2" t="s">
        <v>15</v>
      </c>
      <c r="O1426">
        <v>65.816666666666663</v>
      </c>
    </row>
    <row r="1427" spans="1:15" x14ac:dyDescent="0.3">
      <c r="A1427" s="1">
        <v>45370</v>
      </c>
      <c r="B1427" s="2" t="s">
        <v>11</v>
      </c>
      <c r="C1427" s="2" t="s">
        <v>12</v>
      </c>
      <c r="D1427" s="2" t="s">
        <v>18</v>
      </c>
      <c r="E1427">
        <v>89.1</v>
      </c>
      <c r="F1427">
        <v>22.25</v>
      </c>
      <c r="G1427">
        <v>0</v>
      </c>
      <c r="H1427">
        <f t="shared" si="22"/>
        <v>54735.250000000029</v>
      </c>
      <c r="I1427" t="str">
        <f>IF(Sheet1[[#This Row],[Month_Revenue]] &lt; AVERAGE(Sheet1[Month_Revenue]), "Off-Peak", "Peak")</f>
        <v>Off-Peak</v>
      </c>
      <c r="J1427">
        <f xml:space="preserve"> IF(Sheet1[[#This Row],[Ad Spend]] &gt; 0, (Sheet1[[#This Row],[Profit]] / Sheet1[[#This Row],[Ad Spend]]), 0)</f>
        <v>3.0044943820224717</v>
      </c>
      <c r="K1427">
        <f>Sheet1[[#This Row],[Revenue]]-Sheet1[[#This Row],[Ad Spend]]</f>
        <v>66.849999999999994</v>
      </c>
      <c r="L1427" s="2" t="s">
        <v>22</v>
      </c>
      <c r="M1427">
        <v>3</v>
      </c>
      <c r="N1427" s="2" t="s">
        <v>19</v>
      </c>
      <c r="O1427">
        <v>0</v>
      </c>
    </row>
    <row r="1428" spans="1:15" x14ac:dyDescent="0.3">
      <c r="A1428" s="1">
        <v>45305</v>
      </c>
      <c r="B1428" s="2" t="s">
        <v>11</v>
      </c>
      <c r="C1428" s="2" t="s">
        <v>21</v>
      </c>
      <c r="D1428" s="2" t="s">
        <v>13</v>
      </c>
      <c r="E1428">
        <v>182.4</v>
      </c>
      <c r="F1428">
        <v>3.57</v>
      </c>
      <c r="G1428">
        <v>2</v>
      </c>
      <c r="H1428">
        <f t="shared" si="22"/>
        <v>61207.979999999989</v>
      </c>
      <c r="I1428" t="str">
        <f>IF(Sheet1[[#This Row],[Month_Revenue]] &lt; AVERAGE(Sheet1[Month_Revenue]), "Off-Peak", "Peak")</f>
        <v>Peak</v>
      </c>
      <c r="J1428">
        <f xml:space="preserve"> IF(Sheet1[[#This Row],[Ad Spend]] &gt; 0, (Sheet1[[#This Row],[Profit]] / Sheet1[[#This Row],[Ad Spend]]), 0)</f>
        <v>50.092436974789919</v>
      </c>
      <c r="K1428">
        <f>Sheet1[[#This Row],[Revenue]]-Sheet1[[#This Row],[Ad Spend]]</f>
        <v>178.83</v>
      </c>
      <c r="L1428" s="2" t="s">
        <v>14</v>
      </c>
      <c r="M1428">
        <v>1</v>
      </c>
      <c r="N1428" s="2" t="s">
        <v>15</v>
      </c>
      <c r="O1428">
        <v>91.2</v>
      </c>
    </row>
    <row r="1429" spans="1:15" x14ac:dyDescent="0.3">
      <c r="A1429" s="1">
        <v>45351</v>
      </c>
      <c r="B1429" s="2" t="s">
        <v>11</v>
      </c>
      <c r="C1429" s="2" t="s">
        <v>21</v>
      </c>
      <c r="D1429" s="2" t="s">
        <v>18</v>
      </c>
      <c r="E1429">
        <v>189.22</v>
      </c>
      <c r="F1429">
        <v>32.03</v>
      </c>
      <c r="G1429">
        <v>2</v>
      </c>
      <c r="H1429">
        <f t="shared" si="22"/>
        <v>48675.899999999936</v>
      </c>
      <c r="I1429" t="str">
        <f>IF(Sheet1[[#This Row],[Month_Revenue]] &lt; AVERAGE(Sheet1[Month_Revenue]), "Off-Peak", "Peak")</f>
        <v>Off-Peak</v>
      </c>
      <c r="J1429">
        <f xml:space="preserve"> IF(Sheet1[[#This Row],[Ad Spend]] &gt; 0, (Sheet1[[#This Row],[Profit]] / Sheet1[[#This Row],[Ad Spend]]), 0)</f>
        <v>4.9075866375273183</v>
      </c>
      <c r="K1429">
        <f>Sheet1[[#This Row],[Revenue]]-Sheet1[[#This Row],[Ad Spend]]</f>
        <v>157.19</v>
      </c>
      <c r="L1429" s="2" t="s">
        <v>14</v>
      </c>
      <c r="M1429">
        <v>2</v>
      </c>
      <c r="N1429" s="2" t="s">
        <v>15</v>
      </c>
      <c r="O1429">
        <v>94.61</v>
      </c>
    </row>
    <row r="1430" spans="1:15" x14ac:dyDescent="0.3">
      <c r="A1430" s="1">
        <v>45343</v>
      </c>
      <c r="B1430" s="2" t="s">
        <v>24</v>
      </c>
      <c r="C1430" s="2" t="s">
        <v>17</v>
      </c>
      <c r="D1430" s="2" t="s">
        <v>13</v>
      </c>
      <c r="E1430">
        <v>196.18</v>
      </c>
      <c r="F1430">
        <v>42.05</v>
      </c>
      <c r="G1430">
        <v>1</v>
      </c>
      <c r="H1430">
        <f t="shared" si="22"/>
        <v>48675.899999999936</v>
      </c>
      <c r="I1430" t="str">
        <f>IF(Sheet1[[#This Row],[Month_Revenue]] &lt; AVERAGE(Sheet1[Month_Revenue]), "Off-Peak", "Peak")</f>
        <v>Off-Peak</v>
      </c>
      <c r="J1430">
        <f xml:space="preserve"> IF(Sheet1[[#This Row],[Ad Spend]] &gt; 0, (Sheet1[[#This Row],[Profit]] / Sheet1[[#This Row],[Ad Spend]]), 0)</f>
        <v>3.6653983353151012</v>
      </c>
      <c r="K1430">
        <f>Sheet1[[#This Row],[Revenue]]-Sheet1[[#This Row],[Ad Spend]]</f>
        <v>154.13</v>
      </c>
      <c r="L1430" s="2" t="s">
        <v>14</v>
      </c>
      <c r="M1430">
        <v>2</v>
      </c>
      <c r="N1430" s="2" t="s">
        <v>15</v>
      </c>
      <c r="O1430">
        <v>196.18</v>
      </c>
    </row>
    <row r="1431" spans="1:15" x14ac:dyDescent="0.3">
      <c r="A1431" s="1">
        <v>45306</v>
      </c>
      <c r="B1431" s="2" t="s">
        <v>24</v>
      </c>
      <c r="C1431" s="2" t="s">
        <v>21</v>
      </c>
      <c r="D1431" s="2" t="s">
        <v>13</v>
      </c>
      <c r="E1431">
        <v>104.91</v>
      </c>
      <c r="F1431">
        <v>10.16</v>
      </c>
      <c r="G1431">
        <v>2</v>
      </c>
      <c r="H1431">
        <f t="shared" si="22"/>
        <v>61207.979999999989</v>
      </c>
      <c r="I1431" t="str">
        <f>IF(Sheet1[[#This Row],[Month_Revenue]] &lt; AVERAGE(Sheet1[Month_Revenue]), "Off-Peak", "Peak")</f>
        <v>Peak</v>
      </c>
      <c r="J1431">
        <f xml:space="preserve"> IF(Sheet1[[#This Row],[Ad Spend]] &gt; 0, (Sheet1[[#This Row],[Profit]] / Sheet1[[#This Row],[Ad Spend]]), 0)</f>
        <v>9.3257874015748037</v>
      </c>
      <c r="K1431">
        <f>Sheet1[[#This Row],[Revenue]]-Sheet1[[#This Row],[Ad Spend]]</f>
        <v>94.75</v>
      </c>
      <c r="L1431" s="2" t="s">
        <v>14</v>
      </c>
      <c r="M1431">
        <v>1</v>
      </c>
      <c r="N1431" s="2" t="s">
        <v>15</v>
      </c>
      <c r="O1431">
        <v>52.454999999999998</v>
      </c>
    </row>
    <row r="1432" spans="1:15" x14ac:dyDescent="0.3">
      <c r="A1432" s="1">
        <v>45405</v>
      </c>
      <c r="B1432" s="2" t="s">
        <v>24</v>
      </c>
      <c r="C1432" s="2" t="s">
        <v>21</v>
      </c>
      <c r="D1432" s="2" t="s">
        <v>18</v>
      </c>
      <c r="E1432">
        <v>64.72</v>
      </c>
      <c r="F1432">
        <v>17.79</v>
      </c>
      <c r="G1432">
        <v>2</v>
      </c>
      <c r="H1432">
        <f t="shared" si="22"/>
        <v>58562.910000000018</v>
      </c>
      <c r="I1432" t="str">
        <f>IF(Sheet1[[#This Row],[Month_Revenue]] &lt; AVERAGE(Sheet1[Month_Revenue]), "Off-Peak", "Peak")</f>
        <v>Peak</v>
      </c>
      <c r="J1432">
        <f xml:space="preserve"> IF(Sheet1[[#This Row],[Ad Spend]] &gt; 0, (Sheet1[[#This Row],[Profit]] / Sheet1[[#This Row],[Ad Spend]]), 0)</f>
        <v>2.6379988757729063</v>
      </c>
      <c r="K1432">
        <f>Sheet1[[#This Row],[Revenue]]-Sheet1[[#This Row],[Ad Spend]]</f>
        <v>46.93</v>
      </c>
      <c r="L1432" s="2" t="s">
        <v>22</v>
      </c>
      <c r="M1432">
        <v>4</v>
      </c>
      <c r="N1432" s="2" t="s">
        <v>19</v>
      </c>
      <c r="O1432">
        <v>32.36</v>
      </c>
    </row>
    <row r="1433" spans="1:15" x14ac:dyDescent="0.3">
      <c r="A1433" s="1">
        <v>45406</v>
      </c>
      <c r="B1433" s="2" t="s">
        <v>16</v>
      </c>
      <c r="C1433" s="2" t="s">
        <v>12</v>
      </c>
      <c r="D1433" s="2" t="s">
        <v>18</v>
      </c>
      <c r="E1433">
        <v>194.02</v>
      </c>
      <c r="F1433">
        <v>27.96</v>
      </c>
      <c r="G1433">
        <v>1</v>
      </c>
      <c r="H1433">
        <f t="shared" si="22"/>
        <v>58562.910000000018</v>
      </c>
      <c r="I1433" t="str">
        <f>IF(Sheet1[[#This Row],[Month_Revenue]] &lt; AVERAGE(Sheet1[Month_Revenue]), "Off-Peak", "Peak")</f>
        <v>Peak</v>
      </c>
      <c r="J1433">
        <f xml:space="preserve"> IF(Sheet1[[#This Row],[Ad Spend]] &gt; 0, (Sheet1[[#This Row],[Profit]] / Sheet1[[#This Row],[Ad Spend]]), 0)</f>
        <v>5.9391988555078683</v>
      </c>
      <c r="K1433">
        <f>Sheet1[[#This Row],[Revenue]]-Sheet1[[#This Row],[Ad Spend]]</f>
        <v>166.06</v>
      </c>
      <c r="L1433" s="2" t="s">
        <v>14</v>
      </c>
      <c r="M1433">
        <v>4</v>
      </c>
      <c r="N1433" s="2" t="s">
        <v>19</v>
      </c>
      <c r="O1433">
        <v>194.02</v>
      </c>
    </row>
    <row r="1434" spans="1:15" x14ac:dyDescent="0.3">
      <c r="A1434" s="1">
        <v>45400</v>
      </c>
      <c r="B1434" s="2" t="s">
        <v>16</v>
      </c>
      <c r="C1434" s="2" t="s">
        <v>21</v>
      </c>
      <c r="D1434" s="2" t="s">
        <v>18</v>
      </c>
      <c r="E1434">
        <v>183.5</v>
      </c>
      <c r="F1434">
        <v>15.85</v>
      </c>
      <c r="G1434">
        <v>0</v>
      </c>
      <c r="H1434">
        <f t="shared" si="22"/>
        <v>58562.910000000018</v>
      </c>
      <c r="I1434" t="str">
        <f>IF(Sheet1[[#This Row],[Month_Revenue]] &lt; AVERAGE(Sheet1[Month_Revenue]), "Off-Peak", "Peak")</f>
        <v>Peak</v>
      </c>
      <c r="J1434">
        <f xml:space="preserve"> IF(Sheet1[[#This Row],[Ad Spend]] &gt; 0, (Sheet1[[#This Row],[Profit]] / Sheet1[[#This Row],[Ad Spend]]), 0)</f>
        <v>10.577287066246058</v>
      </c>
      <c r="K1434">
        <f>Sheet1[[#This Row],[Revenue]]-Sheet1[[#This Row],[Ad Spend]]</f>
        <v>167.65</v>
      </c>
      <c r="L1434" s="2" t="s">
        <v>14</v>
      </c>
      <c r="M1434">
        <v>4</v>
      </c>
      <c r="N1434" s="2" t="s">
        <v>19</v>
      </c>
      <c r="O1434">
        <v>0</v>
      </c>
    </row>
    <row r="1435" spans="1:15" x14ac:dyDescent="0.3">
      <c r="A1435" s="1">
        <v>45309</v>
      </c>
      <c r="B1435" s="2" t="s">
        <v>16</v>
      </c>
      <c r="C1435" s="2" t="s">
        <v>12</v>
      </c>
      <c r="D1435" s="2" t="s">
        <v>18</v>
      </c>
      <c r="E1435">
        <v>147.30000000000001</v>
      </c>
      <c r="F1435">
        <v>47.62</v>
      </c>
      <c r="G1435">
        <v>3</v>
      </c>
      <c r="H1435">
        <f t="shared" si="22"/>
        <v>61207.979999999989</v>
      </c>
      <c r="I1435" t="str">
        <f>IF(Sheet1[[#This Row],[Month_Revenue]] &lt; AVERAGE(Sheet1[Month_Revenue]), "Off-Peak", "Peak")</f>
        <v>Peak</v>
      </c>
      <c r="J1435">
        <f xml:space="preserve"> IF(Sheet1[[#This Row],[Ad Spend]] &gt; 0, (Sheet1[[#This Row],[Profit]] / Sheet1[[#This Row],[Ad Spend]]), 0)</f>
        <v>2.0932381352372955</v>
      </c>
      <c r="K1435">
        <f>Sheet1[[#This Row],[Revenue]]-Sheet1[[#This Row],[Ad Spend]]</f>
        <v>99.68</v>
      </c>
      <c r="L1435" s="2" t="s">
        <v>14</v>
      </c>
      <c r="M1435">
        <v>1</v>
      </c>
      <c r="N1435" s="2" t="s">
        <v>15</v>
      </c>
      <c r="O1435">
        <v>49.1</v>
      </c>
    </row>
    <row r="1436" spans="1:15" x14ac:dyDescent="0.3">
      <c r="A1436" s="1">
        <v>45350</v>
      </c>
      <c r="B1436" s="2" t="s">
        <v>11</v>
      </c>
      <c r="C1436" s="2" t="s">
        <v>17</v>
      </c>
      <c r="D1436" s="2" t="s">
        <v>18</v>
      </c>
      <c r="E1436">
        <v>79.09</v>
      </c>
      <c r="F1436">
        <v>17.059999999999999</v>
      </c>
      <c r="G1436">
        <v>3</v>
      </c>
      <c r="H1436">
        <f t="shared" si="22"/>
        <v>48675.899999999936</v>
      </c>
      <c r="I1436" t="str">
        <f>IF(Sheet1[[#This Row],[Month_Revenue]] &lt; AVERAGE(Sheet1[Month_Revenue]), "Off-Peak", "Peak")</f>
        <v>Off-Peak</v>
      </c>
      <c r="J1436">
        <f xml:space="preserve"> IF(Sheet1[[#This Row],[Ad Spend]] &gt; 0, (Sheet1[[#This Row],[Profit]] / Sheet1[[#This Row],[Ad Spend]]), 0)</f>
        <v>3.6359906213364601</v>
      </c>
      <c r="K1436">
        <f>Sheet1[[#This Row],[Revenue]]-Sheet1[[#This Row],[Ad Spend]]</f>
        <v>62.03</v>
      </c>
      <c r="L1436" s="2" t="s">
        <v>22</v>
      </c>
      <c r="M1436">
        <v>2</v>
      </c>
      <c r="N1436" s="2" t="s">
        <v>15</v>
      </c>
      <c r="O1436">
        <v>26.363333333333333</v>
      </c>
    </row>
    <row r="1437" spans="1:15" x14ac:dyDescent="0.3">
      <c r="A1437" s="1">
        <v>45410</v>
      </c>
      <c r="B1437" s="2" t="s">
        <v>24</v>
      </c>
      <c r="C1437" s="2" t="s">
        <v>17</v>
      </c>
      <c r="D1437" s="2" t="s">
        <v>18</v>
      </c>
      <c r="E1437">
        <v>117.8</v>
      </c>
      <c r="F1437">
        <v>27.58</v>
      </c>
      <c r="G1437">
        <v>1</v>
      </c>
      <c r="H1437">
        <f t="shared" si="22"/>
        <v>58562.910000000018</v>
      </c>
      <c r="I1437" t="str">
        <f>IF(Sheet1[[#This Row],[Month_Revenue]] &lt; AVERAGE(Sheet1[Month_Revenue]), "Off-Peak", "Peak")</f>
        <v>Peak</v>
      </c>
      <c r="J1437">
        <f xml:space="preserve"> IF(Sheet1[[#This Row],[Ad Spend]] &gt; 0, (Sheet1[[#This Row],[Profit]] / Sheet1[[#This Row],[Ad Spend]]), 0)</f>
        <v>3.2712110224800584</v>
      </c>
      <c r="K1437">
        <f>Sheet1[[#This Row],[Revenue]]-Sheet1[[#This Row],[Ad Spend]]</f>
        <v>90.22</v>
      </c>
      <c r="L1437" s="2" t="s">
        <v>22</v>
      </c>
      <c r="M1437">
        <v>4</v>
      </c>
      <c r="N1437" s="2" t="s">
        <v>19</v>
      </c>
      <c r="O1437">
        <v>117.8</v>
      </c>
    </row>
    <row r="1438" spans="1:15" x14ac:dyDescent="0.3">
      <c r="A1438" s="1">
        <v>45407</v>
      </c>
      <c r="B1438" s="2" t="s">
        <v>20</v>
      </c>
      <c r="C1438" s="2" t="s">
        <v>12</v>
      </c>
      <c r="D1438" s="2" t="s">
        <v>18</v>
      </c>
      <c r="E1438">
        <v>56.3</v>
      </c>
      <c r="F1438">
        <v>27.83</v>
      </c>
      <c r="G1438">
        <v>2</v>
      </c>
      <c r="H1438">
        <f t="shared" si="22"/>
        <v>58562.910000000018</v>
      </c>
      <c r="I1438" t="str">
        <f>IF(Sheet1[[#This Row],[Month_Revenue]] &lt; AVERAGE(Sheet1[Month_Revenue]), "Off-Peak", "Peak")</f>
        <v>Peak</v>
      </c>
      <c r="J1438">
        <f xml:space="preserve"> IF(Sheet1[[#This Row],[Ad Spend]] &gt; 0, (Sheet1[[#This Row],[Profit]] / Sheet1[[#This Row],[Ad Spend]]), 0)</f>
        <v>1.0229967660797701</v>
      </c>
      <c r="K1438">
        <f>Sheet1[[#This Row],[Revenue]]-Sheet1[[#This Row],[Ad Spend]]</f>
        <v>28.47</v>
      </c>
      <c r="L1438" s="2" t="s">
        <v>14</v>
      </c>
      <c r="M1438">
        <v>4</v>
      </c>
      <c r="N1438" s="2" t="s">
        <v>19</v>
      </c>
      <c r="O1438">
        <v>28.15</v>
      </c>
    </row>
    <row r="1439" spans="1:15" x14ac:dyDescent="0.3">
      <c r="A1439" s="1">
        <v>45327</v>
      </c>
      <c r="B1439" s="2" t="s">
        <v>11</v>
      </c>
      <c r="C1439" s="2" t="s">
        <v>21</v>
      </c>
      <c r="D1439" s="2" t="s">
        <v>13</v>
      </c>
      <c r="E1439">
        <v>99.75</v>
      </c>
      <c r="F1439">
        <v>27.52</v>
      </c>
      <c r="G1439">
        <v>3</v>
      </c>
      <c r="H1439">
        <f t="shared" si="22"/>
        <v>48675.899999999936</v>
      </c>
      <c r="I1439" t="str">
        <f>IF(Sheet1[[#This Row],[Month_Revenue]] &lt; AVERAGE(Sheet1[Month_Revenue]), "Off-Peak", "Peak")</f>
        <v>Off-Peak</v>
      </c>
      <c r="J1439">
        <f xml:space="preserve"> IF(Sheet1[[#This Row],[Ad Spend]] &gt; 0, (Sheet1[[#This Row],[Profit]] / Sheet1[[#This Row],[Ad Spend]]), 0)</f>
        <v>2.6246366279069768</v>
      </c>
      <c r="K1439">
        <f>Sheet1[[#This Row],[Revenue]]-Sheet1[[#This Row],[Ad Spend]]</f>
        <v>72.23</v>
      </c>
      <c r="L1439" s="2" t="s">
        <v>22</v>
      </c>
      <c r="M1439">
        <v>2</v>
      </c>
      <c r="N1439" s="2" t="s">
        <v>15</v>
      </c>
      <c r="O1439">
        <v>33.25</v>
      </c>
    </row>
    <row r="1440" spans="1:15" x14ac:dyDescent="0.3">
      <c r="A1440" s="1">
        <v>45392</v>
      </c>
      <c r="B1440" s="2" t="s">
        <v>23</v>
      </c>
      <c r="C1440" s="2" t="s">
        <v>12</v>
      </c>
      <c r="D1440" s="2" t="s">
        <v>18</v>
      </c>
      <c r="E1440">
        <v>126.74</v>
      </c>
      <c r="F1440">
        <v>28.69</v>
      </c>
      <c r="G1440">
        <v>3</v>
      </c>
      <c r="H1440">
        <f t="shared" si="22"/>
        <v>58562.910000000018</v>
      </c>
      <c r="I1440" t="str">
        <f>IF(Sheet1[[#This Row],[Month_Revenue]] &lt; AVERAGE(Sheet1[Month_Revenue]), "Off-Peak", "Peak")</f>
        <v>Peak</v>
      </c>
      <c r="J1440">
        <f xml:space="preserve"> IF(Sheet1[[#This Row],[Ad Spend]] &gt; 0, (Sheet1[[#This Row],[Profit]] / Sheet1[[#This Row],[Ad Spend]]), 0)</f>
        <v>3.4175670965493201</v>
      </c>
      <c r="K1440">
        <f>Sheet1[[#This Row],[Revenue]]-Sheet1[[#This Row],[Ad Spend]]</f>
        <v>98.05</v>
      </c>
      <c r="L1440" s="2" t="s">
        <v>22</v>
      </c>
      <c r="M1440">
        <v>4</v>
      </c>
      <c r="N1440" s="2" t="s">
        <v>19</v>
      </c>
      <c r="O1440">
        <v>42.246666666666663</v>
      </c>
    </row>
    <row r="1441" spans="1:15" x14ac:dyDescent="0.3">
      <c r="A1441" s="1">
        <v>45292</v>
      </c>
      <c r="B1441" s="2" t="s">
        <v>11</v>
      </c>
      <c r="C1441" s="2" t="s">
        <v>21</v>
      </c>
      <c r="D1441" s="2" t="s">
        <v>13</v>
      </c>
      <c r="E1441">
        <v>38.92</v>
      </c>
      <c r="F1441">
        <v>47.3</v>
      </c>
      <c r="G1441">
        <v>2</v>
      </c>
      <c r="H1441">
        <f t="shared" si="22"/>
        <v>61207.979999999989</v>
      </c>
      <c r="I1441" t="str">
        <f>IF(Sheet1[[#This Row],[Month_Revenue]] &lt; AVERAGE(Sheet1[Month_Revenue]), "Off-Peak", "Peak")</f>
        <v>Peak</v>
      </c>
      <c r="J1441">
        <f xml:space="preserve"> IF(Sheet1[[#This Row],[Ad Spend]] &gt; 0, (Sheet1[[#This Row],[Profit]] / Sheet1[[#This Row],[Ad Spend]]), 0)</f>
        <v>-0.17716701902748405</v>
      </c>
      <c r="K1441">
        <f>Sheet1[[#This Row],[Revenue]]-Sheet1[[#This Row],[Ad Spend]]</f>
        <v>-8.3799999999999955</v>
      </c>
      <c r="L1441" s="2" t="s">
        <v>22</v>
      </c>
      <c r="M1441">
        <v>1</v>
      </c>
      <c r="N1441" s="2" t="s">
        <v>15</v>
      </c>
      <c r="O1441">
        <v>19.46</v>
      </c>
    </row>
    <row r="1442" spans="1:15" x14ac:dyDescent="0.3">
      <c r="A1442" s="1">
        <v>45299</v>
      </c>
      <c r="B1442" s="2" t="s">
        <v>20</v>
      </c>
      <c r="C1442" s="2" t="s">
        <v>21</v>
      </c>
      <c r="D1442" s="2" t="s">
        <v>18</v>
      </c>
      <c r="E1442">
        <v>137.19999999999999</v>
      </c>
      <c r="F1442">
        <v>45.72</v>
      </c>
      <c r="G1442">
        <v>3</v>
      </c>
      <c r="H1442">
        <f t="shared" si="22"/>
        <v>61207.979999999989</v>
      </c>
      <c r="I1442" t="str">
        <f>IF(Sheet1[[#This Row],[Month_Revenue]] &lt; AVERAGE(Sheet1[Month_Revenue]), "Off-Peak", "Peak")</f>
        <v>Peak</v>
      </c>
      <c r="J1442">
        <f xml:space="preserve"> IF(Sheet1[[#This Row],[Ad Spend]] &gt; 0, (Sheet1[[#This Row],[Profit]] / Sheet1[[#This Row],[Ad Spend]]), 0)</f>
        <v>2.00087489063867</v>
      </c>
      <c r="K1442">
        <f>Sheet1[[#This Row],[Revenue]]-Sheet1[[#This Row],[Ad Spend]]</f>
        <v>91.47999999999999</v>
      </c>
      <c r="L1442" s="2" t="s">
        <v>22</v>
      </c>
      <c r="M1442">
        <v>1</v>
      </c>
      <c r="N1442" s="2" t="s">
        <v>15</v>
      </c>
      <c r="O1442">
        <v>45.733333333333327</v>
      </c>
    </row>
    <row r="1443" spans="1:15" x14ac:dyDescent="0.3">
      <c r="A1443" s="1">
        <v>45392</v>
      </c>
      <c r="B1443" s="2" t="s">
        <v>24</v>
      </c>
      <c r="C1443" s="2" t="s">
        <v>17</v>
      </c>
      <c r="D1443" s="2" t="s">
        <v>18</v>
      </c>
      <c r="E1443">
        <v>132.72</v>
      </c>
      <c r="F1443">
        <v>47.28</v>
      </c>
      <c r="G1443">
        <v>3</v>
      </c>
      <c r="H1443">
        <f t="shared" si="22"/>
        <v>58562.910000000018</v>
      </c>
      <c r="I1443" t="str">
        <f>IF(Sheet1[[#This Row],[Month_Revenue]] &lt; AVERAGE(Sheet1[Month_Revenue]), "Off-Peak", "Peak")</f>
        <v>Peak</v>
      </c>
      <c r="J1443">
        <f xml:space="preserve"> IF(Sheet1[[#This Row],[Ad Spend]] &gt; 0, (Sheet1[[#This Row],[Profit]] / Sheet1[[#This Row],[Ad Spend]]), 0)</f>
        <v>1.8071065989847714</v>
      </c>
      <c r="K1443">
        <f>Sheet1[[#This Row],[Revenue]]-Sheet1[[#This Row],[Ad Spend]]</f>
        <v>85.44</v>
      </c>
      <c r="L1443" s="2" t="s">
        <v>22</v>
      </c>
      <c r="M1443">
        <v>4</v>
      </c>
      <c r="N1443" s="2" t="s">
        <v>19</v>
      </c>
      <c r="O1443">
        <v>44.24</v>
      </c>
    </row>
    <row r="1444" spans="1:15" x14ac:dyDescent="0.3">
      <c r="A1444" s="1">
        <v>45388</v>
      </c>
      <c r="B1444" s="2" t="s">
        <v>24</v>
      </c>
      <c r="C1444" s="2" t="s">
        <v>12</v>
      </c>
      <c r="D1444" s="2" t="s">
        <v>13</v>
      </c>
      <c r="E1444">
        <v>28.43</v>
      </c>
      <c r="F1444">
        <v>47.65</v>
      </c>
      <c r="G1444">
        <v>1</v>
      </c>
      <c r="H1444">
        <f t="shared" si="22"/>
        <v>58562.910000000018</v>
      </c>
      <c r="I1444" t="str">
        <f>IF(Sheet1[[#This Row],[Month_Revenue]] &lt; AVERAGE(Sheet1[Month_Revenue]), "Off-Peak", "Peak")</f>
        <v>Peak</v>
      </c>
      <c r="J1444">
        <f xml:space="preserve"> IF(Sheet1[[#This Row],[Ad Spend]] &gt; 0, (Sheet1[[#This Row],[Profit]] / Sheet1[[#This Row],[Ad Spend]]), 0)</f>
        <v>-0.40335781741867782</v>
      </c>
      <c r="K1444">
        <f>Sheet1[[#This Row],[Revenue]]-Sheet1[[#This Row],[Ad Spend]]</f>
        <v>-19.22</v>
      </c>
      <c r="L1444" s="2" t="s">
        <v>14</v>
      </c>
      <c r="M1444">
        <v>4</v>
      </c>
      <c r="N1444" s="2" t="s">
        <v>19</v>
      </c>
      <c r="O1444">
        <v>28.43</v>
      </c>
    </row>
    <row r="1445" spans="1:15" x14ac:dyDescent="0.3">
      <c r="A1445" s="1">
        <v>45294</v>
      </c>
      <c r="B1445" s="2" t="s">
        <v>20</v>
      </c>
      <c r="C1445" s="2" t="s">
        <v>17</v>
      </c>
      <c r="D1445" s="2" t="s">
        <v>13</v>
      </c>
      <c r="E1445">
        <v>90.52</v>
      </c>
      <c r="F1445">
        <v>10.7</v>
      </c>
      <c r="G1445">
        <v>2</v>
      </c>
      <c r="H1445">
        <f t="shared" si="22"/>
        <v>61207.979999999989</v>
      </c>
      <c r="I1445" t="str">
        <f>IF(Sheet1[[#This Row],[Month_Revenue]] &lt; AVERAGE(Sheet1[Month_Revenue]), "Off-Peak", "Peak")</f>
        <v>Peak</v>
      </c>
      <c r="J1445">
        <f xml:space="preserve"> IF(Sheet1[[#This Row],[Ad Spend]] &gt; 0, (Sheet1[[#This Row],[Profit]] / Sheet1[[#This Row],[Ad Spend]]), 0)</f>
        <v>7.4598130841121497</v>
      </c>
      <c r="K1445">
        <f>Sheet1[[#This Row],[Revenue]]-Sheet1[[#This Row],[Ad Spend]]</f>
        <v>79.819999999999993</v>
      </c>
      <c r="L1445" s="2" t="s">
        <v>14</v>
      </c>
      <c r="M1445">
        <v>1</v>
      </c>
      <c r="N1445" s="2" t="s">
        <v>15</v>
      </c>
      <c r="O1445">
        <v>45.26</v>
      </c>
    </row>
    <row r="1446" spans="1:15" x14ac:dyDescent="0.3">
      <c r="A1446" s="1">
        <v>45405</v>
      </c>
      <c r="B1446" s="2" t="s">
        <v>11</v>
      </c>
      <c r="C1446" s="2" t="s">
        <v>21</v>
      </c>
      <c r="D1446" s="2" t="s">
        <v>18</v>
      </c>
      <c r="E1446">
        <v>20.059999999999999</v>
      </c>
      <c r="F1446">
        <v>12.36</v>
      </c>
      <c r="G1446">
        <v>0</v>
      </c>
      <c r="H1446">
        <f t="shared" si="22"/>
        <v>58562.910000000018</v>
      </c>
      <c r="I1446" t="str">
        <f>IF(Sheet1[[#This Row],[Month_Revenue]] &lt; AVERAGE(Sheet1[Month_Revenue]), "Off-Peak", "Peak")</f>
        <v>Peak</v>
      </c>
      <c r="J1446">
        <f xml:space="preserve"> IF(Sheet1[[#This Row],[Ad Spend]] &gt; 0, (Sheet1[[#This Row],[Profit]] / Sheet1[[#This Row],[Ad Spend]]), 0)</f>
        <v>0.62297734627831713</v>
      </c>
      <c r="K1446">
        <f>Sheet1[[#This Row],[Revenue]]-Sheet1[[#This Row],[Ad Spend]]</f>
        <v>7.6999999999999993</v>
      </c>
      <c r="L1446" s="2" t="s">
        <v>14</v>
      </c>
      <c r="M1446">
        <v>4</v>
      </c>
      <c r="N1446" s="2" t="s">
        <v>19</v>
      </c>
      <c r="O1446">
        <v>0</v>
      </c>
    </row>
    <row r="1447" spans="1:15" x14ac:dyDescent="0.3">
      <c r="A1447" s="1">
        <v>45296</v>
      </c>
      <c r="B1447" s="2" t="s">
        <v>20</v>
      </c>
      <c r="C1447" s="2" t="s">
        <v>21</v>
      </c>
      <c r="D1447" s="2" t="s">
        <v>18</v>
      </c>
      <c r="E1447">
        <v>114.43</v>
      </c>
      <c r="F1447">
        <v>32.229999999999997</v>
      </c>
      <c r="G1447">
        <v>1</v>
      </c>
      <c r="H1447">
        <f t="shared" si="22"/>
        <v>61207.979999999989</v>
      </c>
      <c r="I1447" t="str">
        <f>IF(Sheet1[[#This Row],[Month_Revenue]] &lt; AVERAGE(Sheet1[Month_Revenue]), "Off-Peak", "Peak")</f>
        <v>Peak</v>
      </c>
      <c r="J1447">
        <f xml:space="preserve"> IF(Sheet1[[#This Row],[Ad Spend]] &gt; 0, (Sheet1[[#This Row],[Profit]] / Sheet1[[#This Row],[Ad Spend]]), 0)</f>
        <v>2.5504188644120394</v>
      </c>
      <c r="K1447">
        <f>Sheet1[[#This Row],[Revenue]]-Sheet1[[#This Row],[Ad Spend]]</f>
        <v>82.200000000000017</v>
      </c>
      <c r="L1447" s="2" t="s">
        <v>14</v>
      </c>
      <c r="M1447">
        <v>1</v>
      </c>
      <c r="N1447" s="2" t="s">
        <v>15</v>
      </c>
      <c r="O1447">
        <v>114.43</v>
      </c>
    </row>
    <row r="1448" spans="1:15" x14ac:dyDescent="0.3">
      <c r="A1448" s="1">
        <v>45302</v>
      </c>
      <c r="B1448" s="2" t="s">
        <v>20</v>
      </c>
      <c r="C1448" s="2" t="s">
        <v>21</v>
      </c>
      <c r="D1448" s="2" t="s">
        <v>13</v>
      </c>
      <c r="E1448">
        <v>93.07</v>
      </c>
      <c r="F1448">
        <v>3.81</v>
      </c>
      <c r="G1448">
        <v>3</v>
      </c>
      <c r="H1448">
        <f t="shared" si="22"/>
        <v>61207.979999999989</v>
      </c>
      <c r="I1448" t="str">
        <f>IF(Sheet1[[#This Row],[Month_Revenue]] &lt; AVERAGE(Sheet1[Month_Revenue]), "Off-Peak", "Peak")</f>
        <v>Peak</v>
      </c>
      <c r="J1448">
        <f xml:space="preserve"> IF(Sheet1[[#This Row],[Ad Spend]] &gt; 0, (Sheet1[[#This Row],[Profit]] / Sheet1[[#This Row],[Ad Spend]]), 0)</f>
        <v>23.42782152230971</v>
      </c>
      <c r="K1448">
        <f>Sheet1[[#This Row],[Revenue]]-Sheet1[[#This Row],[Ad Spend]]</f>
        <v>89.259999999999991</v>
      </c>
      <c r="L1448" s="2" t="s">
        <v>14</v>
      </c>
      <c r="M1448">
        <v>1</v>
      </c>
      <c r="N1448" s="2" t="s">
        <v>15</v>
      </c>
      <c r="O1448">
        <v>31.02333333333333</v>
      </c>
    </row>
    <row r="1449" spans="1:15" x14ac:dyDescent="0.3">
      <c r="A1449" s="1">
        <v>45313</v>
      </c>
      <c r="B1449" s="2" t="s">
        <v>11</v>
      </c>
      <c r="C1449" s="2" t="s">
        <v>21</v>
      </c>
      <c r="D1449" s="2" t="s">
        <v>13</v>
      </c>
      <c r="E1449">
        <v>28.33</v>
      </c>
      <c r="F1449">
        <v>28.87</v>
      </c>
      <c r="G1449">
        <v>2</v>
      </c>
      <c r="H1449">
        <f t="shared" si="22"/>
        <v>61207.979999999989</v>
      </c>
      <c r="I1449" t="str">
        <f>IF(Sheet1[[#This Row],[Month_Revenue]] &lt; AVERAGE(Sheet1[Month_Revenue]), "Off-Peak", "Peak")</f>
        <v>Peak</v>
      </c>
      <c r="J1449">
        <f xml:space="preserve"> IF(Sheet1[[#This Row],[Ad Spend]] &gt; 0, (Sheet1[[#This Row],[Profit]] / Sheet1[[#This Row],[Ad Spend]]), 0)</f>
        <v>-1.870453758226542E-2</v>
      </c>
      <c r="K1449">
        <f>Sheet1[[#This Row],[Revenue]]-Sheet1[[#This Row],[Ad Spend]]</f>
        <v>-0.5400000000000027</v>
      </c>
      <c r="L1449" s="2" t="s">
        <v>22</v>
      </c>
      <c r="M1449">
        <v>1</v>
      </c>
      <c r="N1449" s="2" t="s">
        <v>15</v>
      </c>
      <c r="O1449">
        <v>14.164999999999999</v>
      </c>
    </row>
    <row r="1450" spans="1:15" x14ac:dyDescent="0.3">
      <c r="A1450" s="1">
        <v>45364</v>
      </c>
      <c r="B1450" s="2" t="s">
        <v>23</v>
      </c>
      <c r="C1450" s="2" t="s">
        <v>12</v>
      </c>
      <c r="D1450" s="2" t="s">
        <v>13</v>
      </c>
      <c r="E1450">
        <v>20.92</v>
      </c>
      <c r="F1450">
        <v>45.94</v>
      </c>
      <c r="G1450">
        <v>3</v>
      </c>
      <c r="H1450">
        <f t="shared" si="22"/>
        <v>54735.250000000029</v>
      </c>
      <c r="I1450" t="str">
        <f>IF(Sheet1[[#This Row],[Month_Revenue]] &lt; AVERAGE(Sheet1[Month_Revenue]), "Off-Peak", "Peak")</f>
        <v>Off-Peak</v>
      </c>
      <c r="J1450">
        <f xml:space="preserve"> IF(Sheet1[[#This Row],[Ad Spend]] &gt; 0, (Sheet1[[#This Row],[Profit]] / Sheet1[[#This Row],[Ad Spend]]), 0)</f>
        <v>-0.54462342185459289</v>
      </c>
      <c r="K1450">
        <f>Sheet1[[#This Row],[Revenue]]-Sheet1[[#This Row],[Ad Spend]]</f>
        <v>-25.019999999999996</v>
      </c>
      <c r="L1450" s="2" t="s">
        <v>14</v>
      </c>
      <c r="M1450">
        <v>3</v>
      </c>
      <c r="N1450" s="2" t="s">
        <v>19</v>
      </c>
      <c r="O1450">
        <v>6.9733333333333336</v>
      </c>
    </row>
    <row r="1451" spans="1:15" x14ac:dyDescent="0.3">
      <c r="A1451" s="1">
        <v>45391</v>
      </c>
      <c r="B1451" s="2" t="s">
        <v>11</v>
      </c>
      <c r="C1451" s="2" t="s">
        <v>21</v>
      </c>
      <c r="D1451" s="2" t="s">
        <v>18</v>
      </c>
      <c r="E1451">
        <v>171.79</v>
      </c>
      <c r="F1451">
        <v>11.1</v>
      </c>
      <c r="G1451">
        <v>2</v>
      </c>
      <c r="H1451">
        <f t="shared" si="22"/>
        <v>58562.910000000018</v>
      </c>
      <c r="I1451" t="str">
        <f>IF(Sheet1[[#This Row],[Month_Revenue]] &lt; AVERAGE(Sheet1[Month_Revenue]), "Off-Peak", "Peak")</f>
        <v>Peak</v>
      </c>
      <c r="J1451">
        <f xml:space="preserve"> IF(Sheet1[[#This Row],[Ad Spend]] &gt; 0, (Sheet1[[#This Row],[Profit]] / Sheet1[[#This Row],[Ad Spend]]), 0)</f>
        <v>14.476576576576576</v>
      </c>
      <c r="K1451">
        <f>Sheet1[[#This Row],[Revenue]]-Sheet1[[#This Row],[Ad Spend]]</f>
        <v>160.69</v>
      </c>
      <c r="L1451" s="2" t="s">
        <v>22</v>
      </c>
      <c r="M1451">
        <v>4</v>
      </c>
      <c r="N1451" s="2" t="s">
        <v>19</v>
      </c>
      <c r="O1451">
        <v>85.894999999999996</v>
      </c>
    </row>
    <row r="1452" spans="1:15" x14ac:dyDescent="0.3">
      <c r="A1452" s="1">
        <v>45326</v>
      </c>
      <c r="B1452" s="2" t="s">
        <v>24</v>
      </c>
      <c r="C1452" s="2" t="s">
        <v>21</v>
      </c>
      <c r="D1452" s="2" t="s">
        <v>18</v>
      </c>
      <c r="E1452">
        <v>184.59</v>
      </c>
      <c r="F1452">
        <v>22.98</v>
      </c>
      <c r="G1452">
        <v>3</v>
      </c>
      <c r="H1452">
        <f t="shared" si="22"/>
        <v>48675.899999999936</v>
      </c>
      <c r="I1452" t="str">
        <f>IF(Sheet1[[#This Row],[Month_Revenue]] &lt; AVERAGE(Sheet1[Month_Revenue]), "Off-Peak", "Peak")</f>
        <v>Off-Peak</v>
      </c>
      <c r="J1452">
        <f xml:space="preserve"> IF(Sheet1[[#This Row],[Ad Spend]] &gt; 0, (Sheet1[[#This Row],[Profit]] / Sheet1[[#This Row],[Ad Spend]]), 0)</f>
        <v>7.0326370757180161</v>
      </c>
      <c r="K1452">
        <f>Sheet1[[#This Row],[Revenue]]-Sheet1[[#This Row],[Ad Spend]]</f>
        <v>161.61000000000001</v>
      </c>
      <c r="L1452" s="2" t="s">
        <v>22</v>
      </c>
      <c r="M1452">
        <v>2</v>
      </c>
      <c r="N1452" s="2" t="s">
        <v>15</v>
      </c>
      <c r="O1452">
        <v>61.53</v>
      </c>
    </row>
    <row r="1453" spans="1:15" x14ac:dyDescent="0.3">
      <c r="A1453" s="1">
        <v>45350</v>
      </c>
      <c r="B1453" s="2" t="s">
        <v>24</v>
      </c>
      <c r="C1453" s="2" t="s">
        <v>21</v>
      </c>
      <c r="D1453" s="2" t="s">
        <v>18</v>
      </c>
      <c r="E1453">
        <v>185.95</v>
      </c>
      <c r="F1453">
        <v>22.23</v>
      </c>
      <c r="G1453">
        <v>2</v>
      </c>
      <c r="H1453">
        <f t="shared" si="22"/>
        <v>48675.899999999936</v>
      </c>
      <c r="I1453" t="str">
        <f>IF(Sheet1[[#This Row],[Month_Revenue]] &lt; AVERAGE(Sheet1[Month_Revenue]), "Off-Peak", "Peak")</f>
        <v>Off-Peak</v>
      </c>
      <c r="J1453">
        <f xml:space="preserve"> IF(Sheet1[[#This Row],[Ad Spend]] &gt; 0, (Sheet1[[#This Row],[Profit]] / Sheet1[[#This Row],[Ad Spend]]), 0)</f>
        <v>7.364822312190733</v>
      </c>
      <c r="K1453">
        <f>Sheet1[[#This Row],[Revenue]]-Sheet1[[#This Row],[Ad Spend]]</f>
        <v>163.72</v>
      </c>
      <c r="L1453" s="2" t="s">
        <v>22</v>
      </c>
      <c r="M1453">
        <v>2</v>
      </c>
      <c r="N1453" s="2" t="s">
        <v>15</v>
      </c>
      <c r="O1453">
        <v>92.974999999999994</v>
      </c>
    </row>
    <row r="1454" spans="1:15" x14ac:dyDescent="0.3">
      <c r="A1454" s="1">
        <v>45359</v>
      </c>
      <c r="B1454" s="2" t="s">
        <v>16</v>
      </c>
      <c r="C1454" s="2" t="s">
        <v>12</v>
      </c>
      <c r="D1454" s="2" t="s">
        <v>18</v>
      </c>
      <c r="E1454">
        <v>111.17</v>
      </c>
      <c r="F1454">
        <v>16.47</v>
      </c>
      <c r="G1454">
        <v>0</v>
      </c>
      <c r="H1454">
        <f t="shared" si="22"/>
        <v>54735.250000000029</v>
      </c>
      <c r="I1454" t="str">
        <f>IF(Sheet1[[#This Row],[Month_Revenue]] &lt; AVERAGE(Sheet1[Month_Revenue]), "Off-Peak", "Peak")</f>
        <v>Off-Peak</v>
      </c>
      <c r="J1454">
        <f xml:space="preserve"> IF(Sheet1[[#This Row],[Ad Spend]] &gt; 0, (Sheet1[[#This Row],[Profit]] / Sheet1[[#This Row],[Ad Spend]]), 0)</f>
        <v>5.749848208864603</v>
      </c>
      <c r="K1454">
        <f>Sheet1[[#This Row],[Revenue]]-Sheet1[[#This Row],[Ad Spend]]</f>
        <v>94.7</v>
      </c>
      <c r="L1454" s="2" t="s">
        <v>22</v>
      </c>
      <c r="M1454">
        <v>3</v>
      </c>
      <c r="N1454" s="2" t="s">
        <v>19</v>
      </c>
      <c r="O1454">
        <v>0</v>
      </c>
    </row>
    <row r="1455" spans="1:15" x14ac:dyDescent="0.3">
      <c r="A1455" s="1">
        <v>45401</v>
      </c>
      <c r="B1455" s="2" t="s">
        <v>20</v>
      </c>
      <c r="C1455" s="2" t="s">
        <v>12</v>
      </c>
      <c r="D1455" s="2" t="s">
        <v>18</v>
      </c>
      <c r="E1455">
        <v>25.17</v>
      </c>
      <c r="F1455">
        <v>48.07</v>
      </c>
      <c r="G1455">
        <v>1</v>
      </c>
      <c r="H1455">
        <f t="shared" si="22"/>
        <v>58562.910000000018</v>
      </c>
      <c r="I1455" t="str">
        <f>IF(Sheet1[[#This Row],[Month_Revenue]] &lt; AVERAGE(Sheet1[Month_Revenue]), "Off-Peak", "Peak")</f>
        <v>Peak</v>
      </c>
      <c r="J1455">
        <f xml:space="preserve"> IF(Sheet1[[#This Row],[Ad Spend]] &gt; 0, (Sheet1[[#This Row],[Profit]] / Sheet1[[#This Row],[Ad Spend]]), 0)</f>
        <v>-0.476388599958394</v>
      </c>
      <c r="K1455">
        <f>Sheet1[[#This Row],[Revenue]]-Sheet1[[#This Row],[Ad Spend]]</f>
        <v>-22.9</v>
      </c>
      <c r="L1455" s="2" t="s">
        <v>22</v>
      </c>
      <c r="M1455">
        <v>4</v>
      </c>
      <c r="N1455" s="2" t="s">
        <v>19</v>
      </c>
      <c r="O1455">
        <v>25.17</v>
      </c>
    </row>
    <row r="1456" spans="1:15" x14ac:dyDescent="0.3">
      <c r="A1456" s="1">
        <v>45336</v>
      </c>
      <c r="B1456" s="2" t="s">
        <v>23</v>
      </c>
      <c r="C1456" s="2" t="s">
        <v>12</v>
      </c>
      <c r="D1456" s="2" t="s">
        <v>13</v>
      </c>
      <c r="E1456">
        <v>194.86</v>
      </c>
      <c r="F1456">
        <v>20.72</v>
      </c>
      <c r="G1456">
        <v>0</v>
      </c>
      <c r="H1456">
        <f t="shared" si="22"/>
        <v>48675.899999999936</v>
      </c>
      <c r="I1456" t="str">
        <f>IF(Sheet1[[#This Row],[Month_Revenue]] &lt; AVERAGE(Sheet1[Month_Revenue]), "Off-Peak", "Peak")</f>
        <v>Off-Peak</v>
      </c>
      <c r="J1456">
        <f xml:space="preserve"> IF(Sheet1[[#This Row],[Ad Spend]] &gt; 0, (Sheet1[[#This Row],[Profit]] / Sheet1[[#This Row],[Ad Spend]]), 0)</f>
        <v>8.4044401544401559</v>
      </c>
      <c r="K1456">
        <f>Sheet1[[#This Row],[Revenue]]-Sheet1[[#This Row],[Ad Spend]]</f>
        <v>174.14000000000001</v>
      </c>
      <c r="L1456" s="2" t="s">
        <v>14</v>
      </c>
      <c r="M1456">
        <v>2</v>
      </c>
      <c r="N1456" s="2" t="s">
        <v>15</v>
      </c>
      <c r="O1456">
        <v>0</v>
      </c>
    </row>
    <row r="1457" spans="1:15" x14ac:dyDescent="0.3">
      <c r="A1457" s="1">
        <v>45342</v>
      </c>
      <c r="B1457" s="2" t="s">
        <v>11</v>
      </c>
      <c r="C1457" s="2" t="s">
        <v>12</v>
      </c>
      <c r="D1457" s="2" t="s">
        <v>13</v>
      </c>
      <c r="E1457">
        <v>198.45</v>
      </c>
      <c r="F1457">
        <v>47.79</v>
      </c>
      <c r="G1457">
        <v>2</v>
      </c>
      <c r="H1457">
        <f t="shared" si="22"/>
        <v>48675.899999999936</v>
      </c>
      <c r="I1457" t="str">
        <f>IF(Sheet1[[#This Row],[Month_Revenue]] &lt; AVERAGE(Sheet1[Month_Revenue]), "Off-Peak", "Peak")</f>
        <v>Off-Peak</v>
      </c>
      <c r="J1457">
        <f xml:space="preserve"> IF(Sheet1[[#This Row],[Ad Spend]] &gt; 0, (Sheet1[[#This Row],[Profit]] / Sheet1[[#This Row],[Ad Spend]]), 0)</f>
        <v>3.152542372881356</v>
      </c>
      <c r="K1457">
        <f>Sheet1[[#This Row],[Revenue]]-Sheet1[[#This Row],[Ad Spend]]</f>
        <v>150.66</v>
      </c>
      <c r="L1457" s="2" t="s">
        <v>22</v>
      </c>
      <c r="M1457">
        <v>2</v>
      </c>
      <c r="N1457" s="2" t="s">
        <v>15</v>
      </c>
      <c r="O1457">
        <v>99.224999999999994</v>
      </c>
    </row>
    <row r="1458" spans="1:15" x14ac:dyDescent="0.3">
      <c r="A1458" s="1">
        <v>45355</v>
      </c>
      <c r="B1458" s="2" t="s">
        <v>20</v>
      </c>
      <c r="C1458" s="2" t="s">
        <v>12</v>
      </c>
      <c r="D1458" s="2" t="s">
        <v>18</v>
      </c>
      <c r="E1458">
        <v>70.36</v>
      </c>
      <c r="F1458">
        <v>32.840000000000003</v>
      </c>
      <c r="G1458">
        <v>0</v>
      </c>
      <c r="H1458">
        <f t="shared" si="22"/>
        <v>54735.250000000029</v>
      </c>
      <c r="I1458" t="str">
        <f>IF(Sheet1[[#This Row],[Month_Revenue]] &lt; AVERAGE(Sheet1[Month_Revenue]), "Off-Peak", "Peak")</f>
        <v>Off-Peak</v>
      </c>
      <c r="J1458">
        <f xml:space="preserve"> IF(Sheet1[[#This Row],[Ad Spend]] &gt; 0, (Sheet1[[#This Row],[Profit]] / Sheet1[[#This Row],[Ad Spend]]), 0)</f>
        <v>1.1425091352009742</v>
      </c>
      <c r="K1458">
        <f>Sheet1[[#This Row],[Revenue]]-Sheet1[[#This Row],[Ad Spend]]</f>
        <v>37.519999999999996</v>
      </c>
      <c r="L1458" s="2" t="s">
        <v>14</v>
      </c>
      <c r="M1458">
        <v>3</v>
      </c>
      <c r="N1458" s="2" t="s">
        <v>19</v>
      </c>
      <c r="O1458">
        <v>0</v>
      </c>
    </row>
    <row r="1459" spans="1:15" x14ac:dyDescent="0.3">
      <c r="A1459" s="1">
        <v>45315</v>
      </c>
      <c r="B1459" s="2" t="s">
        <v>11</v>
      </c>
      <c r="C1459" s="2" t="s">
        <v>17</v>
      </c>
      <c r="D1459" s="2" t="s">
        <v>18</v>
      </c>
      <c r="E1459">
        <v>89.67</v>
      </c>
      <c r="F1459">
        <v>48.56</v>
      </c>
      <c r="G1459">
        <v>2</v>
      </c>
      <c r="H1459">
        <f t="shared" si="22"/>
        <v>61207.979999999989</v>
      </c>
      <c r="I1459" t="str">
        <f>IF(Sheet1[[#This Row],[Month_Revenue]] &lt; AVERAGE(Sheet1[Month_Revenue]), "Off-Peak", "Peak")</f>
        <v>Peak</v>
      </c>
      <c r="J1459">
        <f xml:space="preserve"> IF(Sheet1[[#This Row],[Ad Spend]] &gt; 0, (Sheet1[[#This Row],[Profit]] / Sheet1[[#This Row],[Ad Spend]]), 0)</f>
        <v>0.8465815485996705</v>
      </c>
      <c r="K1459">
        <f>Sheet1[[#This Row],[Revenue]]-Sheet1[[#This Row],[Ad Spend]]</f>
        <v>41.11</v>
      </c>
      <c r="L1459" s="2" t="s">
        <v>14</v>
      </c>
      <c r="M1459">
        <v>1</v>
      </c>
      <c r="N1459" s="2" t="s">
        <v>15</v>
      </c>
      <c r="O1459">
        <v>44.835000000000001</v>
      </c>
    </row>
    <row r="1460" spans="1:15" x14ac:dyDescent="0.3">
      <c r="A1460" s="1">
        <v>45298</v>
      </c>
      <c r="B1460" s="2" t="s">
        <v>24</v>
      </c>
      <c r="C1460" s="2" t="s">
        <v>21</v>
      </c>
      <c r="D1460" s="2" t="s">
        <v>13</v>
      </c>
      <c r="E1460">
        <v>81.2</v>
      </c>
      <c r="F1460">
        <v>32.14</v>
      </c>
      <c r="G1460">
        <v>3</v>
      </c>
      <c r="H1460">
        <f t="shared" si="22"/>
        <v>61207.979999999989</v>
      </c>
      <c r="I1460" t="str">
        <f>IF(Sheet1[[#This Row],[Month_Revenue]] &lt; AVERAGE(Sheet1[Month_Revenue]), "Off-Peak", "Peak")</f>
        <v>Peak</v>
      </c>
      <c r="J1460">
        <f xml:space="preserve"> IF(Sheet1[[#This Row],[Ad Spend]] &gt; 0, (Sheet1[[#This Row],[Profit]] / Sheet1[[#This Row],[Ad Spend]]), 0)</f>
        <v>1.5264467952706908</v>
      </c>
      <c r="K1460">
        <f>Sheet1[[#This Row],[Revenue]]-Sheet1[[#This Row],[Ad Spend]]</f>
        <v>49.06</v>
      </c>
      <c r="L1460" s="2" t="s">
        <v>22</v>
      </c>
      <c r="M1460">
        <v>1</v>
      </c>
      <c r="N1460" s="2" t="s">
        <v>15</v>
      </c>
      <c r="O1460">
        <v>27.066666666666666</v>
      </c>
    </row>
    <row r="1461" spans="1:15" x14ac:dyDescent="0.3">
      <c r="A1461" s="1">
        <v>45314</v>
      </c>
      <c r="B1461" s="2" t="s">
        <v>16</v>
      </c>
      <c r="C1461" s="2" t="s">
        <v>21</v>
      </c>
      <c r="D1461" s="2" t="s">
        <v>18</v>
      </c>
      <c r="E1461">
        <v>134.46</v>
      </c>
      <c r="F1461">
        <v>9.94</v>
      </c>
      <c r="G1461">
        <v>0</v>
      </c>
      <c r="H1461">
        <f t="shared" si="22"/>
        <v>61207.979999999989</v>
      </c>
      <c r="I1461" t="str">
        <f>IF(Sheet1[[#This Row],[Month_Revenue]] &lt; AVERAGE(Sheet1[Month_Revenue]), "Off-Peak", "Peak")</f>
        <v>Peak</v>
      </c>
      <c r="J1461">
        <f xml:space="preserve"> IF(Sheet1[[#This Row],[Ad Spend]] &gt; 0, (Sheet1[[#This Row],[Profit]] / Sheet1[[#This Row],[Ad Spend]]), 0)</f>
        <v>12.527162977867205</v>
      </c>
      <c r="K1461">
        <f>Sheet1[[#This Row],[Revenue]]-Sheet1[[#This Row],[Ad Spend]]</f>
        <v>124.52000000000001</v>
      </c>
      <c r="L1461" s="2" t="s">
        <v>14</v>
      </c>
      <c r="M1461">
        <v>1</v>
      </c>
      <c r="N1461" s="2" t="s">
        <v>15</v>
      </c>
      <c r="O1461">
        <v>0</v>
      </c>
    </row>
    <row r="1462" spans="1:15" x14ac:dyDescent="0.3">
      <c r="A1462" s="1">
        <v>45335</v>
      </c>
      <c r="B1462" s="2" t="s">
        <v>24</v>
      </c>
      <c r="C1462" s="2" t="s">
        <v>12</v>
      </c>
      <c r="D1462" s="2" t="s">
        <v>18</v>
      </c>
      <c r="E1462">
        <v>153.55000000000001</v>
      </c>
      <c r="F1462">
        <v>10.06</v>
      </c>
      <c r="G1462">
        <v>0</v>
      </c>
      <c r="H1462">
        <f t="shared" si="22"/>
        <v>48675.899999999936</v>
      </c>
      <c r="I1462" t="str">
        <f>IF(Sheet1[[#This Row],[Month_Revenue]] &lt; AVERAGE(Sheet1[Month_Revenue]), "Off-Peak", "Peak")</f>
        <v>Off-Peak</v>
      </c>
      <c r="J1462">
        <f xml:space="preserve"> IF(Sheet1[[#This Row],[Ad Spend]] &gt; 0, (Sheet1[[#This Row],[Profit]] / Sheet1[[#This Row],[Ad Spend]]), 0)</f>
        <v>14.263419483101393</v>
      </c>
      <c r="K1462">
        <f>Sheet1[[#This Row],[Revenue]]-Sheet1[[#This Row],[Ad Spend]]</f>
        <v>143.49</v>
      </c>
      <c r="L1462" s="2" t="s">
        <v>22</v>
      </c>
      <c r="M1462">
        <v>2</v>
      </c>
      <c r="N1462" s="2" t="s">
        <v>15</v>
      </c>
      <c r="O1462">
        <v>0</v>
      </c>
    </row>
    <row r="1463" spans="1:15" x14ac:dyDescent="0.3">
      <c r="A1463" s="1">
        <v>45310</v>
      </c>
      <c r="B1463" s="2" t="s">
        <v>23</v>
      </c>
      <c r="C1463" s="2" t="s">
        <v>12</v>
      </c>
      <c r="D1463" s="2" t="s">
        <v>18</v>
      </c>
      <c r="E1463">
        <v>198.37</v>
      </c>
      <c r="F1463">
        <v>28.72</v>
      </c>
      <c r="G1463">
        <v>2</v>
      </c>
      <c r="H1463">
        <f t="shared" si="22"/>
        <v>61207.979999999989</v>
      </c>
      <c r="I1463" t="str">
        <f>IF(Sheet1[[#This Row],[Month_Revenue]] &lt; AVERAGE(Sheet1[Month_Revenue]), "Off-Peak", "Peak")</f>
        <v>Peak</v>
      </c>
      <c r="J1463">
        <f xml:space="preserve"> IF(Sheet1[[#This Row],[Ad Spend]] &gt; 0, (Sheet1[[#This Row],[Profit]] / Sheet1[[#This Row],[Ad Spend]]), 0)</f>
        <v>5.9070334261838449</v>
      </c>
      <c r="K1463">
        <f>Sheet1[[#This Row],[Revenue]]-Sheet1[[#This Row],[Ad Spend]]</f>
        <v>169.65</v>
      </c>
      <c r="L1463" s="2" t="s">
        <v>14</v>
      </c>
      <c r="M1463">
        <v>1</v>
      </c>
      <c r="N1463" s="2" t="s">
        <v>15</v>
      </c>
      <c r="O1463">
        <v>99.185000000000002</v>
      </c>
    </row>
    <row r="1464" spans="1:15" x14ac:dyDescent="0.3">
      <c r="A1464" s="1">
        <v>45332</v>
      </c>
      <c r="B1464" s="2" t="s">
        <v>20</v>
      </c>
      <c r="C1464" s="2" t="s">
        <v>12</v>
      </c>
      <c r="D1464" s="2" t="s">
        <v>13</v>
      </c>
      <c r="E1464">
        <v>117.69</v>
      </c>
      <c r="F1464">
        <v>47.92</v>
      </c>
      <c r="G1464">
        <v>3</v>
      </c>
      <c r="H1464">
        <f t="shared" si="22"/>
        <v>48675.899999999936</v>
      </c>
      <c r="I1464" t="str">
        <f>IF(Sheet1[[#This Row],[Month_Revenue]] &lt; AVERAGE(Sheet1[Month_Revenue]), "Off-Peak", "Peak")</f>
        <v>Off-Peak</v>
      </c>
      <c r="J1464">
        <f xml:space="preserve"> IF(Sheet1[[#This Row],[Ad Spend]] &gt; 0, (Sheet1[[#This Row],[Profit]] / Sheet1[[#This Row],[Ad Spend]]), 0)</f>
        <v>1.4559682804674456</v>
      </c>
      <c r="K1464">
        <f>Sheet1[[#This Row],[Revenue]]-Sheet1[[#This Row],[Ad Spend]]</f>
        <v>69.77</v>
      </c>
      <c r="L1464" s="2" t="s">
        <v>14</v>
      </c>
      <c r="M1464">
        <v>2</v>
      </c>
      <c r="N1464" s="2" t="s">
        <v>15</v>
      </c>
      <c r="O1464">
        <v>39.229999999999997</v>
      </c>
    </row>
    <row r="1465" spans="1:15" x14ac:dyDescent="0.3">
      <c r="A1465" s="1">
        <v>45293</v>
      </c>
      <c r="B1465" s="2" t="s">
        <v>16</v>
      </c>
      <c r="C1465" s="2" t="s">
        <v>21</v>
      </c>
      <c r="D1465" s="2" t="s">
        <v>18</v>
      </c>
      <c r="E1465">
        <v>182.48</v>
      </c>
      <c r="F1465">
        <v>46.13</v>
      </c>
      <c r="G1465">
        <v>2</v>
      </c>
      <c r="H1465">
        <f t="shared" si="22"/>
        <v>61207.979999999989</v>
      </c>
      <c r="I1465" t="str">
        <f>IF(Sheet1[[#This Row],[Month_Revenue]] &lt; AVERAGE(Sheet1[Month_Revenue]), "Off-Peak", "Peak")</f>
        <v>Peak</v>
      </c>
      <c r="J1465">
        <f xml:space="preserve"> IF(Sheet1[[#This Row],[Ad Spend]] &gt; 0, (Sheet1[[#This Row],[Profit]] / Sheet1[[#This Row],[Ad Spend]]), 0)</f>
        <v>2.9557771515282893</v>
      </c>
      <c r="K1465">
        <f>Sheet1[[#This Row],[Revenue]]-Sheet1[[#This Row],[Ad Spend]]</f>
        <v>136.35</v>
      </c>
      <c r="L1465" s="2" t="s">
        <v>14</v>
      </c>
      <c r="M1465">
        <v>1</v>
      </c>
      <c r="N1465" s="2" t="s">
        <v>15</v>
      </c>
      <c r="O1465">
        <v>91.24</v>
      </c>
    </row>
    <row r="1466" spans="1:15" x14ac:dyDescent="0.3">
      <c r="A1466" s="1">
        <v>45331</v>
      </c>
      <c r="B1466" s="2" t="s">
        <v>23</v>
      </c>
      <c r="C1466" s="2" t="s">
        <v>21</v>
      </c>
      <c r="D1466" s="2" t="s">
        <v>13</v>
      </c>
      <c r="E1466">
        <v>67.63</v>
      </c>
      <c r="F1466">
        <v>33.81</v>
      </c>
      <c r="G1466">
        <v>0</v>
      </c>
      <c r="H1466">
        <f t="shared" si="22"/>
        <v>48675.899999999936</v>
      </c>
      <c r="I1466" t="str">
        <f>IF(Sheet1[[#This Row],[Month_Revenue]] &lt; AVERAGE(Sheet1[Month_Revenue]), "Off-Peak", "Peak")</f>
        <v>Off-Peak</v>
      </c>
      <c r="J1466">
        <f xml:space="preserve"> IF(Sheet1[[#This Row],[Ad Spend]] &gt; 0, (Sheet1[[#This Row],[Profit]] / Sheet1[[#This Row],[Ad Spend]]), 0)</f>
        <v>1.0002957704821056</v>
      </c>
      <c r="K1466">
        <f>Sheet1[[#This Row],[Revenue]]-Sheet1[[#This Row],[Ad Spend]]</f>
        <v>33.819999999999993</v>
      </c>
      <c r="L1466" s="2" t="s">
        <v>22</v>
      </c>
      <c r="M1466">
        <v>2</v>
      </c>
      <c r="N1466" s="2" t="s">
        <v>15</v>
      </c>
      <c r="O1466">
        <v>0</v>
      </c>
    </row>
    <row r="1467" spans="1:15" x14ac:dyDescent="0.3">
      <c r="A1467" s="1">
        <v>45325</v>
      </c>
      <c r="B1467" s="2" t="s">
        <v>23</v>
      </c>
      <c r="C1467" s="2" t="s">
        <v>21</v>
      </c>
      <c r="D1467" s="2" t="s">
        <v>13</v>
      </c>
      <c r="E1467">
        <v>68.67</v>
      </c>
      <c r="F1467">
        <v>48.92</v>
      </c>
      <c r="G1467">
        <v>0</v>
      </c>
      <c r="H1467">
        <f t="shared" si="22"/>
        <v>48675.899999999936</v>
      </c>
      <c r="I1467" t="str">
        <f>IF(Sheet1[[#This Row],[Month_Revenue]] &lt; AVERAGE(Sheet1[Month_Revenue]), "Off-Peak", "Peak")</f>
        <v>Off-Peak</v>
      </c>
      <c r="J1467">
        <f xml:space="preserve"> IF(Sheet1[[#This Row],[Ad Spend]] &gt; 0, (Sheet1[[#This Row],[Profit]] / Sheet1[[#This Row],[Ad Spend]]), 0)</f>
        <v>0.40372035977105475</v>
      </c>
      <c r="K1467">
        <f>Sheet1[[#This Row],[Revenue]]-Sheet1[[#This Row],[Ad Spend]]</f>
        <v>19.75</v>
      </c>
      <c r="L1467" s="2" t="s">
        <v>14</v>
      </c>
      <c r="M1467">
        <v>2</v>
      </c>
      <c r="N1467" s="2" t="s">
        <v>15</v>
      </c>
      <c r="O1467">
        <v>0</v>
      </c>
    </row>
    <row r="1468" spans="1:15" x14ac:dyDescent="0.3">
      <c r="A1468" s="1">
        <v>45337</v>
      </c>
      <c r="B1468" s="2" t="s">
        <v>20</v>
      </c>
      <c r="C1468" s="2" t="s">
        <v>21</v>
      </c>
      <c r="D1468" s="2" t="s">
        <v>13</v>
      </c>
      <c r="E1468">
        <v>114.08</v>
      </c>
      <c r="F1468">
        <v>27.41</v>
      </c>
      <c r="G1468">
        <v>3</v>
      </c>
      <c r="H1468">
        <f t="shared" si="22"/>
        <v>48675.899999999936</v>
      </c>
      <c r="I1468" t="str">
        <f>IF(Sheet1[[#This Row],[Month_Revenue]] &lt; AVERAGE(Sheet1[Month_Revenue]), "Off-Peak", "Peak")</f>
        <v>Off-Peak</v>
      </c>
      <c r="J1468">
        <f xml:space="preserve"> IF(Sheet1[[#This Row],[Ad Spend]] &gt; 0, (Sheet1[[#This Row],[Profit]] / Sheet1[[#This Row],[Ad Spend]]), 0)</f>
        <v>3.1619846771251368</v>
      </c>
      <c r="K1468">
        <f>Sheet1[[#This Row],[Revenue]]-Sheet1[[#This Row],[Ad Spend]]</f>
        <v>86.67</v>
      </c>
      <c r="L1468" s="2" t="s">
        <v>14</v>
      </c>
      <c r="M1468">
        <v>2</v>
      </c>
      <c r="N1468" s="2" t="s">
        <v>15</v>
      </c>
      <c r="O1468">
        <v>38.026666666666664</v>
      </c>
    </row>
    <row r="1469" spans="1:15" x14ac:dyDescent="0.3">
      <c r="A1469" s="1">
        <v>45386</v>
      </c>
      <c r="B1469" s="2" t="s">
        <v>23</v>
      </c>
      <c r="C1469" s="2" t="s">
        <v>17</v>
      </c>
      <c r="D1469" s="2" t="s">
        <v>18</v>
      </c>
      <c r="E1469">
        <v>160.02000000000001</v>
      </c>
      <c r="F1469">
        <v>8.7100000000000009</v>
      </c>
      <c r="G1469">
        <v>0</v>
      </c>
      <c r="H1469">
        <f t="shared" si="22"/>
        <v>58562.910000000018</v>
      </c>
      <c r="I1469" t="str">
        <f>IF(Sheet1[[#This Row],[Month_Revenue]] &lt; AVERAGE(Sheet1[Month_Revenue]), "Off-Peak", "Peak")</f>
        <v>Peak</v>
      </c>
      <c r="J1469">
        <f xml:space="preserve"> IF(Sheet1[[#This Row],[Ad Spend]] &gt; 0, (Sheet1[[#This Row],[Profit]] / Sheet1[[#This Row],[Ad Spend]]), 0)</f>
        <v>17.371986222732492</v>
      </c>
      <c r="K1469">
        <f>Sheet1[[#This Row],[Revenue]]-Sheet1[[#This Row],[Ad Spend]]</f>
        <v>151.31</v>
      </c>
      <c r="L1469" s="2" t="s">
        <v>22</v>
      </c>
      <c r="M1469">
        <v>4</v>
      </c>
      <c r="N1469" s="2" t="s">
        <v>19</v>
      </c>
      <c r="O1469">
        <v>0</v>
      </c>
    </row>
    <row r="1470" spans="1:15" x14ac:dyDescent="0.3">
      <c r="A1470" s="1">
        <v>45388</v>
      </c>
      <c r="B1470" s="2" t="s">
        <v>11</v>
      </c>
      <c r="C1470" s="2" t="s">
        <v>12</v>
      </c>
      <c r="D1470" s="2" t="s">
        <v>18</v>
      </c>
      <c r="E1470">
        <v>22.57</v>
      </c>
      <c r="F1470">
        <v>17.21</v>
      </c>
      <c r="G1470">
        <v>2</v>
      </c>
      <c r="H1470">
        <f t="shared" si="22"/>
        <v>58562.910000000018</v>
      </c>
      <c r="I1470" t="str">
        <f>IF(Sheet1[[#This Row],[Month_Revenue]] &lt; AVERAGE(Sheet1[Month_Revenue]), "Off-Peak", "Peak")</f>
        <v>Peak</v>
      </c>
      <c r="J1470">
        <f xml:space="preserve"> IF(Sheet1[[#This Row],[Ad Spend]] &gt; 0, (Sheet1[[#This Row],[Profit]] / Sheet1[[#This Row],[Ad Spend]]), 0)</f>
        <v>0.31144683323649036</v>
      </c>
      <c r="K1470">
        <f>Sheet1[[#This Row],[Revenue]]-Sheet1[[#This Row],[Ad Spend]]</f>
        <v>5.3599999999999994</v>
      </c>
      <c r="L1470" s="2" t="s">
        <v>22</v>
      </c>
      <c r="M1470">
        <v>4</v>
      </c>
      <c r="N1470" s="2" t="s">
        <v>19</v>
      </c>
      <c r="O1470">
        <v>11.285</v>
      </c>
    </row>
    <row r="1471" spans="1:15" x14ac:dyDescent="0.3">
      <c r="A1471" s="1">
        <v>45350</v>
      </c>
      <c r="B1471" s="2" t="s">
        <v>20</v>
      </c>
      <c r="C1471" s="2" t="s">
        <v>17</v>
      </c>
      <c r="D1471" s="2" t="s">
        <v>13</v>
      </c>
      <c r="E1471">
        <v>33.61</v>
      </c>
      <c r="F1471">
        <v>2.2599999999999998</v>
      </c>
      <c r="G1471">
        <v>3</v>
      </c>
      <c r="H1471">
        <f t="shared" si="22"/>
        <v>48675.899999999936</v>
      </c>
      <c r="I1471" t="str">
        <f>IF(Sheet1[[#This Row],[Month_Revenue]] &lt; AVERAGE(Sheet1[Month_Revenue]), "Off-Peak", "Peak")</f>
        <v>Off-Peak</v>
      </c>
      <c r="J1471">
        <f xml:space="preserve"> IF(Sheet1[[#This Row],[Ad Spend]] &gt; 0, (Sheet1[[#This Row],[Profit]] / Sheet1[[#This Row],[Ad Spend]]), 0)</f>
        <v>13.871681415929206</v>
      </c>
      <c r="K1471">
        <f>Sheet1[[#This Row],[Revenue]]-Sheet1[[#This Row],[Ad Spend]]</f>
        <v>31.35</v>
      </c>
      <c r="L1471" s="2" t="s">
        <v>22</v>
      </c>
      <c r="M1471">
        <v>2</v>
      </c>
      <c r="N1471" s="2" t="s">
        <v>15</v>
      </c>
      <c r="O1471">
        <v>11.203333333333333</v>
      </c>
    </row>
    <row r="1472" spans="1:15" x14ac:dyDescent="0.3">
      <c r="A1472" s="1">
        <v>45340</v>
      </c>
      <c r="B1472" s="2" t="s">
        <v>16</v>
      </c>
      <c r="C1472" s="2" t="s">
        <v>17</v>
      </c>
      <c r="D1472" s="2" t="s">
        <v>13</v>
      </c>
      <c r="E1472">
        <v>121.3</v>
      </c>
      <c r="F1472">
        <v>25.7</v>
      </c>
      <c r="G1472">
        <v>2</v>
      </c>
      <c r="H1472">
        <f t="shared" si="22"/>
        <v>48675.899999999936</v>
      </c>
      <c r="I1472" t="str">
        <f>IF(Sheet1[[#This Row],[Month_Revenue]] &lt; AVERAGE(Sheet1[Month_Revenue]), "Off-Peak", "Peak")</f>
        <v>Off-Peak</v>
      </c>
      <c r="J1472">
        <f xml:space="preserve"> IF(Sheet1[[#This Row],[Ad Spend]] &gt; 0, (Sheet1[[#This Row],[Profit]] / Sheet1[[#This Row],[Ad Spend]]), 0)</f>
        <v>3.7198443579766534</v>
      </c>
      <c r="K1472">
        <f>Sheet1[[#This Row],[Revenue]]-Sheet1[[#This Row],[Ad Spend]]</f>
        <v>95.6</v>
      </c>
      <c r="L1472" s="2" t="s">
        <v>22</v>
      </c>
      <c r="M1472">
        <v>2</v>
      </c>
      <c r="N1472" s="2" t="s">
        <v>15</v>
      </c>
      <c r="O1472">
        <v>60.65</v>
      </c>
    </row>
    <row r="1473" spans="1:15" x14ac:dyDescent="0.3">
      <c r="A1473" s="1">
        <v>45297</v>
      </c>
      <c r="B1473" s="2" t="s">
        <v>11</v>
      </c>
      <c r="C1473" s="2" t="s">
        <v>21</v>
      </c>
      <c r="D1473" s="2" t="s">
        <v>18</v>
      </c>
      <c r="E1473">
        <v>169.95</v>
      </c>
      <c r="F1473">
        <v>35.54</v>
      </c>
      <c r="G1473">
        <v>1</v>
      </c>
      <c r="H1473">
        <f t="shared" si="22"/>
        <v>61207.979999999989</v>
      </c>
      <c r="I1473" t="str">
        <f>IF(Sheet1[[#This Row],[Month_Revenue]] &lt; AVERAGE(Sheet1[Month_Revenue]), "Off-Peak", "Peak")</f>
        <v>Peak</v>
      </c>
      <c r="J1473">
        <f xml:space="preserve"> IF(Sheet1[[#This Row],[Ad Spend]] &gt; 0, (Sheet1[[#This Row],[Profit]] / Sheet1[[#This Row],[Ad Spend]]), 0)</f>
        <v>3.7819358469330333</v>
      </c>
      <c r="K1473">
        <f>Sheet1[[#This Row],[Revenue]]-Sheet1[[#This Row],[Ad Spend]]</f>
        <v>134.41</v>
      </c>
      <c r="L1473" s="2" t="s">
        <v>22</v>
      </c>
      <c r="M1473">
        <v>1</v>
      </c>
      <c r="N1473" s="2" t="s">
        <v>15</v>
      </c>
      <c r="O1473">
        <v>169.95</v>
      </c>
    </row>
    <row r="1474" spans="1:15" x14ac:dyDescent="0.3">
      <c r="A1474" s="1">
        <v>45319</v>
      </c>
      <c r="B1474" s="2" t="s">
        <v>11</v>
      </c>
      <c r="C1474" s="2" t="s">
        <v>17</v>
      </c>
      <c r="D1474" s="2" t="s">
        <v>18</v>
      </c>
      <c r="E1474">
        <v>177.14</v>
      </c>
      <c r="F1474">
        <v>24.73</v>
      </c>
      <c r="G1474">
        <v>2</v>
      </c>
      <c r="H1474">
        <f t="shared" ref="H1474:H1537" si="23">SUMIFS($E$2:$E$2001, $M$2:$M$2001, M1474)</f>
        <v>61207.979999999989</v>
      </c>
      <c r="I1474" t="str">
        <f>IF(Sheet1[[#This Row],[Month_Revenue]] &lt; AVERAGE(Sheet1[Month_Revenue]), "Off-Peak", "Peak")</f>
        <v>Peak</v>
      </c>
      <c r="J1474">
        <f xml:space="preserve"> IF(Sheet1[[#This Row],[Ad Spend]] &gt; 0, (Sheet1[[#This Row],[Profit]] / Sheet1[[#This Row],[Ad Spend]]), 0)</f>
        <v>6.1629599676506261</v>
      </c>
      <c r="K1474">
        <f>Sheet1[[#This Row],[Revenue]]-Sheet1[[#This Row],[Ad Spend]]</f>
        <v>152.41</v>
      </c>
      <c r="L1474" s="2" t="s">
        <v>14</v>
      </c>
      <c r="M1474">
        <v>1</v>
      </c>
      <c r="N1474" s="2" t="s">
        <v>15</v>
      </c>
      <c r="O1474">
        <v>88.57</v>
      </c>
    </row>
    <row r="1475" spans="1:15" x14ac:dyDescent="0.3">
      <c r="A1475" s="1">
        <v>45359</v>
      </c>
      <c r="B1475" s="2" t="s">
        <v>20</v>
      </c>
      <c r="C1475" s="2" t="s">
        <v>17</v>
      </c>
      <c r="D1475" s="2" t="s">
        <v>18</v>
      </c>
      <c r="E1475">
        <v>158.94999999999999</v>
      </c>
      <c r="F1475">
        <v>29.17</v>
      </c>
      <c r="G1475">
        <v>1</v>
      </c>
      <c r="H1475">
        <f t="shared" si="23"/>
        <v>54735.250000000029</v>
      </c>
      <c r="I1475" t="str">
        <f>IF(Sheet1[[#This Row],[Month_Revenue]] &lt; AVERAGE(Sheet1[Month_Revenue]), "Off-Peak", "Peak")</f>
        <v>Off-Peak</v>
      </c>
      <c r="J1475">
        <f xml:space="preserve"> IF(Sheet1[[#This Row],[Ad Spend]] &gt; 0, (Sheet1[[#This Row],[Profit]] / Sheet1[[#This Row],[Ad Spend]]), 0)</f>
        <v>4.4490915323962961</v>
      </c>
      <c r="K1475">
        <f>Sheet1[[#This Row],[Revenue]]-Sheet1[[#This Row],[Ad Spend]]</f>
        <v>129.77999999999997</v>
      </c>
      <c r="L1475" s="2" t="s">
        <v>14</v>
      </c>
      <c r="M1475">
        <v>3</v>
      </c>
      <c r="N1475" s="2" t="s">
        <v>19</v>
      </c>
      <c r="O1475">
        <v>158.94999999999999</v>
      </c>
    </row>
    <row r="1476" spans="1:15" x14ac:dyDescent="0.3">
      <c r="A1476" s="1">
        <v>45314</v>
      </c>
      <c r="B1476" s="2" t="s">
        <v>23</v>
      </c>
      <c r="C1476" s="2" t="s">
        <v>12</v>
      </c>
      <c r="D1476" s="2" t="s">
        <v>18</v>
      </c>
      <c r="E1476">
        <v>38.46</v>
      </c>
      <c r="F1476">
        <v>9.67</v>
      </c>
      <c r="G1476">
        <v>3</v>
      </c>
      <c r="H1476">
        <f t="shared" si="23"/>
        <v>61207.979999999989</v>
      </c>
      <c r="I1476" t="str">
        <f>IF(Sheet1[[#This Row],[Month_Revenue]] &lt; AVERAGE(Sheet1[Month_Revenue]), "Off-Peak", "Peak")</f>
        <v>Peak</v>
      </c>
      <c r="J1476">
        <f xml:space="preserve"> IF(Sheet1[[#This Row],[Ad Spend]] &gt; 0, (Sheet1[[#This Row],[Profit]] / Sheet1[[#This Row],[Ad Spend]]), 0)</f>
        <v>2.9772492244053774</v>
      </c>
      <c r="K1476">
        <f>Sheet1[[#This Row],[Revenue]]-Sheet1[[#This Row],[Ad Spend]]</f>
        <v>28.79</v>
      </c>
      <c r="L1476" s="2" t="s">
        <v>14</v>
      </c>
      <c r="M1476">
        <v>1</v>
      </c>
      <c r="N1476" s="2" t="s">
        <v>15</v>
      </c>
      <c r="O1476">
        <v>12.82</v>
      </c>
    </row>
    <row r="1477" spans="1:15" x14ac:dyDescent="0.3">
      <c r="A1477" s="1">
        <v>45338</v>
      </c>
      <c r="B1477" s="2" t="s">
        <v>16</v>
      </c>
      <c r="C1477" s="2" t="s">
        <v>12</v>
      </c>
      <c r="D1477" s="2" t="s">
        <v>13</v>
      </c>
      <c r="E1477">
        <v>55.07</v>
      </c>
      <c r="F1477">
        <v>29.35</v>
      </c>
      <c r="G1477">
        <v>2</v>
      </c>
      <c r="H1477">
        <f t="shared" si="23"/>
        <v>48675.899999999936</v>
      </c>
      <c r="I1477" t="str">
        <f>IF(Sheet1[[#This Row],[Month_Revenue]] &lt; AVERAGE(Sheet1[Month_Revenue]), "Off-Peak", "Peak")</f>
        <v>Off-Peak</v>
      </c>
      <c r="J1477">
        <f xml:space="preserve"> IF(Sheet1[[#This Row],[Ad Spend]] &gt; 0, (Sheet1[[#This Row],[Profit]] / Sheet1[[#This Row],[Ad Spend]]), 0)</f>
        <v>0.87632027257240197</v>
      </c>
      <c r="K1477">
        <f>Sheet1[[#This Row],[Revenue]]-Sheet1[[#This Row],[Ad Spend]]</f>
        <v>25.72</v>
      </c>
      <c r="L1477" s="2" t="s">
        <v>22</v>
      </c>
      <c r="M1477">
        <v>2</v>
      </c>
      <c r="N1477" s="2" t="s">
        <v>15</v>
      </c>
      <c r="O1477">
        <v>27.535</v>
      </c>
    </row>
    <row r="1478" spans="1:15" x14ac:dyDescent="0.3">
      <c r="A1478" s="1">
        <v>45396</v>
      </c>
      <c r="B1478" s="2" t="s">
        <v>11</v>
      </c>
      <c r="C1478" s="2" t="s">
        <v>21</v>
      </c>
      <c r="D1478" s="2" t="s">
        <v>13</v>
      </c>
      <c r="E1478">
        <v>123.87</v>
      </c>
      <c r="F1478">
        <v>0.38</v>
      </c>
      <c r="G1478">
        <v>0</v>
      </c>
      <c r="H1478">
        <f t="shared" si="23"/>
        <v>58562.910000000018</v>
      </c>
      <c r="I1478" t="str">
        <f>IF(Sheet1[[#This Row],[Month_Revenue]] &lt; AVERAGE(Sheet1[Month_Revenue]), "Off-Peak", "Peak")</f>
        <v>Peak</v>
      </c>
      <c r="J1478">
        <f xml:space="preserve"> IF(Sheet1[[#This Row],[Ad Spend]] &gt; 0, (Sheet1[[#This Row],[Profit]] / Sheet1[[#This Row],[Ad Spend]]), 0)</f>
        <v>324.97368421052636</v>
      </c>
      <c r="K1478">
        <f>Sheet1[[#This Row],[Revenue]]-Sheet1[[#This Row],[Ad Spend]]</f>
        <v>123.49000000000001</v>
      </c>
      <c r="L1478" s="2" t="s">
        <v>22</v>
      </c>
      <c r="M1478">
        <v>4</v>
      </c>
      <c r="N1478" s="2" t="s">
        <v>19</v>
      </c>
      <c r="O1478">
        <v>0</v>
      </c>
    </row>
    <row r="1479" spans="1:15" x14ac:dyDescent="0.3">
      <c r="A1479" s="1">
        <v>45323</v>
      </c>
      <c r="B1479" s="2" t="s">
        <v>16</v>
      </c>
      <c r="C1479" s="2" t="s">
        <v>12</v>
      </c>
      <c r="D1479" s="2" t="s">
        <v>18</v>
      </c>
      <c r="E1479">
        <v>92.28</v>
      </c>
      <c r="F1479">
        <v>0.6</v>
      </c>
      <c r="G1479">
        <v>3</v>
      </c>
      <c r="H1479">
        <f t="shared" si="23"/>
        <v>48675.899999999936</v>
      </c>
      <c r="I1479" t="str">
        <f>IF(Sheet1[[#This Row],[Month_Revenue]] &lt; AVERAGE(Sheet1[Month_Revenue]), "Off-Peak", "Peak")</f>
        <v>Off-Peak</v>
      </c>
      <c r="J1479">
        <f xml:space="preserve"> IF(Sheet1[[#This Row],[Ad Spend]] &gt; 0, (Sheet1[[#This Row],[Profit]] / Sheet1[[#This Row],[Ad Spend]]), 0)</f>
        <v>152.80000000000001</v>
      </c>
      <c r="K1479">
        <f>Sheet1[[#This Row],[Revenue]]-Sheet1[[#This Row],[Ad Spend]]</f>
        <v>91.68</v>
      </c>
      <c r="L1479" s="2" t="s">
        <v>14</v>
      </c>
      <c r="M1479">
        <v>2</v>
      </c>
      <c r="N1479" s="2" t="s">
        <v>15</v>
      </c>
      <c r="O1479">
        <v>30.76</v>
      </c>
    </row>
    <row r="1480" spans="1:15" x14ac:dyDescent="0.3">
      <c r="A1480" s="1">
        <v>45411</v>
      </c>
      <c r="B1480" s="2" t="s">
        <v>11</v>
      </c>
      <c r="C1480" s="2" t="s">
        <v>12</v>
      </c>
      <c r="D1480" s="2" t="s">
        <v>13</v>
      </c>
      <c r="E1480">
        <v>92.19</v>
      </c>
      <c r="F1480">
        <v>35.47</v>
      </c>
      <c r="G1480">
        <v>2</v>
      </c>
      <c r="H1480">
        <f t="shared" si="23"/>
        <v>58562.910000000018</v>
      </c>
      <c r="I1480" t="str">
        <f>IF(Sheet1[[#This Row],[Month_Revenue]] &lt; AVERAGE(Sheet1[Month_Revenue]), "Off-Peak", "Peak")</f>
        <v>Peak</v>
      </c>
      <c r="J1480">
        <f xml:space="preserve"> IF(Sheet1[[#This Row],[Ad Spend]] &gt; 0, (Sheet1[[#This Row],[Profit]] / Sheet1[[#This Row],[Ad Spend]]), 0)</f>
        <v>1.5990978291513955</v>
      </c>
      <c r="K1480">
        <f>Sheet1[[#This Row],[Revenue]]-Sheet1[[#This Row],[Ad Spend]]</f>
        <v>56.72</v>
      </c>
      <c r="L1480" s="2" t="s">
        <v>14</v>
      </c>
      <c r="M1480">
        <v>4</v>
      </c>
      <c r="N1480" s="2" t="s">
        <v>19</v>
      </c>
      <c r="O1480">
        <v>46.094999999999999</v>
      </c>
    </row>
    <row r="1481" spans="1:15" x14ac:dyDescent="0.3">
      <c r="A1481" s="1">
        <v>45361</v>
      </c>
      <c r="B1481" s="2" t="s">
        <v>20</v>
      </c>
      <c r="C1481" s="2" t="s">
        <v>12</v>
      </c>
      <c r="D1481" s="2" t="s">
        <v>13</v>
      </c>
      <c r="E1481">
        <v>177.46</v>
      </c>
      <c r="F1481">
        <v>4.08</v>
      </c>
      <c r="G1481">
        <v>1</v>
      </c>
      <c r="H1481">
        <f t="shared" si="23"/>
        <v>54735.250000000029</v>
      </c>
      <c r="I1481" t="str">
        <f>IF(Sheet1[[#This Row],[Month_Revenue]] &lt; AVERAGE(Sheet1[Month_Revenue]), "Off-Peak", "Peak")</f>
        <v>Off-Peak</v>
      </c>
      <c r="J1481">
        <f xml:space="preserve"> IF(Sheet1[[#This Row],[Ad Spend]] &gt; 0, (Sheet1[[#This Row],[Profit]] / Sheet1[[#This Row],[Ad Spend]]), 0)</f>
        <v>42.495098039215684</v>
      </c>
      <c r="K1481">
        <f>Sheet1[[#This Row],[Revenue]]-Sheet1[[#This Row],[Ad Spend]]</f>
        <v>173.38</v>
      </c>
      <c r="L1481" s="2" t="s">
        <v>14</v>
      </c>
      <c r="M1481">
        <v>3</v>
      </c>
      <c r="N1481" s="2" t="s">
        <v>19</v>
      </c>
      <c r="O1481">
        <v>177.46</v>
      </c>
    </row>
    <row r="1482" spans="1:15" x14ac:dyDescent="0.3">
      <c r="A1482" s="1">
        <v>45392</v>
      </c>
      <c r="B1482" s="2" t="s">
        <v>16</v>
      </c>
      <c r="C1482" s="2" t="s">
        <v>21</v>
      </c>
      <c r="D1482" s="2" t="s">
        <v>13</v>
      </c>
      <c r="E1482">
        <v>152.76</v>
      </c>
      <c r="F1482">
        <v>8.33</v>
      </c>
      <c r="G1482">
        <v>0</v>
      </c>
      <c r="H1482">
        <f t="shared" si="23"/>
        <v>58562.910000000018</v>
      </c>
      <c r="I1482" t="str">
        <f>IF(Sheet1[[#This Row],[Month_Revenue]] &lt; AVERAGE(Sheet1[Month_Revenue]), "Off-Peak", "Peak")</f>
        <v>Peak</v>
      </c>
      <c r="J1482">
        <f xml:space="preserve"> IF(Sheet1[[#This Row],[Ad Spend]] &gt; 0, (Sheet1[[#This Row],[Profit]] / Sheet1[[#This Row],[Ad Spend]]), 0)</f>
        <v>17.338535414165662</v>
      </c>
      <c r="K1482">
        <f>Sheet1[[#This Row],[Revenue]]-Sheet1[[#This Row],[Ad Spend]]</f>
        <v>144.42999999999998</v>
      </c>
      <c r="L1482" s="2" t="s">
        <v>22</v>
      </c>
      <c r="M1482">
        <v>4</v>
      </c>
      <c r="N1482" s="2" t="s">
        <v>19</v>
      </c>
      <c r="O1482">
        <v>0</v>
      </c>
    </row>
    <row r="1483" spans="1:15" x14ac:dyDescent="0.3">
      <c r="A1483" s="1">
        <v>45301</v>
      </c>
      <c r="B1483" s="2" t="s">
        <v>20</v>
      </c>
      <c r="C1483" s="2" t="s">
        <v>17</v>
      </c>
      <c r="D1483" s="2" t="s">
        <v>18</v>
      </c>
      <c r="E1483">
        <v>191.22</v>
      </c>
      <c r="F1483">
        <v>48.67</v>
      </c>
      <c r="G1483">
        <v>2</v>
      </c>
      <c r="H1483">
        <f t="shared" si="23"/>
        <v>61207.979999999989</v>
      </c>
      <c r="I1483" t="str">
        <f>IF(Sheet1[[#This Row],[Month_Revenue]] &lt; AVERAGE(Sheet1[Month_Revenue]), "Off-Peak", "Peak")</f>
        <v>Peak</v>
      </c>
      <c r="J1483">
        <f xml:space="preserve"> IF(Sheet1[[#This Row],[Ad Spend]] &gt; 0, (Sheet1[[#This Row],[Profit]] / Sheet1[[#This Row],[Ad Spend]]), 0)</f>
        <v>2.9289089788370659</v>
      </c>
      <c r="K1483">
        <f>Sheet1[[#This Row],[Revenue]]-Sheet1[[#This Row],[Ad Spend]]</f>
        <v>142.55000000000001</v>
      </c>
      <c r="L1483" s="2" t="s">
        <v>22</v>
      </c>
      <c r="M1483">
        <v>1</v>
      </c>
      <c r="N1483" s="2" t="s">
        <v>15</v>
      </c>
      <c r="O1483">
        <v>95.61</v>
      </c>
    </row>
    <row r="1484" spans="1:15" x14ac:dyDescent="0.3">
      <c r="A1484" s="1">
        <v>45366</v>
      </c>
      <c r="B1484" s="2" t="s">
        <v>20</v>
      </c>
      <c r="C1484" s="2" t="s">
        <v>17</v>
      </c>
      <c r="D1484" s="2" t="s">
        <v>18</v>
      </c>
      <c r="E1484">
        <v>148.61000000000001</v>
      </c>
      <c r="F1484">
        <v>25.25</v>
      </c>
      <c r="G1484">
        <v>2</v>
      </c>
      <c r="H1484">
        <f t="shared" si="23"/>
        <v>54735.250000000029</v>
      </c>
      <c r="I1484" t="str">
        <f>IF(Sheet1[[#This Row],[Month_Revenue]] &lt; AVERAGE(Sheet1[Month_Revenue]), "Off-Peak", "Peak")</f>
        <v>Off-Peak</v>
      </c>
      <c r="J1484">
        <f xml:space="preserve"> IF(Sheet1[[#This Row],[Ad Spend]] &gt; 0, (Sheet1[[#This Row],[Profit]] / Sheet1[[#This Row],[Ad Spend]]), 0)</f>
        <v>4.8855445544554463</v>
      </c>
      <c r="K1484">
        <f>Sheet1[[#This Row],[Revenue]]-Sheet1[[#This Row],[Ad Spend]]</f>
        <v>123.36000000000001</v>
      </c>
      <c r="L1484" s="2" t="s">
        <v>14</v>
      </c>
      <c r="M1484">
        <v>3</v>
      </c>
      <c r="N1484" s="2" t="s">
        <v>19</v>
      </c>
      <c r="O1484">
        <v>74.305000000000007</v>
      </c>
    </row>
    <row r="1485" spans="1:15" x14ac:dyDescent="0.3">
      <c r="A1485" s="1">
        <v>45409</v>
      </c>
      <c r="B1485" s="2" t="s">
        <v>16</v>
      </c>
      <c r="C1485" s="2" t="s">
        <v>12</v>
      </c>
      <c r="D1485" s="2" t="s">
        <v>18</v>
      </c>
      <c r="E1485">
        <v>41.12</v>
      </c>
      <c r="F1485">
        <v>47.2</v>
      </c>
      <c r="G1485">
        <v>3</v>
      </c>
      <c r="H1485">
        <f t="shared" si="23"/>
        <v>58562.910000000018</v>
      </c>
      <c r="I1485" t="str">
        <f>IF(Sheet1[[#This Row],[Month_Revenue]] &lt; AVERAGE(Sheet1[Month_Revenue]), "Off-Peak", "Peak")</f>
        <v>Peak</v>
      </c>
      <c r="J1485">
        <f xml:space="preserve"> IF(Sheet1[[#This Row],[Ad Spend]] &gt; 0, (Sheet1[[#This Row],[Profit]] / Sheet1[[#This Row],[Ad Spend]]), 0)</f>
        <v>-0.128813559322034</v>
      </c>
      <c r="K1485">
        <f>Sheet1[[#This Row],[Revenue]]-Sheet1[[#This Row],[Ad Spend]]</f>
        <v>-6.0800000000000054</v>
      </c>
      <c r="L1485" s="2" t="s">
        <v>22</v>
      </c>
      <c r="M1485">
        <v>4</v>
      </c>
      <c r="N1485" s="2" t="s">
        <v>19</v>
      </c>
      <c r="O1485">
        <v>13.706666666666665</v>
      </c>
    </row>
    <row r="1486" spans="1:15" x14ac:dyDescent="0.3">
      <c r="A1486" s="1">
        <v>45391</v>
      </c>
      <c r="B1486" s="2" t="s">
        <v>24</v>
      </c>
      <c r="C1486" s="2" t="s">
        <v>12</v>
      </c>
      <c r="D1486" s="2" t="s">
        <v>13</v>
      </c>
      <c r="E1486">
        <v>164.39</v>
      </c>
      <c r="F1486">
        <v>31.97</v>
      </c>
      <c r="G1486">
        <v>2</v>
      </c>
      <c r="H1486">
        <f t="shared" si="23"/>
        <v>58562.910000000018</v>
      </c>
      <c r="I1486" t="str">
        <f>IF(Sheet1[[#This Row],[Month_Revenue]] &lt; AVERAGE(Sheet1[Month_Revenue]), "Off-Peak", "Peak")</f>
        <v>Peak</v>
      </c>
      <c r="J1486">
        <f xml:space="preserve"> IF(Sheet1[[#This Row],[Ad Spend]] &gt; 0, (Sheet1[[#This Row],[Profit]] / Sheet1[[#This Row],[Ad Spend]]), 0)</f>
        <v>4.1420081326243352</v>
      </c>
      <c r="K1486">
        <f>Sheet1[[#This Row],[Revenue]]-Sheet1[[#This Row],[Ad Spend]]</f>
        <v>132.41999999999999</v>
      </c>
      <c r="L1486" s="2" t="s">
        <v>22</v>
      </c>
      <c r="M1486">
        <v>4</v>
      </c>
      <c r="N1486" s="2" t="s">
        <v>19</v>
      </c>
      <c r="O1486">
        <v>82.194999999999993</v>
      </c>
    </row>
    <row r="1487" spans="1:15" x14ac:dyDescent="0.3">
      <c r="A1487" s="1">
        <v>45355</v>
      </c>
      <c r="B1487" s="2" t="s">
        <v>24</v>
      </c>
      <c r="C1487" s="2" t="s">
        <v>12</v>
      </c>
      <c r="D1487" s="2" t="s">
        <v>18</v>
      </c>
      <c r="E1487">
        <v>58.27</v>
      </c>
      <c r="F1487">
        <v>21.51</v>
      </c>
      <c r="G1487">
        <v>3</v>
      </c>
      <c r="H1487">
        <f t="shared" si="23"/>
        <v>54735.250000000029</v>
      </c>
      <c r="I1487" t="str">
        <f>IF(Sheet1[[#This Row],[Month_Revenue]] &lt; AVERAGE(Sheet1[Month_Revenue]), "Off-Peak", "Peak")</f>
        <v>Off-Peak</v>
      </c>
      <c r="J1487">
        <f xml:space="preserve"> IF(Sheet1[[#This Row],[Ad Spend]] &gt; 0, (Sheet1[[#This Row],[Profit]] / Sheet1[[#This Row],[Ad Spend]]), 0)</f>
        <v>1.7089725708972572</v>
      </c>
      <c r="K1487">
        <f>Sheet1[[#This Row],[Revenue]]-Sheet1[[#This Row],[Ad Spend]]</f>
        <v>36.760000000000005</v>
      </c>
      <c r="L1487" s="2" t="s">
        <v>22</v>
      </c>
      <c r="M1487">
        <v>3</v>
      </c>
      <c r="N1487" s="2" t="s">
        <v>19</v>
      </c>
      <c r="O1487">
        <v>19.423333333333336</v>
      </c>
    </row>
    <row r="1488" spans="1:15" x14ac:dyDescent="0.3">
      <c r="A1488" s="1">
        <v>45318</v>
      </c>
      <c r="B1488" s="2" t="s">
        <v>11</v>
      </c>
      <c r="C1488" s="2" t="s">
        <v>17</v>
      </c>
      <c r="D1488" s="2" t="s">
        <v>13</v>
      </c>
      <c r="E1488">
        <v>146.02000000000001</v>
      </c>
      <c r="F1488">
        <v>19.600000000000001</v>
      </c>
      <c r="G1488">
        <v>0</v>
      </c>
      <c r="H1488">
        <f t="shared" si="23"/>
        <v>61207.979999999989</v>
      </c>
      <c r="I1488" t="str">
        <f>IF(Sheet1[[#This Row],[Month_Revenue]] &lt; AVERAGE(Sheet1[Month_Revenue]), "Off-Peak", "Peak")</f>
        <v>Peak</v>
      </c>
      <c r="J1488">
        <f xml:space="preserve"> IF(Sheet1[[#This Row],[Ad Spend]] &gt; 0, (Sheet1[[#This Row],[Profit]] / Sheet1[[#This Row],[Ad Spend]]), 0)</f>
        <v>6.45</v>
      </c>
      <c r="K1488">
        <f>Sheet1[[#This Row],[Revenue]]-Sheet1[[#This Row],[Ad Spend]]</f>
        <v>126.42000000000002</v>
      </c>
      <c r="L1488" s="2" t="s">
        <v>14</v>
      </c>
      <c r="M1488">
        <v>1</v>
      </c>
      <c r="N1488" s="2" t="s">
        <v>15</v>
      </c>
      <c r="O1488">
        <v>0</v>
      </c>
    </row>
    <row r="1489" spans="1:15" x14ac:dyDescent="0.3">
      <c r="A1489" s="1">
        <v>45363</v>
      </c>
      <c r="B1489" s="2" t="s">
        <v>20</v>
      </c>
      <c r="C1489" s="2" t="s">
        <v>21</v>
      </c>
      <c r="D1489" s="2" t="s">
        <v>13</v>
      </c>
      <c r="E1489">
        <v>176.25</v>
      </c>
      <c r="F1489">
        <v>20.83</v>
      </c>
      <c r="G1489">
        <v>2</v>
      </c>
      <c r="H1489">
        <f t="shared" si="23"/>
        <v>54735.250000000029</v>
      </c>
      <c r="I1489" t="str">
        <f>IF(Sheet1[[#This Row],[Month_Revenue]] &lt; AVERAGE(Sheet1[Month_Revenue]), "Off-Peak", "Peak")</f>
        <v>Off-Peak</v>
      </c>
      <c r="J1489">
        <f xml:space="preserve"> IF(Sheet1[[#This Row],[Ad Spend]] &gt; 0, (Sheet1[[#This Row],[Profit]] / Sheet1[[#This Row],[Ad Spend]]), 0)</f>
        <v>7.461353816610659</v>
      </c>
      <c r="K1489">
        <f>Sheet1[[#This Row],[Revenue]]-Sheet1[[#This Row],[Ad Spend]]</f>
        <v>155.42000000000002</v>
      </c>
      <c r="L1489" s="2" t="s">
        <v>14</v>
      </c>
      <c r="M1489">
        <v>3</v>
      </c>
      <c r="N1489" s="2" t="s">
        <v>19</v>
      </c>
      <c r="O1489">
        <v>88.125</v>
      </c>
    </row>
    <row r="1490" spans="1:15" x14ac:dyDescent="0.3">
      <c r="A1490" s="1">
        <v>45377</v>
      </c>
      <c r="B1490" s="2" t="s">
        <v>23</v>
      </c>
      <c r="C1490" s="2" t="s">
        <v>12</v>
      </c>
      <c r="D1490" s="2" t="s">
        <v>13</v>
      </c>
      <c r="E1490">
        <v>74.64</v>
      </c>
      <c r="F1490">
        <v>38.630000000000003</v>
      </c>
      <c r="G1490">
        <v>1</v>
      </c>
      <c r="H1490">
        <f t="shared" si="23"/>
        <v>54735.250000000029</v>
      </c>
      <c r="I1490" t="str">
        <f>IF(Sheet1[[#This Row],[Month_Revenue]] &lt; AVERAGE(Sheet1[Month_Revenue]), "Off-Peak", "Peak")</f>
        <v>Off-Peak</v>
      </c>
      <c r="J1490">
        <f xml:space="preserve"> IF(Sheet1[[#This Row],[Ad Spend]] &gt; 0, (Sheet1[[#This Row],[Profit]] / Sheet1[[#This Row],[Ad Spend]]), 0)</f>
        <v>0.93217706445767523</v>
      </c>
      <c r="K1490">
        <f>Sheet1[[#This Row],[Revenue]]-Sheet1[[#This Row],[Ad Spend]]</f>
        <v>36.01</v>
      </c>
      <c r="L1490" s="2" t="s">
        <v>22</v>
      </c>
      <c r="M1490">
        <v>3</v>
      </c>
      <c r="N1490" s="2" t="s">
        <v>19</v>
      </c>
      <c r="O1490">
        <v>74.64</v>
      </c>
    </row>
    <row r="1491" spans="1:15" x14ac:dyDescent="0.3">
      <c r="A1491" s="1">
        <v>45333</v>
      </c>
      <c r="B1491" s="2" t="s">
        <v>20</v>
      </c>
      <c r="C1491" s="2" t="s">
        <v>17</v>
      </c>
      <c r="D1491" s="2" t="s">
        <v>18</v>
      </c>
      <c r="E1491">
        <v>86.5</v>
      </c>
      <c r="F1491">
        <v>19.22</v>
      </c>
      <c r="G1491">
        <v>3</v>
      </c>
      <c r="H1491">
        <f t="shared" si="23"/>
        <v>48675.899999999936</v>
      </c>
      <c r="I1491" t="str">
        <f>IF(Sheet1[[#This Row],[Month_Revenue]] &lt; AVERAGE(Sheet1[Month_Revenue]), "Off-Peak", "Peak")</f>
        <v>Off-Peak</v>
      </c>
      <c r="J1491">
        <f xml:space="preserve"> IF(Sheet1[[#This Row],[Ad Spend]] &gt; 0, (Sheet1[[#This Row],[Profit]] / Sheet1[[#This Row],[Ad Spend]]), 0)</f>
        <v>3.5005202913631637</v>
      </c>
      <c r="K1491">
        <f>Sheet1[[#This Row],[Revenue]]-Sheet1[[#This Row],[Ad Spend]]</f>
        <v>67.28</v>
      </c>
      <c r="L1491" s="2" t="s">
        <v>14</v>
      </c>
      <c r="M1491">
        <v>2</v>
      </c>
      <c r="N1491" s="2" t="s">
        <v>15</v>
      </c>
      <c r="O1491">
        <v>28.833333333333332</v>
      </c>
    </row>
    <row r="1492" spans="1:15" x14ac:dyDescent="0.3">
      <c r="A1492" s="1">
        <v>45300</v>
      </c>
      <c r="B1492" s="2" t="s">
        <v>20</v>
      </c>
      <c r="C1492" s="2" t="s">
        <v>17</v>
      </c>
      <c r="D1492" s="2" t="s">
        <v>18</v>
      </c>
      <c r="E1492">
        <v>59.42</v>
      </c>
      <c r="F1492">
        <v>23.85</v>
      </c>
      <c r="G1492">
        <v>0</v>
      </c>
      <c r="H1492">
        <f t="shared" si="23"/>
        <v>61207.979999999989</v>
      </c>
      <c r="I1492" t="str">
        <f>IF(Sheet1[[#This Row],[Month_Revenue]] &lt; AVERAGE(Sheet1[Month_Revenue]), "Off-Peak", "Peak")</f>
        <v>Peak</v>
      </c>
      <c r="J1492">
        <f xml:space="preserve"> IF(Sheet1[[#This Row],[Ad Spend]] &gt; 0, (Sheet1[[#This Row],[Profit]] / Sheet1[[#This Row],[Ad Spend]]), 0)</f>
        <v>1.491404612159329</v>
      </c>
      <c r="K1492">
        <f>Sheet1[[#This Row],[Revenue]]-Sheet1[[#This Row],[Ad Spend]]</f>
        <v>35.57</v>
      </c>
      <c r="L1492" s="2" t="s">
        <v>14</v>
      </c>
      <c r="M1492">
        <v>1</v>
      </c>
      <c r="N1492" s="2" t="s">
        <v>15</v>
      </c>
      <c r="O1492">
        <v>0</v>
      </c>
    </row>
    <row r="1493" spans="1:15" x14ac:dyDescent="0.3">
      <c r="A1493" s="1">
        <v>45304</v>
      </c>
      <c r="B1493" s="2" t="s">
        <v>20</v>
      </c>
      <c r="C1493" s="2" t="s">
        <v>21</v>
      </c>
      <c r="D1493" s="2" t="s">
        <v>18</v>
      </c>
      <c r="E1493">
        <v>40.49</v>
      </c>
      <c r="F1493">
        <v>29.82</v>
      </c>
      <c r="G1493">
        <v>3</v>
      </c>
      <c r="H1493">
        <f t="shared" si="23"/>
        <v>61207.979999999989</v>
      </c>
      <c r="I1493" t="str">
        <f>IF(Sheet1[[#This Row],[Month_Revenue]] &lt; AVERAGE(Sheet1[Month_Revenue]), "Off-Peak", "Peak")</f>
        <v>Peak</v>
      </c>
      <c r="J1493">
        <f xml:space="preserve"> IF(Sheet1[[#This Row],[Ad Spend]] &gt; 0, (Sheet1[[#This Row],[Profit]] / Sheet1[[#This Row],[Ad Spend]]), 0)</f>
        <v>0.35781354795439307</v>
      </c>
      <c r="K1493">
        <f>Sheet1[[#This Row],[Revenue]]-Sheet1[[#This Row],[Ad Spend]]</f>
        <v>10.670000000000002</v>
      </c>
      <c r="L1493" s="2" t="s">
        <v>14</v>
      </c>
      <c r="M1493">
        <v>1</v>
      </c>
      <c r="N1493" s="2" t="s">
        <v>15</v>
      </c>
      <c r="O1493">
        <v>13.496666666666668</v>
      </c>
    </row>
    <row r="1494" spans="1:15" x14ac:dyDescent="0.3">
      <c r="A1494" s="1">
        <v>45361</v>
      </c>
      <c r="B1494" s="2" t="s">
        <v>23</v>
      </c>
      <c r="C1494" s="2" t="s">
        <v>17</v>
      </c>
      <c r="D1494" s="2" t="s">
        <v>18</v>
      </c>
      <c r="E1494">
        <v>37.94</v>
      </c>
      <c r="F1494">
        <v>25.15</v>
      </c>
      <c r="G1494">
        <v>3</v>
      </c>
      <c r="H1494">
        <f t="shared" si="23"/>
        <v>54735.250000000029</v>
      </c>
      <c r="I1494" t="str">
        <f>IF(Sheet1[[#This Row],[Month_Revenue]] &lt; AVERAGE(Sheet1[Month_Revenue]), "Off-Peak", "Peak")</f>
        <v>Off-Peak</v>
      </c>
      <c r="J1494">
        <f xml:space="preserve"> IF(Sheet1[[#This Row],[Ad Spend]] &gt; 0, (Sheet1[[#This Row],[Profit]] / Sheet1[[#This Row],[Ad Spend]]), 0)</f>
        <v>0.50854870775347916</v>
      </c>
      <c r="K1494">
        <f>Sheet1[[#This Row],[Revenue]]-Sheet1[[#This Row],[Ad Spend]]</f>
        <v>12.79</v>
      </c>
      <c r="L1494" s="2" t="s">
        <v>22</v>
      </c>
      <c r="M1494">
        <v>3</v>
      </c>
      <c r="N1494" s="2" t="s">
        <v>19</v>
      </c>
      <c r="O1494">
        <v>12.646666666666667</v>
      </c>
    </row>
    <row r="1495" spans="1:15" x14ac:dyDescent="0.3">
      <c r="A1495" s="1">
        <v>45408</v>
      </c>
      <c r="B1495" s="2" t="s">
        <v>11</v>
      </c>
      <c r="C1495" s="2" t="s">
        <v>21</v>
      </c>
      <c r="D1495" s="2" t="s">
        <v>18</v>
      </c>
      <c r="E1495">
        <v>57.41</v>
      </c>
      <c r="F1495">
        <v>31.63</v>
      </c>
      <c r="G1495">
        <v>0</v>
      </c>
      <c r="H1495">
        <f t="shared" si="23"/>
        <v>58562.910000000018</v>
      </c>
      <c r="I1495" t="str">
        <f>IF(Sheet1[[#This Row],[Month_Revenue]] &lt; AVERAGE(Sheet1[Month_Revenue]), "Off-Peak", "Peak")</f>
        <v>Peak</v>
      </c>
      <c r="J1495">
        <f xml:space="preserve"> IF(Sheet1[[#This Row],[Ad Spend]] &gt; 0, (Sheet1[[#This Row],[Profit]] / Sheet1[[#This Row],[Ad Spend]]), 0)</f>
        <v>0.81504900411002212</v>
      </c>
      <c r="K1495">
        <f>Sheet1[[#This Row],[Revenue]]-Sheet1[[#This Row],[Ad Spend]]</f>
        <v>25.779999999999998</v>
      </c>
      <c r="L1495" s="2" t="s">
        <v>22</v>
      </c>
      <c r="M1495">
        <v>4</v>
      </c>
      <c r="N1495" s="2" t="s">
        <v>19</v>
      </c>
      <c r="O1495">
        <v>0</v>
      </c>
    </row>
    <row r="1496" spans="1:15" x14ac:dyDescent="0.3">
      <c r="A1496" s="1">
        <v>45340</v>
      </c>
      <c r="B1496" s="2" t="s">
        <v>24</v>
      </c>
      <c r="C1496" s="2" t="s">
        <v>21</v>
      </c>
      <c r="D1496" s="2" t="s">
        <v>18</v>
      </c>
      <c r="E1496">
        <v>24.45</v>
      </c>
      <c r="F1496">
        <v>44.23</v>
      </c>
      <c r="G1496">
        <v>0</v>
      </c>
      <c r="H1496">
        <f t="shared" si="23"/>
        <v>48675.899999999936</v>
      </c>
      <c r="I1496" t="str">
        <f>IF(Sheet1[[#This Row],[Month_Revenue]] &lt; AVERAGE(Sheet1[Month_Revenue]), "Off-Peak", "Peak")</f>
        <v>Off-Peak</v>
      </c>
      <c r="J1496">
        <f xml:space="preserve"> IF(Sheet1[[#This Row],[Ad Spend]] &gt; 0, (Sheet1[[#This Row],[Profit]] / Sheet1[[#This Row],[Ad Spend]]), 0)</f>
        <v>-0.44720777752656565</v>
      </c>
      <c r="K1496">
        <f>Sheet1[[#This Row],[Revenue]]-Sheet1[[#This Row],[Ad Spend]]</f>
        <v>-19.779999999999998</v>
      </c>
      <c r="L1496" s="2" t="s">
        <v>14</v>
      </c>
      <c r="M1496">
        <v>2</v>
      </c>
      <c r="N1496" s="2" t="s">
        <v>15</v>
      </c>
      <c r="O1496">
        <v>0</v>
      </c>
    </row>
    <row r="1497" spans="1:15" x14ac:dyDescent="0.3">
      <c r="A1497" s="1">
        <v>45364</v>
      </c>
      <c r="B1497" s="2" t="s">
        <v>11</v>
      </c>
      <c r="C1497" s="2" t="s">
        <v>12</v>
      </c>
      <c r="D1497" s="2" t="s">
        <v>13</v>
      </c>
      <c r="E1497">
        <v>110.47</v>
      </c>
      <c r="F1497">
        <v>35.36</v>
      </c>
      <c r="G1497">
        <v>2</v>
      </c>
      <c r="H1497">
        <f t="shared" si="23"/>
        <v>54735.250000000029</v>
      </c>
      <c r="I1497" t="str">
        <f>IF(Sheet1[[#This Row],[Month_Revenue]] &lt; AVERAGE(Sheet1[Month_Revenue]), "Off-Peak", "Peak")</f>
        <v>Off-Peak</v>
      </c>
      <c r="J1497">
        <f xml:space="preserve"> IF(Sheet1[[#This Row],[Ad Spend]] &gt; 0, (Sheet1[[#This Row],[Profit]] / Sheet1[[#This Row],[Ad Spend]]), 0)</f>
        <v>2.1241515837104075</v>
      </c>
      <c r="K1497">
        <f>Sheet1[[#This Row],[Revenue]]-Sheet1[[#This Row],[Ad Spend]]</f>
        <v>75.11</v>
      </c>
      <c r="L1497" s="2" t="s">
        <v>14</v>
      </c>
      <c r="M1497">
        <v>3</v>
      </c>
      <c r="N1497" s="2" t="s">
        <v>19</v>
      </c>
      <c r="O1497">
        <v>55.234999999999999</v>
      </c>
    </row>
    <row r="1498" spans="1:15" x14ac:dyDescent="0.3">
      <c r="A1498" s="1">
        <v>45373</v>
      </c>
      <c r="B1498" s="2" t="s">
        <v>11</v>
      </c>
      <c r="C1498" s="2" t="s">
        <v>21</v>
      </c>
      <c r="D1498" s="2" t="s">
        <v>13</v>
      </c>
      <c r="E1498">
        <v>146.16</v>
      </c>
      <c r="F1498">
        <v>32.42</v>
      </c>
      <c r="G1498">
        <v>1</v>
      </c>
      <c r="H1498">
        <f t="shared" si="23"/>
        <v>54735.250000000029</v>
      </c>
      <c r="I1498" t="str">
        <f>IF(Sheet1[[#This Row],[Month_Revenue]] &lt; AVERAGE(Sheet1[Month_Revenue]), "Off-Peak", "Peak")</f>
        <v>Off-Peak</v>
      </c>
      <c r="J1498">
        <f xml:space="preserve"> IF(Sheet1[[#This Row],[Ad Spend]] &gt; 0, (Sheet1[[#This Row],[Profit]] / Sheet1[[#This Row],[Ad Spend]]), 0)</f>
        <v>3.5083281924737815</v>
      </c>
      <c r="K1498">
        <f>Sheet1[[#This Row],[Revenue]]-Sheet1[[#This Row],[Ad Spend]]</f>
        <v>113.74</v>
      </c>
      <c r="L1498" s="2" t="s">
        <v>14</v>
      </c>
      <c r="M1498">
        <v>3</v>
      </c>
      <c r="N1498" s="2" t="s">
        <v>19</v>
      </c>
      <c r="O1498">
        <v>146.16</v>
      </c>
    </row>
    <row r="1499" spans="1:15" x14ac:dyDescent="0.3">
      <c r="A1499" s="1">
        <v>45295</v>
      </c>
      <c r="B1499" s="2" t="s">
        <v>20</v>
      </c>
      <c r="C1499" s="2" t="s">
        <v>21</v>
      </c>
      <c r="D1499" s="2" t="s">
        <v>13</v>
      </c>
      <c r="E1499">
        <v>49.45</v>
      </c>
      <c r="F1499">
        <v>16.09</v>
      </c>
      <c r="G1499">
        <v>2</v>
      </c>
      <c r="H1499">
        <f t="shared" si="23"/>
        <v>61207.979999999989</v>
      </c>
      <c r="I1499" t="str">
        <f>IF(Sheet1[[#This Row],[Month_Revenue]] &lt; AVERAGE(Sheet1[Month_Revenue]), "Off-Peak", "Peak")</f>
        <v>Peak</v>
      </c>
      <c r="J1499">
        <f xml:space="preserve"> IF(Sheet1[[#This Row],[Ad Spend]] &gt; 0, (Sheet1[[#This Row],[Profit]] / Sheet1[[#This Row],[Ad Spend]]), 0)</f>
        <v>2.0733374766935984</v>
      </c>
      <c r="K1499">
        <f>Sheet1[[#This Row],[Revenue]]-Sheet1[[#This Row],[Ad Spend]]</f>
        <v>33.36</v>
      </c>
      <c r="L1499" s="2" t="s">
        <v>14</v>
      </c>
      <c r="M1499">
        <v>1</v>
      </c>
      <c r="N1499" s="2" t="s">
        <v>15</v>
      </c>
      <c r="O1499">
        <v>24.725000000000001</v>
      </c>
    </row>
    <row r="1500" spans="1:15" x14ac:dyDescent="0.3">
      <c r="A1500" s="1">
        <v>45298</v>
      </c>
      <c r="B1500" s="2" t="s">
        <v>24</v>
      </c>
      <c r="C1500" s="2" t="s">
        <v>17</v>
      </c>
      <c r="D1500" s="2" t="s">
        <v>13</v>
      </c>
      <c r="E1500">
        <v>177.07</v>
      </c>
      <c r="F1500">
        <v>38.43</v>
      </c>
      <c r="G1500">
        <v>1</v>
      </c>
      <c r="H1500">
        <f t="shared" si="23"/>
        <v>61207.979999999989</v>
      </c>
      <c r="I1500" t="str">
        <f>IF(Sheet1[[#This Row],[Month_Revenue]] &lt; AVERAGE(Sheet1[Month_Revenue]), "Off-Peak", "Peak")</f>
        <v>Peak</v>
      </c>
      <c r="J1500">
        <f xml:space="preserve"> IF(Sheet1[[#This Row],[Ad Spend]] &gt; 0, (Sheet1[[#This Row],[Profit]] / Sheet1[[#This Row],[Ad Spend]]), 0)</f>
        <v>3.6075982305490499</v>
      </c>
      <c r="K1500">
        <f>Sheet1[[#This Row],[Revenue]]-Sheet1[[#This Row],[Ad Spend]]</f>
        <v>138.63999999999999</v>
      </c>
      <c r="L1500" s="2" t="s">
        <v>14</v>
      </c>
      <c r="M1500">
        <v>1</v>
      </c>
      <c r="N1500" s="2" t="s">
        <v>15</v>
      </c>
      <c r="O1500">
        <v>177.07</v>
      </c>
    </row>
    <row r="1501" spans="1:15" x14ac:dyDescent="0.3">
      <c r="A1501" s="1">
        <v>45409</v>
      </c>
      <c r="B1501" s="2" t="s">
        <v>23</v>
      </c>
      <c r="C1501" s="2" t="s">
        <v>21</v>
      </c>
      <c r="D1501" s="2" t="s">
        <v>13</v>
      </c>
      <c r="E1501">
        <v>73.94</v>
      </c>
      <c r="F1501">
        <v>35.270000000000003</v>
      </c>
      <c r="G1501">
        <v>3</v>
      </c>
      <c r="H1501">
        <f t="shared" si="23"/>
        <v>58562.910000000018</v>
      </c>
      <c r="I1501" t="str">
        <f>IF(Sheet1[[#This Row],[Month_Revenue]] &lt; AVERAGE(Sheet1[Month_Revenue]), "Off-Peak", "Peak")</f>
        <v>Peak</v>
      </c>
      <c r="J1501">
        <f xml:space="preserve"> IF(Sheet1[[#This Row],[Ad Spend]] &gt; 0, (Sheet1[[#This Row],[Profit]] / Sheet1[[#This Row],[Ad Spend]]), 0)</f>
        <v>1.0963992061241845</v>
      </c>
      <c r="K1501">
        <f>Sheet1[[#This Row],[Revenue]]-Sheet1[[#This Row],[Ad Spend]]</f>
        <v>38.669999999999995</v>
      </c>
      <c r="L1501" s="2" t="s">
        <v>22</v>
      </c>
      <c r="M1501">
        <v>4</v>
      </c>
      <c r="N1501" s="2" t="s">
        <v>19</v>
      </c>
      <c r="O1501">
        <v>24.646666666666665</v>
      </c>
    </row>
    <row r="1502" spans="1:15" x14ac:dyDescent="0.3">
      <c r="A1502" s="1">
        <v>45366</v>
      </c>
      <c r="B1502" s="2" t="s">
        <v>11</v>
      </c>
      <c r="C1502" s="2" t="s">
        <v>12</v>
      </c>
      <c r="D1502" s="2" t="s">
        <v>13</v>
      </c>
      <c r="E1502">
        <v>28.02</v>
      </c>
      <c r="F1502">
        <v>49.72</v>
      </c>
      <c r="G1502">
        <v>0</v>
      </c>
      <c r="H1502">
        <f t="shared" si="23"/>
        <v>54735.250000000029</v>
      </c>
      <c r="I1502" t="str">
        <f>IF(Sheet1[[#This Row],[Month_Revenue]] &lt; AVERAGE(Sheet1[Month_Revenue]), "Off-Peak", "Peak")</f>
        <v>Off-Peak</v>
      </c>
      <c r="J1502">
        <f xml:space="preserve"> IF(Sheet1[[#This Row],[Ad Spend]] &gt; 0, (Sheet1[[#This Row],[Profit]] / Sheet1[[#This Row],[Ad Spend]]), 0)</f>
        <v>-0.43644408688656477</v>
      </c>
      <c r="K1502">
        <f>Sheet1[[#This Row],[Revenue]]-Sheet1[[#This Row],[Ad Spend]]</f>
        <v>-21.7</v>
      </c>
      <c r="L1502" s="2" t="s">
        <v>22</v>
      </c>
      <c r="M1502">
        <v>3</v>
      </c>
      <c r="N1502" s="2" t="s">
        <v>19</v>
      </c>
      <c r="O1502">
        <v>0</v>
      </c>
    </row>
    <row r="1503" spans="1:15" x14ac:dyDescent="0.3">
      <c r="A1503" s="1">
        <v>45356</v>
      </c>
      <c r="B1503" s="2" t="s">
        <v>23</v>
      </c>
      <c r="C1503" s="2" t="s">
        <v>21</v>
      </c>
      <c r="D1503" s="2" t="s">
        <v>18</v>
      </c>
      <c r="E1503">
        <v>77.760000000000005</v>
      </c>
      <c r="F1503">
        <v>31.57</v>
      </c>
      <c r="G1503">
        <v>3</v>
      </c>
      <c r="H1503">
        <f t="shared" si="23"/>
        <v>54735.250000000029</v>
      </c>
      <c r="I1503" t="str">
        <f>IF(Sheet1[[#This Row],[Month_Revenue]] &lt; AVERAGE(Sheet1[Month_Revenue]), "Off-Peak", "Peak")</f>
        <v>Off-Peak</v>
      </c>
      <c r="J1503">
        <f xml:space="preserve"> IF(Sheet1[[#This Row],[Ad Spend]] &gt; 0, (Sheet1[[#This Row],[Profit]] / Sheet1[[#This Row],[Ad Spend]]), 0)</f>
        <v>1.4630978777320243</v>
      </c>
      <c r="K1503">
        <f>Sheet1[[#This Row],[Revenue]]-Sheet1[[#This Row],[Ad Spend]]</f>
        <v>46.190000000000005</v>
      </c>
      <c r="L1503" s="2" t="s">
        <v>14</v>
      </c>
      <c r="M1503">
        <v>3</v>
      </c>
      <c r="N1503" s="2" t="s">
        <v>19</v>
      </c>
      <c r="O1503">
        <v>25.92</v>
      </c>
    </row>
    <row r="1504" spans="1:15" x14ac:dyDescent="0.3">
      <c r="A1504" s="1">
        <v>45356</v>
      </c>
      <c r="B1504" s="2" t="s">
        <v>23</v>
      </c>
      <c r="C1504" s="2" t="s">
        <v>12</v>
      </c>
      <c r="D1504" s="2" t="s">
        <v>18</v>
      </c>
      <c r="E1504">
        <v>126.45</v>
      </c>
      <c r="F1504">
        <v>49.76</v>
      </c>
      <c r="G1504">
        <v>1</v>
      </c>
      <c r="H1504">
        <f t="shared" si="23"/>
        <v>54735.250000000029</v>
      </c>
      <c r="I1504" t="str">
        <f>IF(Sheet1[[#This Row],[Month_Revenue]] &lt; AVERAGE(Sheet1[Month_Revenue]), "Off-Peak", "Peak")</f>
        <v>Off-Peak</v>
      </c>
      <c r="J1504">
        <f xml:space="preserve"> IF(Sheet1[[#This Row],[Ad Spend]] &gt; 0, (Sheet1[[#This Row],[Profit]] / Sheet1[[#This Row],[Ad Spend]]), 0)</f>
        <v>1.5411977491961415</v>
      </c>
      <c r="K1504">
        <f>Sheet1[[#This Row],[Revenue]]-Sheet1[[#This Row],[Ad Spend]]</f>
        <v>76.69</v>
      </c>
      <c r="L1504" s="2" t="s">
        <v>14</v>
      </c>
      <c r="M1504">
        <v>3</v>
      </c>
      <c r="N1504" s="2" t="s">
        <v>19</v>
      </c>
      <c r="O1504">
        <v>126.45</v>
      </c>
    </row>
    <row r="1505" spans="1:15" x14ac:dyDescent="0.3">
      <c r="A1505" s="1">
        <v>45353</v>
      </c>
      <c r="B1505" s="2" t="s">
        <v>24</v>
      </c>
      <c r="C1505" s="2" t="s">
        <v>17</v>
      </c>
      <c r="D1505" s="2" t="s">
        <v>18</v>
      </c>
      <c r="E1505">
        <v>92.15</v>
      </c>
      <c r="F1505">
        <v>7.45</v>
      </c>
      <c r="G1505">
        <v>0</v>
      </c>
      <c r="H1505">
        <f t="shared" si="23"/>
        <v>54735.250000000029</v>
      </c>
      <c r="I1505" t="str">
        <f>IF(Sheet1[[#This Row],[Month_Revenue]] &lt; AVERAGE(Sheet1[Month_Revenue]), "Off-Peak", "Peak")</f>
        <v>Off-Peak</v>
      </c>
      <c r="J1505">
        <f xml:space="preserve"> IF(Sheet1[[#This Row],[Ad Spend]] &gt; 0, (Sheet1[[#This Row],[Profit]] / Sheet1[[#This Row],[Ad Spend]]), 0)</f>
        <v>11.369127516778523</v>
      </c>
      <c r="K1505">
        <f>Sheet1[[#This Row],[Revenue]]-Sheet1[[#This Row],[Ad Spend]]</f>
        <v>84.7</v>
      </c>
      <c r="L1505" s="2" t="s">
        <v>22</v>
      </c>
      <c r="M1505">
        <v>3</v>
      </c>
      <c r="N1505" s="2" t="s">
        <v>19</v>
      </c>
      <c r="O1505">
        <v>0</v>
      </c>
    </row>
    <row r="1506" spans="1:15" x14ac:dyDescent="0.3">
      <c r="A1506" s="1">
        <v>45379</v>
      </c>
      <c r="B1506" s="2" t="s">
        <v>24</v>
      </c>
      <c r="C1506" s="2" t="s">
        <v>12</v>
      </c>
      <c r="D1506" s="2" t="s">
        <v>18</v>
      </c>
      <c r="E1506">
        <v>173</v>
      </c>
      <c r="F1506">
        <v>41.11</v>
      </c>
      <c r="G1506">
        <v>1</v>
      </c>
      <c r="H1506">
        <f t="shared" si="23"/>
        <v>54735.250000000029</v>
      </c>
      <c r="I1506" t="str">
        <f>IF(Sheet1[[#This Row],[Month_Revenue]] &lt; AVERAGE(Sheet1[Month_Revenue]), "Off-Peak", "Peak")</f>
        <v>Off-Peak</v>
      </c>
      <c r="J1506">
        <f xml:space="preserve"> IF(Sheet1[[#This Row],[Ad Spend]] &gt; 0, (Sheet1[[#This Row],[Profit]] / Sheet1[[#This Row],[Ad Spend]]), 0)</f>
        <v>3.2082218438336167</v>
      </c>
      <c r="K1506">
        <f>Sheet1[[#This Row],[Revenue]]-Sheet1[[#This Row],[Ad Spend]]</f>
        <v>131.88999999999999</v>
      </c>
      <c r="L1506" s="2" t="s">
        <v>14</v>
      </c>
      <c r="M1506">
        <v>3</v>
      </c>
      <c r="N1506" s="2" t="s">
        <v>19</v>
      </c>
      <c r="O1506">
        <v>173</v>
      </c>
    </row>
    <row r="1507" spans="1:15" x14ac:dyDescent="0.3">
      <c r="A1507" s="1">
        <v>45361</v>
      </c>
      <c r="B1507" s="2" t="s">
        <v>23</v>
      </c>
      <c r="C1507" s="2" t="s">
        <v>12</v>
      </c>
      <c r="D1507" s="2" t="s">
        <v>13</v>
      </c>
      <c r="E1507">
        <v>186.06</v>
      </c>
      <c r="F1507">
        <v>7.46</v>
      </c>
      <c r="G1507">
        <v>3</v>
      </c>
      <c r="H1507">
        <f t="shared" si="23"/>
        <v>54735.250000000029</v>
      </c>
      <c r="I1507" t="str">
        <f>IF(Sheet1[[#This Row],[Month_Revenue]] &lt; AVERAGE(Sheet1[Month_Revenue]), "Off-Peak", "Peak")</f>
        <v>Off-Peak</v>
      </c>
      <c r="J1507">
        <f xml:space="preserve"> IF(Sheet1[[#This Row],[Ad Spend]] &gt; 0, (Sheet1[[#This Row],[Profit]] / Sheet1[[#This Row],[Ad Spend]]), 0)</f>
        <v>23.941018766756031</v>
      </c>
      <c r="K1507">
        <f>Sheet1[[#This Row],[Revenue]]-Sheet1[[#This Row],[Ad Spend]]</f>
        <v>178.6</v>
      </c>
      <c r="L1507" s="2" t="s">
        <v>14</v>
      </c>
      <c r="M1507">
        <v>3</v>
      </c>
      <c r="N1507" s="2" t="s">
        <v>19</v>
      </c>
      <c r="O1507">
        <v>62.02</v>
      </c>
    </row>
    <row r="1508" spans="1:15" x14ac:dyDescent="0.3">
      <c r="A1508" s="1">
        <v>45299</v>
      </c>
      <c r="B1508" s="2" t="s">
        <v>16</v>
      </c>
      <c r="C1508" s="2" t="s">
        <v>12</v>
      </c>
      <c r="D1508" s="2" t="s">
        <v>13</v>
      </c>
      <c r="E1508">
        <v>105.25</v>
      </c>
      <c r="F1508">
        <v>4.79</v>
      </c>
      <c r="G1508">
        <v>2</v>
      </c>
      <c r="H1508">
        <f t="shared" si="23"/>
        <v>61207.979999999989</v>
      </c>
      <c r="I1508" t="str">
        <f>IF(Sheet1[[#This Row],[Month_Revenue]] &lt; AVERAGE(Sheet1[Month_Revenue]), "Off-Peak", "Peak")</f>
        <v>Peak</v>
      </c>
      <c r="J1508">
        <f xml:space="preserve"> IF(Sheet1[[#This Row],[Ad Spend]] &gt; 0, (Sheet1[[#This Row],[Profit]] / Sheet1[[#This Row],[Ad Spend]]), 0)</f>
        <v>20.972860125260958</v>
      </c>
      <c r="K1508">
        <f>Sheet1[[#This Row],[Revenue]]-Sheet1[[#This Row],[Ad Spend]]</f>
        <v>100.46</v>
      </c>
      <c r="L1508" s="2" t="s">
        <v>14</v>
      </c>
      <c r="M1508">
        <v>1</v>
      </c>
      <c r="N1508" s="2" t="s">
        <v>15</v>
      </c>
      <c r="O1508">
        <v>52.625</v>
      </c>
    </row>
    <row r="1509" spans="1:15" x14ac:dyDescent="0.3">
      <c r="A1509" s="1">
        <v>45371</v>
      </c>
      <c r="B1509" s="2" t="s">
        <v>20</v>
      </c>
      <c r="C1509" s="2" t="s">
        <v>12</v>
      </c>
      <c r="D1509" s="2" t="s">
        <v>13</v>
      </c>
      <c r="E1509">
        <v>108.35</v>
      </c>
      <c r="F1509">
        <v>22.78</v>
      </c>
      <c r="G1509">
        <v>3</v>
      </c>
      <c r="H1509">
        <f t="shared" si="23"/>
        <v>54735.250000000029</v>
      </c>
      <c r="I1509" t="str">
        <f>IF(Sheet1[[#This Row],[Month_Revenue]] &lt; AVERAGE(Sheet1[Month_Revenue]), "Off-Peak", "Peak")</f>
        <v>Off-Peak</v>
      </c>
      <c r="J1509">
        <f xml:space="preserve"> IF(Sheet1[[#This Row],[Ad Spend]] &gt; 0, (Sheet1[[#This Row],[Profit]] / Sheet1[[#This Row],[Ad Spend]]), 0)</f>
        <v>3.7563652326602277</v>
      </c>
      <c r="K1509">
        <f>Sheet1[[#This Row],[Revenue]]-Sheet1[[#This Row],[Ad Spend]]</f>
        <v>85.57</v>
      </c>
      <c r="L1509" s="2" t="s">
        <v>14</v>
      </c>
      <c r="M1509">
        <v>3</v>
      </c>
      <c r="N1509" s="2" t="s">
        <v>19</v>
      </c>
      <c r="O1509">
        <v>36.116666666666667</v>
      </c>
    </row>
    <row r="1510" spans="1:15" x14ac:dyDescent="0.3">
      <c r="A1510" s="1">
        <v>45309</v>
      </c>
      <c r="B1510" s="2" t="s">
        <v>24</v>
      </c>
      <c r="C1510" s="2" t="s">
        <v>21</v>
      </c>
      <c r="D1510" s="2" t="s">
        <v>13</v>
      </c>
      <c r="E1510">
        <v>107.12</v>
      </c>
      <c r="F1510">
        <v>24.5</v>
      </c>
      <c r="G1510">
        <v>0</v>
      </c>
      <c r="H1510">
        <f t="shared" si="23"/>
        <v>61207.979999999989</v>
      </c>
      <c r="I1510" t="str">
        <f>IF(Sheet1[[#This Row],[Month_Revenue]] &lt; AVERAGE(Sheet1[Month_Revenue]), "Off-Peak", "Peak")</f>
        <v>Peak</v>
      </c>
      <c r="J1510">
        <f xml:space="preserve"> IF(Sheet1[[#This Row],[Ad Spend]] &gt; 0, (Sheet1[[#This Row],[Profit]] / Sheet1[[#This Row],[Ad Spend]]), 0)</f>
        <v>3.3722448979591837</v>
      </c>
      <c r="K1510">
        <f>Sheet1[[#This Row],[Revenue]]-Sheet1[[#This Row],[Ad Spend]]</f>
        <v>82.62</v>
      </c>
      <c r="L1510" s="2" t="s">
        <v>22</v>
      </c>
      <c r="M1510">
        <v>1</v>
      </c>
      <c r="N1510" s="2" t="s">
        <v>15</v>
      </c>
      <c r="O1510">
        <v>0</v>
      </c>
    </row>
    <row r="1511" spans="1:15" x14ac:dyDescent="0.3">
      <c r="A1511" s="1">
        <v>45353</v>
      </c>
      <c r="B1511" s="2" t="s">
        <v>11</v>
      </c>
      <c r="C1511" s="2" t="s">
        <v>21</v>
      </c>
      <c r="D1511" s="2" t="s">
        <v>18</v>
      </c>
      <c r="E1511">
        <v>194.71</v>
      </c>
      <c r="F1511">
        <v>27.64</v>
      </c>
      <c r="G1511">
        <v>3</v>
      </c>
      <c r="H1511">
        <f t="shared" si="23"/>
        <v>54735.250000000029</v>
      </c>
      <c r="I1511" t="str">
        <f>IF(Sheet1[[#This Row],[Month_Revenue]] &lt; AVERAGE(Sheet1[Month_Revenue]), "Off-Peak", "Peak")</f>
        <v>Off-Peak</v>
      </c>
      <c r="J1511">
        <f xml:space="preserve"> IF(Sheet1[[#This Row],[Ad Spend]] &gt; 0, (Sheet1[[#This Row],[Profit]] / Sheet1[[#This Row],[Ad Spend]]), 0)</f>
        <v>6.0445007235890014</v>
      </c>
      <c r="K1511">
        <f>Sheet1[[#This Row],[Revenue]]-Sheet1[[#This Row],[Ad Spend]]</f>
        <v>167.07</v>
      </c>
      <c r="L1511" s="2" t="s">
        <v>22</v>
      </c>
      <c r="M1511">
        <v>3</v>
      </c>
      <c r="N1511" s="2" t="s">
        <v>19</v>
      </c>
      <c r="O1511">
        <v>64.903333333333336</v>
      </c>
    </row>
    <row r="1512" spans="1:15" x14ac:dyDescent="0.3">
      <c r="A1512" s="1">
        <v>45386</v>
      </c>
      <c r="B1512" s="2" t="s">
        <v>24</v>
      </c>
      <c r="C1512" s="2" t="s">
        <v>17</v>
      </c>
      <c r="D1512" s="2" t="s">
        <v>13</v>
      </c>
      <c r="E1512">
        <v>173.06</v>
      </c>
      <c r="F1512">
        <v>1.1100000000000001</v>
      </c>
      <c r="G1512">
        <v>3</v>
      </c>
      <c r="H1512">
        <f t="shared" si="23"/>
        <v>58562.910000000018</v>
      </c>
      <c r="I1512" t="str">
        <f>IF(Sheet1[[#This Row],[Month_Revenue]] &lt; AVERAGE(Sheet1[Month_Revenue]), "Off-Peak", "Peak")</f>
        <v>Peak</v>
      </c>
      <c r="J1512">
        <f xml:space="preserve"> IF(Sheet1[[#This Row],[Ad Spend]] &gt; 0, (Sheet1[[#This Row],[Profit]] / Sheet1[[#This Row],[Ad Spend]]), 0)</f>
        <v>154.90990990990989</v>
      </c>
      <c r="K1512">
        <f>Sheet1[[#This Row],[Revenue]]-Sheet1[[#This Row],[Ad Spend]]</f>
        <v>171.95</v>
      </c>
      <c r="L1512" s="2" t="s">
        <v>14</v>
      </c>
      <c r="M1512">
        <v>4</v>
      </c>
      <c r="N1512" s="2" t="s">
        <v>19</v>
      </c>
      <c r="O1512">
        <v>57.686666666666667</v>
      </c>
    </row>
    <row r="1513" spans="1:15" x14ac:dyDescent="0.3">
      <c r="A1513" s="1">
        <v>45351</v>
      </c>
      <c r="B1513" s="2" t="s">
        <v>23</v>
      </c>
      <c r="C1513" s="2" t="s">
        <v>17</v>
      </c>
      <c r="D1513" s="2" t="s">
        <v>13</v>
      </c>
      <c r="E1513">
        <v>86.23</v>
      </c>
      <c r="F1513">
        <v>48.62</v>
      </c>
      <c r="G1513">
        <v>3</v>
      </c>
      <c r="H1513">
        <f t="shared" si="23"/>
        <v>48675.899999999936</v>
      </c>
      <c r="I1513" t="str">
        <f>IF(Sheet1[[#This Row],[Month_Revenue]] &lt; AVERAGE(Sheet1[Month_Revenue]), "Off-Peak", "Peak")</f>
        <v>Off-Peak</v>
      </c>
      <c r="J1513">
        <f xml:space="preserve"> IF(Sheet1[[#This Row],[Ad Spend]] &gt; 0, (Sheet1[[#This Row],[Profit]] / Sheet1[[#This Row],[Ad Spend]]), 0)</f>
        <v>0.7735499794323325</v>
      </c>
      <c r="K1513">
        <f>Sheet1[[#This Row],[Revenue]]-Sheet1[[#This Row],[Ad Spend]]</f>
        <v>37.610000000000007</v>
      </c>
      <c r="L1513" s="2" t="s">
        <v>22</v>
      </c>
      <c r="M1513">
        <v>2</v>
      </c>
      <c r="N1513" s="2" t="s">
        <v>15</v>
      </c>
      <c r="O1513">
        <v>28.743333333333336</v>
      </c>
    </row>
    <row r="1514" spans="1:15" x14ac:dyDescent="0.3">
      <c r="A1514" s="1">
        <v>45331</v>
      </c>
      <c r="B1514" s="2" t="s">
        <v>16</v>
      </c>
      <c r="C1514" s="2" t="s">
        <v>21</v>
      </c>
      <c r="D1514" s="2" t="s">
        <v>18</v>
      </c>
      <c r="E1514">
        <v>58.62</v>
      </c>
      <c r="F1514">
        <v>7.21</v>
      </c>
      <c r="G1514">
        <v>2</v>
      </c>
      <c r="H1514">
        <f t="shared" si="23"/>
        <v>48675.899999999936</v>
      </c>
      <c r="I1514" t="str">
        <f>IF(Sheet1[[#This Row],[Month_Revenue]] &lt; AVERAGE(Sheet1[Month_Revenue]), "Off-Peak", "Peak")</f>
        <v>Off-Peak</v>
      </c>
      <c r="J1514">
        <f xml:space="preserve"> IF(Sheet1[[#This Row],[Ad Spend]] &gt; 0, (Sheet1[[#This Row],[Profit]] / Sheet1[[#This Row],[Ad Spend]]), 0)</f>
        <v>7.1303744798890429</v>
      </c>
      <c r="K1514">
        <f>Sheet1[[#This Row],[Revenue]]-Sheet1[[#This Row],[Ad Spend]]</f>
        <v>51.41</v>
      </c>
      <c r="L1514" s="2" t="s">
        <v>22</v>
      </c>
      <c r="M1514">
        <v>2</v>
      </c>
      <c r="N1514" s="2" t="s">
        <v>15</v>
      </c>
      <c r="O1514">
        <v>29.31</v>
      </c>
    </row>
    <row r="1515" spans="1:15" x14ac:dyDescent="0.3">
      <c r="A1515" s="1">
        <v>45339</v>
      </c>
      <c r="B1515" s="2" t="s">
        <v>23</v>
      </c>
      <c r="C1515" s="2" t="s">
        <v>12</v>
      </c>
      <c r="D1515" s="2" t="s">
        <v>13</v>
      </c>
      <c r="E1515">
        <v>143.77000000000001</v>
      </c>
      <c r="F1515">
        <v>11.87</v>
      </c>
      <c r="G1515">
        <v>1</v>
      </c>
      <c r="H1515">
        <f t="shared" si="23"/>
        <v>48675.899999999936</v>
      </c>
      <c r="I1515" t="str">
        <f>IF(Sheet1[[#This Row],[Month_Revenue]] &lt; AVERAGE(Sheet1[Month_Revenue]), "Off-Peak", "Peak")</f>
        <v>Off-Peak</v>
      </c>
      <c r="J1515">
        <f xml:space="preserve"> IF(Sheet1[[#This Row],[Ad Spend]] &gt; 0, (Sheet1[[#This Row],[Profit]] / Sheet1[[#This Row],[Ad Spend]]), 0)</f>
        <v>11.112047177759058</v>
      </c>
      <c r="K1515">
        <f>Sheet1[[#This Row],[Revenue]]-Sheet1[[#This Row],[Ad Spend]]</f>
        <v>131.9</v>
      </c>
      <c r="L1515" s="2" t="s">
        <v>22</v>
      </c>
      <c r="M1515">
        <v>2</v>
      </c>
      <c r="N1515" s="2" t="s">
        <v>15</v>
      </c>
      <c r="O1515">
        <v>143.77000000000001</v>
      </c>
    </row>
    <row r="1516" spans="1:15" x14ac:dyDescent="0.3">
      <c r="A1516" s="1">
        <v>45402</v>
      </c>
      <c r="B1516" s="2" t="s">
        <v>23</v>
      </c>
      <c r="C1516" s="2" t="s">
        <v>21</v>
      </c>
      <c r="D1516" s="2" t="s">
        <v>13</v>
      </c>
      <c r="E1516">
        <v>112.76</v>
      </c>
      <c r="F1516">
        <v>36.6</v>
      </c>
      <c r="G1516">
        <v>3</v>
      </c>
      <c r="H1516">
        <f t="shared" si="23"/>
        <v>58562.910000000018</v>
      </c>
      <c r="I1516" t="str">
        <f>IF(Sheet1[[#This Row],[Month_Revenue]] &lt; AVERAGE(Sheet1[Month_Revenue]), "Off-Peak", "Peak")</f>
        <v>Peak</v>
      </c>
      <c r="J1516">
        <f xml:space="preserve"> IF(Sheet1[[#This Row],[Ad Spend]] &gt; 0, (Sheet1[[#This Row],[Profit]] / Sheet1[[#This Row],[Ad Spend]]), 0)</f>
        <v>2.0808743169398904</v>
      </c>
      <c r="K1516">
        <f>Sheet1[[#This Row],[Revenue]]-Sheet1[[#This Row],[Ad Spend]]</f>
        <v>76.16</v>
      </c>
      <c r="L1516" s="2" t="s">
        <v>22</v>
      </c>
      <c r="M1516">
        <v>4</v>
      </c>
      <c r="N1516" s="2" t="s">
        <v>19</v>
      </c>
      <c r="O1516">
        <v>37.586666666666666</v>
      </c>
    </row>
    <row r="1517" spans="1:15" x14ac:dyDescent="0.3">
      <c r="A1517" s="1">
        <v>45351</v>
      </c>
      <c r="B1517" s="2" t="s">
        <v>16</v>
      </c>
      <c r="C1517" s="2" t="s">
        <v>12</v>
      </c>
      <c r="D1517" s="2" t="s">
        <v>13</v>
      </c>
      <c r="E1517">
        <v>155.63</v>
      </c>
      <c r="F1517">
        <v>23.29</v>
      </c>
      <c r="G1517">
        <v>2</v>
      </c>
      <c r="H1517">
        <f t="shared" si="23"/>
        <v>48675.899999999936</v>
      </c>
      <c r="I1517" t="str">
        <f>IF(Sheet1[[#This Row],[Month_Revenue]] &lt; AVERAGE(Sheet1[Month_Revenue]), "Off-Peak", "Peak")</f>
        <v>Off-Peak</v>
      </c>
      <c r="J1517">
        <f xml:space="preserve"> IF(Sheet1[[#This Row],[Ad Spend]] &gt; 0, (Sheet1[[#This Row],[Profit]] / Sheet1[[#This Row],[Ad Spend]]), 0)</f>
        <v>5.6822670674109066</v>
      </c>
      <c r="K1517">
        <f>Sheet1[[#This Row],[Revenue]]-Sheet1[[#This Row],[Ad Spend]]</f>
        <v>132.34</v>
      </c>
      <c r="L1517" s="2" t="s">
        <v>14</v>
      </c>
      <c r="M1517">
        <v>2</v>
      </c>
      <c r="N1517" s="2" t="s">
        <v>15</v>
      </c>
      <c r="O1517">
        <v>77.814999999999998</v>
      </c>
    </row>
    <row r="1518" spans="1:15" x14ac:dyDescent="0.3">
      <c r="A1518" s="1">
        <v>45304</v>
      </c>
      <c r="B1518" s="2" t="s">
        <v>11</v>
      </c>
      <c r="C1518" s="2" t="s">
        <v>17</v>
      </c>
      <c r="D1518" s="2" t="s">
        <v>18</v>
      </c>
      <c r="E1518">
        <v>116.78</v>
      </c>
      <c r="F1518">
        <v>3.98</v>
      </c>
      <c r="G1518">
        <v>0</v>
      </c>
      <c r="H1518">
        <f t="shared" si="23"/>
        <v>61207.979999999989</v>
      </c>
      <c r="I1518" t="str">
        <f>IF(Sheet1[[#This Row],[Month_Revenue]] &lt; AVERAGE(Sheet1[Month_Revenue]), "Off-Peak", "Peak")</f>
        <v>Peak</v>
      </c>
      <c r="J1518">
        <f xml:space="preserve"> IF(Sheet1[[#This Row],[Ad Spend]] &gt; 0, (Sheet1[[#This Row],[Profit]] / Sheet1[[#This Row],[Ad Spend]]), 0)</f>
        <v>28.341708542713569</v>
      </c>
      <c r="K1518">
        <f>Sheet1[[#This Row],[Revenue]]-Sheet1[[#This Row],[Ad Spend]]</f>
        <v>112.8</v>
      </c>
      <c r="L1518" s="2" t="s">
        <v>22</v>
      </c>
      <c r="M1518">
        <v>1</v>
      </c>
      <c r="N1518" s="2" t="s">
        <v>15</v>
      </c>
      <c r="O1518">
        <v>0</v>
      </c>
    </row>
    <row r="1519" spans="1:15" x14ac:dyDescent="0.3">
      <c r="A1519" s="1">
        <v>45382</v>
      </c>
      <c r="B1519" s="2" t="s">
        <v>11</v>
      </c>
      <c r="C1519" s="2" t="s">
        <v>21</v>
      </c>
      <c r="D1519" s="2" t="s">
        <v>13</v>
      </c>
      <c r="E1519">
        <v>117.32</v>
      </c>
      <c r="F1519">
        <v>19.84</v>
      </c>
      <c r="G1519">
        <v>2</v>
      </c>
      <c r="H1519">
        <f t="shared" si="23"/>
        <v>54735.250000000029</v>
      </c>
      <c r="I1519" t="str">
        <f>IF(Sheet1[[#This Row],[Month_Revenue]] &lt; AVERAGE(Sheet1[Month_Revenue]), "Off-Peak", "Peak")</f>
        <v>Off-Peak</v>
      </c>
      <c r="J1519">
        <f xml:space="preserve"> IF(Sheet1[[#This Row],[Ad Spend]] &gt; 0, (Sheet1[[#This Row],[Profit]] / Sheet1[[#This Row],[Ad Spend]]), 0)</f>
        <v>4.913306451612903</v>
      </c>
      <c r="K1519">
        <f>Sheet1[[#This Row],[Revenue]]-Sheet1[[#This Row],[Ad Spend]]</f>
        <v>97.47999999999999</v>
      </c>
      <c r="L1519" s="2" t="s">
        <v>22</v>
      </c>
      <c r="M1519">
        <v>3</v>
      </c>
      <c r="N1519" s="2" t="s">
        <v>19</v>
      </c>
      <c r="O1519">
        <v>58.66</v>
      </c>
    </row>
    <row r="1520" spans="1:15" x14ac:dyDescent="0.3">
      <c r="A1520" s="1">
        <v>45370</v>
      </c>
      <c r="B1520" s="2" t="s">
        <v>20</v>
      </c>
      <c r="C1520" s="2" t="s">
        <v>17</v>
      </c>
      <c r="D1520" s="2" t="s">
        <v>13</v>
      </c>
      <c r="E1520">
        <v>102.09</v>
      </c>
      <c r="F1520">
        <v>8.06</v>
      </c>
      <c r="G1520">
        <v>0</v>
      </c>
      <c r="H1520">
        <f t="shared" si="23"/>
        <v>54735.250000000029</v>
      </c>
      <c r="I1520" t="str">
        <f>IF(Sheet1[[#This Row],[Month_Revenue]] &lt; AVERAGE(Sheet1[Month_Revenue]), "Off-Peak", "Peak")</f>
        <v>Off-Peak</v>
      </c>
      <c r="J1520">
        <f xml:space="preserve"> IF(Sheet1[[#This Row],[Ad Spend]] &gt; 0, (Sheet1[[#This Row],[Profit]] / Sheet1[[#This Row],[Ad Spend]]), 0)</f>
        <v>11.666253101736972</v>
      </c>
      <c r="K1520">
        <f>Sheet1[[#This Row],[Revenue]]-Sheet1[[#This Row],[Ad Spend]]</f>
        <v>94.03</v>
      </c>
      <c r="L1520" s="2" t="s">
        <v>14</v>
      </c>
      <c r="M1520">
        <v>3</v>
      </c>
      <c r="N1520" s="2" t="s">
        <v>19</v>
      </c>
      <c r="O1520">
        <v>0</v>
      </c>
    </row>
    <row r="1521" spans="1:15" x14ac:dyDescent="0.3">
      <c r="A1521" s="1">
        <v>45337</v>
      </c>
      <c r="B1521" s="2" t="s">
        <v>20</v>
      </c>
      <c r="C1521" s="2" t="s">
        <v>21</v>
      </c>
      <c r="D1521" s="2" t="s">
        <v>18</v>
      </c>
      <c r="E1521">
        <v>177.08</v>
      </c>
      <c r="F1521">
        <v>9.4499999999999993</v>
      </c>
      <c r="G1521">
        <v>1</v>
      </c>
      <c r="H1521">
        <f t="shared" si="23"/>
        <v>48675.899999999936</v>
      </c>
      <c r="I1521" t="str">
        <f>IF(Sheet1[[#This Row],[Month_Revenue]] &lt; AVERAGE(Sheet1[Month_Revenue]), "Off-Peak", "Peak")</f>
        <v>Off-Peak</v>
      </c>
      <c r="J1521">
        <f xml:space="preserve"> IF(Sheet1[[#This Row],[Ad Spend]] &gt; 0, (Sheet1[[#This Row],[Profit]] / Sheet1[[#This Row],[Ad Spend]]), 0)</f>
        <v>17.738624338624341</v>
      </c>
      <c r="K1521">
        <f>Sheet1[[#This Row],[Revenue]]-Sheet1[[#This Row],[Ad Spend]]</f>
        <v>167.63000000000002</v>
      </c>
      <c r="L1521" s="2" t="s">
        <v>22</v>
      </c>
      <c r="M1521">
        <v>2</v>
      </c>
      <c r="N1521" s="2" t="s">
        <v>15</v>
      </c>
      <c r="O1521">
        <v>177.08</v>
      </c>
    </row>
    <row r="1522" spans="1:15" x14ac:dyDescent="0.3">
      <c r="A1522" s="1">
        <v>45411</v>
      </c>
      <c r="B1522" s="2" t="s">
        <v>24</v>
      </c>
      <c r="C1522" s="2" t="s">
        <v>21</v>
      </c>
      <c r="D1522" s="2" t="s">
        <v>13</v>
      </c>
      <c r="E1522">
        <v>199.44</v>
      </c>
      <c r="F1522">
        <v>46.19</v>
      </c>
      <c r="G1522">
        <v>0</v>
      </c>
      <c r="H1522">
        <f t="shared" si="23"/>
        <v>58562.910000000018</v>
      </c>
      <c r="I1522" t="str">
        <f>IF(Sheet1[[#This Row],[Month_Revenue]] &lt; AVERAGE(Sheet1[Month_Revenue]), "Off-Peak", "Peak")</f>
        <v>Peak</v>
      </c>
      <c r="J1522">
        <f xml:space="preserve"> IF(Sheet1[[#This Row],[Ad Spend]] &gt; 0, (Sheet1[[#This Row],[Profit]] / Sheet1[[#This Row],[Ad Spend]]), 0)</f>
        <v>3.3178177094609222</v>
      </c>
      <c r="K1522">
        <f>Sheet1[[#This Row],[Revenue]]-Sheet1[[#This Row],[Ad Spend]]</f>
        <v>153.25</v>
      </c>
      <c r="L1522" s="2" t="s">
        <v>22</v>
      </c>
      <c r="M1522">
        <v>4</v>
      </c>
      <c r="N1522" s="2" t="s">
        <v>19</v>
      </c>
      <c r="O1522">
        <v>0</v>
      </c>
    </row>
    <row r="1523" spans="1:15" x14ac:dyDescent="0.3">
      <c r="A1523" s="1">
        <v>45411</v>
      </c>
      <c r="B1523" s="2" t="s">
        <v>16</v>
      </c>
      <c r="C1523" s="2" t="s">
        <v>12</v>
      </c>
      <c r="D1523" s="2" t="s">
        <v>18</v>
      </c>
      <c r="E1523">
        <v>178.35</v>
      </c>
      <c r="F1523">
        <v>36.450000000000003</v>
      </c>
      <c r="G1523">
        <v>3</v>
      </c>
      <c r="H1523">
        <f t="shared" si="23"/>
        <v>58562.910000000018</v>
      </c>
      <c r="I1523" t="str">
        <f>IF(Sheet1[[#This Row],[Month_Revenue]] &lt; AVERAGE(Sheet1[Month_Revenue]), "Off-Peak", "Peak")</f>
        <v>Peak</v>
      </c>
      <c r="J1523">
        <f xml:space="preserve"> IF(Sheet1[[#This Row],[Ad Spend]] &gt; 0, (Sheet1[[#This Row],[Profit]] / Sheet1[[#This Row],[Ad Spend]]), 0)</f>
        <v>3.8930041152263364</v>
      </c>
      <c r="K1523">
        <f>Sheet1[[#This Row],[Revenue]]-Sheet1[[#This Row],[Ad Spend]]</f>
        <v>141.89999999999998</v>
      </c>
      <c r="L1523" s="2" t="s">
        <v>22</v>
      </c>
      <c r="M1523">
        <v>4</v>
      </c>
      <c r="N1523" s="2" t="s">
        <v>19</v>
      </c>
      <c r="O1523">
        <v>59.449999999999996</v>
      </c>
    </row>
    <row r="1524" spans="1:15" x14ac:dyDescent="0.3">
      <c r="A1524" s="1">
        <v>45336</v>
      </c>
      <c r="B1524" s="2" t="s">
        <v>23</v>
      </c>
      <c r="C1524" s="2" t="s">
        <v>21</v>
      </c>
      <c r="D1524" s="2" t="s">
        <v>18</v>
      </c>
      <c r="E1524">
        <v>159.11000000000001</v>
      </c>
      <c r="F1524">
        <v>3.58</v>
      </c>
      <c r="G1524">
        <v>0</v>
      </c>
      <c r="H1524">
        <f t="shared" si="23"/>
        <v>48675.899999999936</v>
      </c>
      <c r="I1524" t="str">
        <f>IF(Sheet1[[#This Row],[Month_Revenue]] &lt; AVERAGE(Sheet1[Month_Revenue]), "Off-Peak", "Peak")</f>
        <v>Off-Peak</v>
      </c>
      <c r="J1524">
        <f xml:space="preserve"> IF(Sheet1[[#This Row],[Ad Spend]] &gt; 0, (Sheet1[[#This Row],[Profit]] / Sheet1[[#This Row],[Ad Spend]]), 0)</f>
        <v>43.444134078212286</v>
      </c>
      <c r="K1524">
        <f>Sheet1[[#This Row],[Revenue]]-Sheet1[[#This Row],[Ad Spend]]</f>
        <v>155.53</v>
      </c>
      <c r="L1524" s="2" t="s">
        <v>14</v>
      </c>
      <c r="M1524">
        <v>2</v>
      </c>
      <c r="N1524" s="2" t="s">
        <v>15</v>
      </c>
      <c r="O1524">
        <v>0</v>
      </c>
    </row>
    <row r="1525" spans="1:15" x14ac:dyDescent="0.3">
      <c r="A1525" s="1">
        <v>45391</v>
      </c>
      <c r="B1525" s="2" t="s">
        <v>11</v>
      </c>
      <c r="C1525" s="2" t="s">
        <v>17</v>
      </c>
      <c r="D1525" s="2" t="s">
        <v>13</v>
      </c>
      <c r="E1525">
        <v>147.12</v>
      </c>
      <c r="F1525">
        <v>13.94</v>
      </c>
      <c r="G1525">
        <v>2</v>
      </c>
      <c r="H1525">
        <f t="shared" si="23"/>
        <v>58562.910000000018</v>
      </c>
      <c r="I1525" t="str">
        <f>IF(Sheet1[[#This Row],[Month_Revenue]] &lt; AVERAGE(Sheet1[Month_Revenue]), "Off-Peak", "Peak")</f>
        <v>Peak</v>
      </c>
      <c r="J1525">
        <f xml:space="preserve"> IF(Sheet1[[#This Row],[Ad Spend]] &gt; 0, (Sheet1[[#This Row],[Profit]] / Sheet1[[#This Row],[Ad Spend]]), 0)</f>
        <v>9.5538020086083222</v>
      </c>
      <c r="K1525">
        <f>Sheet1[[#This Row],[Revenue]]-Sheet1[[#This Row],[Ad Spend]]</f>
        <v>133.18</v>
      </c>
      <c r="L1525" s="2" t="s">
        <v>14</v>
      </c>
      <c r="M1525">
        <v>4</v>
      </c>
      <c r="N1525" s="2" t="s">
        <v>19</v>
      </c>
      <c r="O1525">
        <v>73.56</v>
      </c>
    </row>
    <row r="1526" spans="1:15" x14ac:dyDescent="0.3">
      <c r="A1526" s="1">
        <v>45332</v>
      </c>
      <c r="B1526" s="2" t="s">
        <v>20</v>
      </c>
      <c r="C1526" s="2" t="s">
        <v>12</v>
      </c>
      <c r="D1526" s="2" t="s">
        <v>18</v>
      </c>
      <c r="E1526">
        <v>128.46</v>
      </c>
      <c r="F1526">
        <v>34.5</v>
      </c>
      <c r="G1526">
        <v>3</v>
      </c>
      <c r="H1526">
        <f t="shared" si="23"/>
        <v>48675.899999999936</v>
      </c>
      <c r="I1526" t="str">
        <f>IF(Sheet1[[#This Row],[Month_Revenue]] &lt; AVERAGE(Sheet1[Month_Revenue]), "Off-Peak", "Peak")</f>
        <v>Off-Peak</v>
      </c>
      <c r="J1526">
        <f xml:space="preserve"> IF(Sheet1[[#This Row],[Ad Spend]] &gt; 0, (Sheet1[[#This Row],[Profit]] / Sheet1[[#This Row],[Ad Spend]]), 0)</f>
        <v>2.7234782608695656</v>
      </c>
      <c r="K1526">
        <f>Sheet1[[#This Row],[Revenue]]-Sheet1[[#This Row],[Ad Spend]]</f>
        <v>93.960000000000008</v>
      </c>
      <c r="L1526" s="2" t="s">
        <v>22</v>
      </c>
      <c r="M1526">
        <v>2</v>
      </c>
      <c r="N1526" s="2" t="s">
        <v>15</v>
      </c>
      <c r="O1526">
        <v>42.82</v>
      </c>
    </row>
    <row r="1527" spans="1:15" x14ac:dyDescent="0.3">
      <c r="A1527" s="1">
        <v>45339</v>
      </c>
      <c r="B1527" s="2" t="s">
        <v>23</v>
      </c>
      <c r="C1527" s="2" t="s">
        <v>21</v>
      </c>
      <c r="D1527" s="2" t="s">
        <v>18</v>
      </c>
      <c r="E1527">
        <v>143.87</v>
      </c>
      <c r="F1527">
        <v>4.46</v>
      </c>
      <c r="G1527">
        <v>2</v>
      </c>
      <c r="H1527">
        <f t="shared" si="23"/>
        <v>48675.899999999936</v>
      </c>
      <c r="I1527" t="str">
        <f>IF(Sheet1[[#This Row],[Month_Revenue]] &lt; AVERAGE(Sheet1[Month_Revenue]), "Off-Peak", "Peak")</f>
        <v>Off-Peak</v>
      </c>
      <c r="J1527">
        <f xml:space="preserve"> IF(Sheet1[[#This Row],[Ad Spend]] &gt; 0, (Sheet1[[#This Row],[Profit]] / Sheet1[[#This Row],[Ad Spend]]), 0)</f>
        <v>31.257847533632287</v>
      </c>
      <c r="K1527">
        <f>Sheet1[[#This Row],[Revenue]]-Sheet1[[#This Row],[Ad Spend]]</f>
        <v>139.41</v>
      </c>
      <c r="L1527" s="2" t="s">
        <v>22</v>
      </c>
      <c r="M1527">
        <v>2</v>
      </c>
      <c r="N1527" s="2" t="s">
        <v>15</v>
      </c>
      <c r="O1527">
        <v>71.935000000000002</v>
      </c>
    </row>
    <row r="1528" spans="1:15" x14ac:dyDescent="0.3">
      <c r="A1528" s="1">
        <v>45320</v>
      </c>
      <c r="B1528" s="2" t="s">
        <v>23</v>
      </c>
      <c r="C1528" s="2" t="s">
        <v>17</v>
      </c>
      <c r="D1528" s="2" t="s">
        <v>18</v>
      </c>
      <c r="E1528">
        <v>74.39</v>
      </c>
      <c r="F1528">
        <v>11.68</v>
      </c>
      <c r="G1528">
        <v>0</v>
      </c>
      <c r="H1528">
        <f t="shared" si="23"/>
        <v>61207.979999999989</v>
      </c>
      <c r="I1528" t="str">
        <f>IF(Sheet1[[#This Row],[Month_Revenue]] &lt; AVERAGE(Sheet1[Month_Revenue]), "Off-Peak", "Peak")</f>
        <v>Peak</v>
      </c>
      <c r="J1528">
        <f xml:space="preserve"> IF(Sheet1[[#This Row],[Ad Spend]] &gt; 0, (Sheet1[[#This Row],[Profit]] / Sheet1[[#This Row],[Ad Spend]]), 0)</f>
        <v>5.3690068493150687</v>
      </c>
      <c r="K1528">
        <f>Sheet1[[#This Row],[Revenue]]-Sheet1[[#This Row],[Ad Spend]]</f>
        <v>62.71</v>
      </c>
      <c r="L1528" s="2" t="s">
        <v>22</v>
      </c>
      <c r="M1528">
        <v>1</v>
      </c>
      <c r="N1528" s="2" t="s">
        <v>15</v>
      </c>
      <c r="O1528">
        <v>0</v>
      </c>
    </row>
    <row r="1529" spans="1:15" x14ac:dyDescent="0.3">
      <c r="A1529" s="1">
        <v>45388</v>
      </c>
      <c r="B1529" s="2" t="s">
        <v>24</v>
      </c>
      <c r="C1529" s="2" t="s">
        <v>17</v>
      </c>
      <c r="D1529" s="2" t="s">
        <v>18</v>
      </c>
      <c r="E1529">
        <v>163.09</v>
      </c>
      <c r="F1529">
        <v>48.01</v>
      </c>
      <c r="G1529">
        <v>2</v>
      </c>
      <c r="H1529">
        <f t="shared" si="23"/>
        <v>58562.910000000018</v>
      </c>
      <c r="I1529" t="str">
        <f>IF(Sheet1[[#This Row],[Month_Revenue]] &lt; AVERAGE(Sheet1[Month_Revenue]), "Off-Peak", "Peak")</f>
        <v>Peak</v>
      </c>
      <c r="J1529">
        <f xml:space="preserve"> IF(Sheet1[[#This Row],[Ad Spend]] &gt; 0, (Sheet1[[#This Row],[Profit]] / Sheet1[[#This Row],[Ad Spend]]), 0)</f>
        <v>2.3970006248698192</v>
      </c>
      <c r="K1529">
        <f>Sheet1[[#This Row],[Revenue]]-Sheet1[[#This Row],[Ad Spend]]</f>
        <v>115.08000000000001</v>
      </c>
      <c r="L1529" s="2" t="s">
        <v>22</v>
      </c>
      <c r="M1529">
        <v>4</v>
      </c>
      <c r="N1529" s="2" t="s">
        <v>19</v>
      </c>
      <c r="O1529">
        <v>81.545000000000002</v>
      </c>
    </row>
    <row r="1530" spans="1:15" x14ac:dyDescent="0.3">
      <c r="A1530" s="1">
        <v>45304</v>
      </c>
      <c r="B1530" s="2" t="s">
        <v>24</v>
      </c>
      <c r="C1530" s="2" t="s">
        <v>12</v>
      </c>
      <c r="D1530" s="2" t="s">
        <v>13</v>
      </c>
      <c r="E1530">
        <v>122.31</v>
      </c>
      <c r="F1530">
        <v>28.93</v>
      </c>
      <c r="G1530">
        <v>2</v>
      </c>
      <c r="H1530">
        <f t="shared" si="23"/>
        <v>61207.979999999989</v>
      </c>
      <c r="I1530" t="str">
        <f>IF(Sheet1[[#This Row],[Month_Revenue]] &lt; AVERAGE(Sheet1[Month_Revenue]), "Off-Peak", "Peak")</f>
        <v>Peak</v>
      </c>
      <c r="J1530">
        <f xml:space="preserve"> IF(Sheet1[[#This Row],[Ad Spend]] &gt; 0, (Sheet1[[#This Row],[Profit]] / Sheet1[[#This Row],[Ad Spend]]), 0)</f>
        <v>3.2277912201866572</v>
      </c>
      <c r="K1530">
        <f>Sheet1[[#This Row],[Revenue]]-Sheet1[[#This Row],[Ad Spend]]</f>
        <v>93.38</v>
      </c>
      <c r="L1530" s="2" t="s">
        <v>14</v>
      </c>
      <c r="M1530">
        <v>1</v>
      </c>
      <c r="N1530" s="2" t="s">
        <v>15</v>
      </c>
      <c r="O1530">
        <v>61.155000000000001</v>
      </c>
    </row>
    <row r="1531" spans="1:15" x14ac:dyDescent="0.3">
      <c r="A1531" s="1">
        <v>45321</v>
      </c>
      <c r="B1531" s="2" t="s">
        <v>20</v>
      </c>
      <c r="C1531" s="2" t="s">
        <v>12</v>
      </c>
      <c r="D1531" s="2" t="s">
        <v>13</v>
      </c>
      <c r="E1531">
        <v>178.67</v>
      </c>
      <c r="F1531">
        <v>32.82</v>
      </c>
      <c r="G1531">
        <v>0</v>
      </c>
      <c r="H1531">
        <f t="shared" si="23"/>
        <v>61207.979999999989</v>
      </c>
      <c r="I1531" t="str">
        <f>IF(Sheet1[[#This Row],[Month_Revenue]] &lt; AVERAGE(Sheet1[Month_Revenue]), "Off-Peak", "Peak")</f>
        <v>Peak</v>
      </c>
      <c r="J1531">
        <f xml:space="preserve"> IF(Sheet1[[#This Row],[Ad Spend]] &gt; 0, (Sheet1[[#This Row],[Profit]] / Sheet1[[#This Row],[Ad Spend]]), 0)</f>
        <v>4.4439366240097495</v>
      </c>
      <c r="K1531">
        <f>Sheet1[[#This Row],[Revenue]]-Sheet1[[#This Row],[Ad Spend]]</f>
        <v>145.85</v>
      </c>
      <c r="L1531" s="2" t="s">
        <v>22</v>
      </c>
      <c r="M1531">
        <v>1</v>
      </c>
      <c r="N1531" s="2" t="s">
        <v>15</v>
      </c>
      <c r="O1531">
        <v>0</v>
      </c>
    </row>
    <row r="1532" spans="1:15" x14ac:dyDescent="0.3">
      <c r="A1532" s="1">
        <v>45388</v>
      </c>
      <c r="B1532" s="2" t="s">
        <v>24</v>
      </c>
      <c r="C1532" s="2" t="s">
        <v>12</v>
      </c>
      <c r="D1532" s="2" t="s">
        <v>18</v>
      </c>
      <c r="E1532">
        <v>161.19999999999999</v>
      </c>
      <c r="F1532">
        <v>14.26</v>
      </c>
      <c r="G1532">
        <v>1</v>
      </c>
      <c r="H1532">
        <f t="shared" si="23"/>
        <v>58562.910000000018</v>
      </c>
      <c r="I1532" t="str">
        <f>IF(Sheet1[[#This Row],[Month_Revenue]] &lt; AVERAGE(Sheet1[Month_Revenue]), "Off-Peak", "Peak")</f>
        <v>Peak</v>
      </c>
      <c r="J1532">
        <f xml:space="preserve"> IF(Sheet1[[#This Row],[Ad Spend]] &gt; 0, (Sheet1[[#This Row],[Profit]] / Sheet1[[#This Row],[Ad Spend]]), 0)</f>
        <v>10.304347826086957</v>
      </c>
      <c r="K1532">
        <f>Sheet1[[#This Row],[Revenue]]-Sheet1[[#This Row],[Ad Spend]]</f>
        <v>146.94</v>
      </c>
      <c r="L1532" s="2" t="s">
        <v>22</v>
      </c>
      <c r="M1532">
        <v>4</v>
      </c>
      <c r="N1532" s="2" t="s">
        <v>19</v>
      </c>
      <c r="O1532">
        <v>161.19999999999999</v>
      </c>
    </row>
    <row r="1533" spans="1:15" x14ac:dyDescent="0.3">
      <c r="A1533" s="1">
        <v>45293</v>
      </c>
      <c r="B1533" s="2" t="s">
        <v>11</v>
      </c>
      <c r="C1533" s="2" t="s">
        <v>17</v>
      </c>
      <c r="D1533" s="2" t="s">
        <v>18</v>
      </c>
      <c r="E1533">
        <v>151.80000000000001</v>
      </c>
      <c r="F1533">
        <v>1.28</v>
      </c>
      <c r="G1533">
        <v>3</v>
      </c>
      <c r="H1533">
        <f t="shared" si="23"/>
        <v>61207.979999999989</v>
      </c>
      <c r="I1533" t="str">
        <f>IF(Sheet1[[#This Row],[Month_Revenue]] &lt; AVERAGE(Sheet1[Month_Revenue]), "Off-Peak", "Peak")</f>
        <v>Peak</v>
      </c>
      <c r="J1533">
        <f xml:space="preserve"> IF(Sheet1[[#This Row],[Ad Spend]] &gt; 0, (Sheet1[[#This Row],[Profit]] / Sheet1[[#This Row],[Ad Spend]]), 0)</f>
        <v>117.59375</v>
      </c>
      <c r="K1533">
        <f>Sheet1[[#This Row],[Revenue]]-Sheet1[[#This Row],[Ad Spend]]</f>
        <v>150.52000000000001</v>
      </c>
      <c r="L1533" s="2" t="s">
        <v>14</v>
      </c>
      <c r="M1533">
        <v>1</v>
      </c>
      <c r="N1533" s="2" t="s">
        <v>15</v>
      </c>
      <c r="O1533">
        <v>50.6</v>
      </c>
    </row>
    <row r="1534" spans="1:15" x14ac:dyDescent="0.3">
      <c r="A1534" s="1">
        <v>45375</v>
      </c>
      <c r="B1534" s="2" t="s">
        <v>24</v>
      </c>
      <c r="C1534" s="2" t="s">
        <v>17</v>
      </c>
      <c r="D1534" s="2" t="s">
        <v>18</v>
      </c>
      <c r="E1534">
        <v>52.98</v>
      </c>
      <c r="F1534">
        <v>25.89</v>
      </c>
      <c r="G1534">
        <v>1</v>
      </c>
      <c r="H1534">
        <f t="shared" si="23"/>
        <v>54735.250000000029</v>
      </c>
      <c r="I1534" t="str">
        <f>IF(Sheet1[[#This Row],[Month_Revenue]] &lt; AVERAGE(Sheet1[Month_Revenue]), "Off-Peak", "Peak")</f>
        <v>Off-Peak</v>
      </c>
      <c r="J1534">
        <f xml:space="preserve"> IF(Sheet1[[#This Row],[Ad Spend]] &gt; 0, (Sheet1[[#This Row],[Profit]] / Sheet1[[#This Row],[Ad Spend]]), 0)</f>
        <v>1.0463499420625721</v>
      </c>
      <c r="K1534">
        <f>Sheet1[[#This Row],[Revenue]]-Sheet1[[#This Row],[Ad Spend]]</f>
        <v>27.089999999999996</v>
      </c>
      <c r="L1534" s="2" t="s">
        <v>22</v>
      </c>
      <c r="M1534">
        <v>3</v>
      </c>
      <c r="N1534" s="2" t="s">
        <v>19</v>
      </c>
      <c r="O1534">
        <v>52.98</v>
      </c>
    </row>
    <row r="1535" spans="1:15" x14ac:dyDescent="0.3">
      <c r="A1535" s="1">
        <v>45326</v>
      </c>
      <c r="B1535" s="2" t="s">
        <v>11</v>
      </c>
      <c r="C1535" s="2" t="s">
        <v>21</v>
      </c>
      <c r="D1535" s="2" t="s">
        <v>18</v>
      </c>
      <c r="E1535">
        <v>127.77</v>
      </c>
      <c r="F1535">
        <v>44.37</v>
      </c>
      <c r="G1535">
        <v>1</v>
      </c>
      <c r="H1535">
        <f t="shared" si="23"/>
        <v>48675.899999999936</v>
      </c>
      <c r="I1535" t="str">
        <f>IF(Sheet1[[#This Row],[Month_Revenue]] &lt; AVERAGE(Sheet1[Month_Revenue]), "Off-Peak", "Peak")</f>
        <v>Off-Peak</v>
      </c>
      <c r="J1535">
        <f xml:space="preserve"> IF(Sheet1[[#This Row],[Ad Spend]] &gt; 0, (Sheet1[[#This Row],[Profit]] / Sheet1[[#This Row],[Ad Spend]]), 0)</f>
        <v>1.8796484110885736</v>
      </c>
      <c r="K1535">
        <f>Sheet1[[#This Row],[Revenue]]-Sheet1[[#This Row],[Ad Spend]]</f>
        <v>83.4</v>
      </c>
      <c r="L1535" s="2" t="s">
        <v>14</v>
      </c>
      <c r="M1535">
        <v>2</v>
      </c>
      <c r="N1535" s="2" t="s">
        <v>15</v>
      </c>
      <c r="O1535">
        <v>127.77</v>
      </c>
    </row>
    <row r="1536" spans="1:15" x14ac:dyDescent="0.3">
      <c r="A1536" s="1">
        <v>45403</v>
      </c>
      <c r="B1536" s="2" t="s">
        <v>11</v>
      </c>
      <c r="C1536" s="2" t="s">
        <v>12</v>
      </c>
      <c r="D1536" s="2" t="s">
        <v>18</v>
      </c>
      <c r="E1536">
        <v>109.36</v>
      </c>
      <c r="F1536">
        <v>45.33</v>
      </c>
      <c r="G1536">
        <v>1</v>
      </c>
      <c r="H1536">
        <f t="shared" si="23"/>
        <v>58562.910000000018</v>
      </c>
      <c r="I1536" t="str">
        <f>IF(Sheet1[[#This Row],[Month_Revenue]] &lt; AVERAGE(Sheet1[Month_Revenue]), "Off-Peak", "Peak")</f>
        <v>Peak</v>
      </c>
      <c r="J1536">
        <f xml:space="preserve"> IF(Sheet1[[#This Row],[Ad Spend]] &gt; 0, (Sheet1[[#This Row],[Profit]] / Sheet1[[#This Row],[Ad Spend]]), 0)</f>
        <v>1.412530333112729</v>
      </c>
      <c r="K1536">
        <f>Sheet1[[#This Row],[Revenue]]-Sheet1[[#This Row],[Ad Spend]]</f>
        <v>64.03</v>
      </c>
      <c r="L1536" s="2" t="s">
        <v>22</v>
      </c>
      <c r="M1536">
        <v>4</v>
      </c>
      <c r="N1536" s="2" t="s">
        <v>19</v>
      </c>
      <c r="O1536">
        <v>109.36</v>
      </c>
    </row>
    <row r="1537" spans="1:15" x14ac:dyDescent="0.3">
      <c r="A1537" s="1">
        <v>45314</v>
      </c>
      <c r="B1537" s="2" t="s">
        <v>16</v>
      </c>
      <c r="C1537" s="2" t="s">
        <v>17</v>
      </c>
      <c r="D1537" s="2" t="s">
        <v>18</v>
      </c>
      <c r="E1537">
        <v>59.19</v>
      </c>
      <c r="F1537">
        <v>23.97</v>
      </c>
      <c r="G1537">
        <v>3</v>
      </c>
      <c r="H1537">
        <f t="shared" si="23"/>
        <v>61207.979999999989</v>
      </c>
      <c r="I1537" t="str">
        <f>IF(Sheet1[[#This Row],[Month_Revenue]] &lt; AVERAGE(Sheet1[Month_Revenue]), "Off-Peak", "Peak")</f>
        <v>Peak</v>
      </c>
      <c r="J1537">
        <f xml:space="preserve"> IF(Sheet1[[#This Row],[Ad Spend]] &gt; 0, (Sheet1[[#This Row],[Profit]] / Sheet1[[#This Row],[Ad Spend]]), 0)</f>
        <v>1.4693366708385482</v>
      </c>
      <c r="K1537">
        <f>Sheet1[[#This Row],[Revenue]]-Sheet1[[#This Row],[Ad Spend]]</f>
        <v>35.22</v>
      </c>
      <c r="L1537" s="2" t="s">
        <v>14</v>
      </c>
      <c r="M1537">
        <v>1</v>
      </c>
      <c r="N1537" s="2" t="s">
        <v>15</v>
      </c>
      <c r="O1537">
        <v>19.73</v>
      </c>
    </row>
    <row r="1538" spans="1:15" x14ac:dyDescent="0.3">
      <c r="A1538" s="1">
        <v>45377</v>
      </c>
      <c r="B1538" s="2" t="s">
        <v>16</v>
      </c>
      <c r="C1538" s="2" t="s">
        <v>21</v>
      </c>
      <c r="D1538" s="2" t="s">
        <v>13</v>
      </c>
      <c r="E1538">
        <v>192.75</v>
      </c>
      <c r="F1538">
        <v>38.78</v>
      </c>
      <c r="G1538">
        <v>1</v>
      </c>
      <c r="H1538">
        <f t="shared" ref="H1538:H1601" si="24">SUMIFS($E$2:$E$2001, $M$2:$M$2001, M1538)</f>
        <v>54735.250000000029</v>
      </c>
      <c r="I1538" t="str">
        <f>IF(Sheet1[[#This Row],[Month_Revenue]] &lt; AVERAGE(Sheet1[Month_Revenue]), "Off-Peak", "Peak")</f>
        <v>Off-Peak</v>
      </c>
      <c r="J1538">
        <f xml:space="preserve"> IF(Sheet1[[#This Row],[Ad Spend]] &gt; 0, (Sheet1[[#This Row],[Profit]] / Sheet1[[#This Row],[Ad Spend]]), 0)</f>
        <v>3.9703455389375963</v>
      </c>
      <c r="K1538">
        <f>Sheet1[[#This Row],[Revenue]]-Sheet1[[#This Row],[Ad Spend]]</f>
        <v>153.97</v>
      </c>
      <c r="L1538" s="2" t="s">
        <v>14</v>
      </c>
      <c r="M1538">
        <v>3</v>
      </c>
      <c r="N1538" s="2" t="s">
        <v>19</v>
      </c>
      <c r="O1538">
        <v>192.75</v>
      </c>
    </row>
    <row r="1539" spans="1:15" x14ac:dyDescent="0.3">
      <c r="A1539" s="1">
        <v>45322</v>
      </c>
      <c r="B1539" s="2" t="s">
        <v>23</v>
      </c>
      <c r="C1539" s="2" t="s">
        <v>17</v>
      </c>
      <c r="D1539" s="2" t="s">
        <v>18</v>
      </c>
      <c r="E1539">
        <v>39.06</v>
      </c>
      <c r="F1539">
        <v>13.19</v>
      </c>
      <c r="G1539">
        <v>2</v>
      </c>
      <c r="H1539">
        <f t="shared" si="24"/>
        <v>61207.979999999989</v>
      </c>
      <c r="I1539" t="str">
        <f>IF(Sheet1[[#This Row],[Month_Revenue]] &lt; AVERAGE(Sheet1[Month_Revenue]), "Off-Peak", "Peak")</f>
        <v>Peak</v>
      </c>
      <c r="J1539">
        <f xml:space="preserve"> IF(Sheet1[[#This Row],[Ad Spend]] &gt; 0, (Sheet1[[#This Row],[Profit]] / Sheet1[[#This Row],[Ad Spend]]), 0)</f>
        <v>1.9613343442001521</v>
      </c>
      <c r="K1539">
        <f>Sheet1[[#This Row],[Revenue]]-Sheet1[[#This Row],[Ad Spend]]</f>
        <v>25.870000000000005</v>
      </c>
      <c r="L1539" s="2" t="s">
        <v>14</v>
      </c>
      <c r="M1539">
        <v>1</v>
      </c>
      <c r="N1539" s="2" t="s">
        <v>15</v>
      </c>
      <c r="O1539">
        <v>19.53</v>
      </c>
    </row>
    <row r="1540" spans="1:15" x14ac:dyDescent="0.3">
      <c r="A1540" s="1">
        <v>45383</v>
      </c>
      <c r="B1540" s="2" t="s">
        <v>23</v>
      </c>
      <c r="C1540" s="2" t="s">
        <v>12</v>
      </c>
      <c r="D1540" s="2" t="s">
        <v>18</v>
      </c>
      <c r="E1540">
        <v>171.65</v>
      </c>
      <c r="F1540">
        <v>20.5</v>
      </c>
      <c r="G1540">
        <v>3</v>
      </c>
      <c r="H1540">
        <f t="shared" si="24"/>
        <v>58562.910000000018</v>
      </c>
      <c r="I1540" t="str">
        <f>IF(Sheet1[[#This Row],[Month_Revenue]] &lt; AVERAGE(Sheet1[Month_Revenue]), "Off-Peak", "Peak")</f>
        <v>Peak</v>
      </c>
      <c r="J1540">
        <f xml:space="preserve"> IF(Sheet1[[#This Row],[Ad Spend]] &gt; 0, (Sheet1[[#This Row],[Profit]] / Sheet1[[#This Row],[Ad Spend]]), 0)</f>
        <v>7.373170731707317</v>
      </c>
      <c r="K1540">
        <f>Sheet1[[#This Row],[Revenue]]-Sheet1[[#This Row],[Ad Spend]]</f>
        <v>151.15</v>
      </c>
      <c r="L1540" s="2" t="s">
        <v>14</v>
      </c>
      <c r="M1540">
        <v>4</v>
      </c>
      <c r="N1540" s="2" t="s">
        <v>19</v>
      </c>
      <c r="O1540">
        <v>57.216666666666669</v>
      </c>
    </row>
    <row r="1541" spans="1:15" x14ac:dyDescent="0.3">
      <c r="A1541" s="1">
        <v>45301</v>
      </c>
      <c r="B1541" s="2" t="s">
        <v>20</v>
      </c>
      <c r="C1541" s="2" t="s">
        <v>12</v>
      </c>
      <c r="D1541" s="2" t="s">
        <v>18</v>
      </c>
      <c r="E1541">
        <v>53.22</v>
      </c>
      <c r="F1541">
        <v>38.83</v>
      </c>
      <c r="G1541">
        <v>1</v>
      </c>
      <c r="H1541">
        <f t="shared" si="24"/>
        <v>61207.979999999989</v>
      </c>
      <c r="I1541" t="str">
        <f>IF(Sheet1[[#This Row],[Month_Revenue]] &lt; AVERAGE(Sheet1[Month_Revenue]), "Off-Peak", "Peak")</f>
        <v>Peak</v>
      </c>
      <c r="J1541">
        <f xml:space="preserve"> IF(Sheet1[[#This Row],[Ad Spend]] &gt; 0, (Sheet1[[#This Row],[Profit]] / Sheet1[[#This Row],[Ad Spend]]), 0)</f>
        <v>0.37058975019314966</v>
      </c>
      <c r="K1541">
        <f>Sheet1[[#This Row],[Revenue]]-Sheet1[[#This Row],[Ad Spend]]</f>
        <v>14.39</v>
      </c>
      <c r="L1541" s="2" t="s">
        <v>22</v>
      </c>
      <c r="M1541">
        <v>1</v>
      </c>
      <c r="N1541" s="2" t="s">
        <v>15</v>
      </c>
      <c r="O1541">
        <v>53.22</v>
      </c>
    </row>
    <row r="1542" spans="1:15" x14ac:dyDescent="0.3">
      <c r="A1542" s="1">
        <v>45391</v>
      </c>
      <c r="B1542" s="2" t="s">
        <v>11</v>
      </c>
      <c r="C1542" s="2" t="s">
        <v>21</v>
      </c>
      <c r="D1542" s="2" t="s">
        <v>13</v>
      </c>
      <c r="E1542">
        <v>193.78</v>
      </c>
      <c r="F1542">
        <v>14.12</v>
      </c>
      <c r="G1542">
        <v>3</v>
      </c>
      <c r="H1542">
        <f t="shared" si="24"/>
        <v>58562.910000000018</v>
      </c>
      <c r="I1542" t="str">
        <f>IF(Sheet1[[#This Row],[Month_Revenue]] &lt; AVERAGE(Sheet1[Month_Revenue]), "Off-Peak", "Peak")</f>
        <v>Peak</v>
      </c>
      <c r="J1542">
        <f xml:space="preserve"> IF(Sheet1[[#This Row],[Ad Spend]] &gt; 0, (Sheet1[[#This Row],[Profit]] / Sheet1[[#This Row],[Ad Spend]]), 0)</f>
        <v>12.723796033994335</v>
      </c>
      <c r="K1542">
        <f>Sheet1[[#This Row],[Revenue]]-Sheet1[[#This Row],[Ad Spend]]</f>
        <v>179.66</v>
      </c>
      <c r="L1542" s="2" t="s">
        <v>14</v>
      </c>
      <c r="M1542">
        <v>4</v>
      </c>
      <c r="N1542" s="2" t="s">
        <v>19</v>
      </c>
      <c r="O1542">
        <v>64.593333333333334</v>
      </c>
    </row>
    <row r="1543" spans="1:15" x14ac:dyDescent="0.3">
      <c r="A1543" s="1">
        <v>45331</v>
      </c>
      <c r="B1543" s="2" t="s">
        <v>16</v>
      </c>
      <c r="C1543" s="2" t="s">
        <v>12</v>
      </c>
      <c r="D1543" s="2" t="s">
        <v>18</v>
      </c>
      <c r="E1543">
        <v>105.32</v>
      </c>
      <c r="F1543">
        <v>11.73</v>
      </c>
      <c r="G1543">
        <v>2</v>
      </c>
      <c r="H1543">
        <f t="shared" si="24"/>
        <v>48675.899999999936</v>
      </c>
      <c r="I1543" t="str">
        <f>IF(Sheet1[[#This Row],[Month_Revenue]] &lt; AVERAGE(Sheet1[Month_Revenue]), "Off-Peak", "Peak")</f>
        <v>Off-Peak</v>
      </c>
      <c r="J1543">
        <f xml:space="preserve"> IF(Sheet1[[#This Row],[Ad Spend]] &gt; 0, (Sheet1[[#This Row],[Profit]] / Sheet1[[#This Row],[Ad Spend]]), 0)</f>
        <v>7.9786871270247222</v>
      </c>
      <c r="K1543">
        <f>Sheet1[[#This Row],[Revenue]]-Sheet1[[#This Row],[Ad Spend]]</f>
        <v>93.589999999999989</v>
      </c>
      <c r="L1543" s="2" t="s">
        <v>14</v>
      </c>
      <c r="M1543">
        <v>2</v>
      </c>
      <c r="N1543" s="2" t="s">
        <v>15</v>
      </c>
      <c r="O1543">
        <v>52.66</v>
      </c>
    </row>
    <row r="1544" spans="1:15" x14ac:dyDescent="0.3">
      <c r="A1544" s="1">
        <v>45379</v>
      </c>
      <c r="B1544" s="2" t="s">
        <v>23</v>
      </c>
      <c r="C1544" s="2" t="s">
        <v>17</v>
      </c>
      <c r="D1544" s="2" t="s">
        <v>13</v>
      </c>
      <c r="E1544">
        <v>36.4</v>
      </c>
      <c r="F1544">
        <v>31.72</v>
      </c>
      <c r="G1544">
        <v>1</v>
      </c>
      <c r="H1544">
        <f t="shared" si="24"/>
        <v>54735.250000000029</v>
      </c>
      <c r="I1544" t="str">
        <f>IF(Sheet1[[#This Row],[Month_Revenue]] &lt; AVERAGE(Sheet1[Month_Revenue]), "Off-Peak", "Peak")</f>
        <v>Off-Peak</v>
      </c>
      <c r="J1544">
        <f xml:space="preserve"> IF(Sheet1[[#This Row],[Ad Spend]] &gt; 0, (Sheet1[[#This Row],[Profit]] / Sheet1[[#This Row],[Ad Spend]]), 0)</f>
        <v>0.14754098360655737</v>
      </c>
      <c r="K1544">
        <f>Sheet1[[#This Row],[Revenue]]-Sheet1[[#This Row],[Ad Spend]]</f>
        <v>4.68</v>
      </c>
      <c r="L1544" s="2" t="s">
        <v>14</v>
      </c>
      <c r="M1544">
        <v>3</v>
      </c>
      <c r="N1544" s="2" t="s">
        <v>19</v>
      </c>
      <c r="O1544">
        <v>36.4</v>
      </c>
    </row>
    <row r="1545" spans="1:15" x14ac:dyDescent="0.3">
      <c r="A1545" s="1">
        <v>45292</v>
      </c>
      <c r="B1545" s="2" t="s">
        <v>11</v>
      </c>
      <c r="C1545" s="2" t="s">
        <v>17</v>
      </c>
      <c r="D1545" s="2" t="s">
        <v>18</v>
      </c>
      <c r="E1545">
        <v>41.71</v>
      </c>
      <c r="F1545">
        <v>13.85</v>
      </c>
      <c r="G1545">
        <v>3</v>
      </c>
      <c r="H1545">
        <f t="shared" si="24"/>
        <v>61207.979999999989</v>
      </c>
      <c r="I1545" t="str">
        <f>IF(Sheet1[[#This Row],[Month_Revenue]] &lt; AVERAGE(Sheet1[Month_Revenue]), "Off-Peak", "Peak")</f>
        <v>Peak</v>
      </c>
      <c r="J1545">
        <f xml:space="preserve"> IF(Sheet1[[#This Row],[Ad Spend]] &gt; 0, (Sheet1[[#This Row],[Profit]] / Sheet1[[#This Row],[Ad Spend]]), 0)</f>
        <v>2.0115523465703973</v>
      </c>
      <c r="K1545">
        <f>Sheet1[[#This Row],[Revenue]]-Sheet1[[#This Row],[Ad Spend]]</f>
        <v>27.86</v>
      </c>
      <c r="L1545" s="2" t="s">
        <v>22</v>
      </c>
      <c r="M1545">
        <v>1</v>
      </c>
      <c r="N1545" s="2" t="s">
        <v>15</v>
      </c>
      <c r="O1545">
        <v>13.903333333333334</v>
      </c>
    </row>
    <row r="1546" spans="1:15" x14ac:dyDescent="0.3">
      <c r="A1546" s="1">
        <v>45318</v>
      </c>
      <c r="B1546" s="2" t="s">
        <v>16</v>
      </c>
      <c r="C1546" s="2" t="s">
        <v>17</v>
      </c>
      <c r="D1546" s="2" t="s">
        <v>13</v>
      </c>
      <c r="E1546">
        <v>75.12</v>
      </c>
      <c r="F1546">
        <v>29.67</v>
      </c>
      <c r="G1546">
        <v>2</v>
      </c>
      <c r="H1546">
        <f t="shared" si="24"/>
        <v>61207.979999999989</v>
      </c>
      <c r="I1546" t="str">
        <f>IF(Sheet1[[#This Row],[Month_Revenue]] &lt; AVERAGE(Sheet1[Month_Revenue]), "Off-Peak", "Peak")</f>
        <v>Peak</v>
      </c>
      <c r="J1546">
        <f xml:space="preserve"> IF(Sheet1[[#This Row],[Ad Spend]] &gt; 0, (Sheet1[[#This Row],[Profit]] / Sheet1[[#This Row],[Ad Spend]]), 0)</f>
        <v>1.531850353892821</v>
      </c>
      <c r="K1546">
        <f>Sheet1[[#This Row],[Revenue]]-Sheet1[[#This Row],[Ad Spend]]</f>
        <v>45.45</v>
      </c>
      <c r="L1546" s="2" t="s">
        <v>22</v>
      </c>
      <c r="M1546">
        <v>1</v>
      </c>
      <c r="N1546" s="2" t="s">
        <v>15</v>
      </c>
      <c r="O1546">
        <v>37.56</v>
      </c>
    </row>
    <row r="1547" spans="1:15" x14ac:dyDescent="0.3">
      <c r="A1547" s="1">
        <v>45298</v>
      </c>
      <c r="B1547" s="2" t="s">
        <v>11</v>
      </c>
      <c r="C1547" s="2" t="s">
        <v>21</v>
      </c>
      <c r="D1547" s="2" t="s">
        <v>13</v>
      </c>
      <c r="E1547">
        <v>147.78</v>
      </c>
      <c r="F1547">
        <v>4.5599999999999996</v>
      </c>
      <c r="G1547">
        <v>1</v>
      </c>
      <c r="H1547">
        <f t="shared" si="24"/>
        <v>61207.979999999989</v>
      </c>
      <c r="I1547" t="str">
        <f>IF(Sheet1[[#This Row],[Month_Revenue]] &lt; AVERAGE(Sheet1[Month_Revenue]), "Off-Peak", "Peak")</f>
        <v>Peak</v>
      </c>
      <c r="J1547">
        <f xml:space="preserve"> IF(Sheet1[[#This Row],[Ad Spend]] &gt; 0, (Sheet1[[#This Row],[Profit]] / Sheet1[[#This Row],[Ad Spend]]), 0)</f>
        <v>31.407894736842106</v>
      </c>
      <c r="K1547">
        <f>Sheet1[[#This Row],[Revenue]]-Sheet1[[#This Row],[Ad Spend]]</f>
        <v>143.22</v>
      </c>
      <c r="L1547" s="2" t="s">
        <v>22</v>
      </c>
      <c r="M1547">
        <v>1</v>
      </c>
      <c r="N1547" s="2" t="s">
        <v>15</v>
      </c>
      <c r="O1547">
        <v>147.78</v>
      </c>
    </row>
    <row r="1548" spans="1:15" x14ac:dyDescent="0.3">
      <c r="A1548" s="1">
        <v>45307</v>
      </c>
      <c r="B1548" s="2" t="s">
        <v>24</v>
      </c>
      <c r="C1548" s="2" t="s">
        <v>12</v>
      </c>
      <c r="D1548" s="2" t="s">
        <v>18</v>
      </c>
      <c r="E1548">
        <v>81.709999999999994</v>
      </c>
      <c r="F1548">
        <v>27.07</v>
      </c>
      <c r="G1548">
        <v>1</v>
      </c>
      <c r="H1548">
        <f t="shared" si="24"/>
        <v>61207.979999999989</v>
      </c>
      <c r="I1548" t="str">
        <f>IF(Sheet1[[#This Row],[Month_Revenue]] &lt; AVERAGE(Sheet1[Month_Revenue]), "Off-Peak", "Peak")</f>
        <v>Peak</v>
      </c>
      <c r="J1548">
        <f xml:space="preserve"> IF(Sheet1[[#This Row],[Ad Spend]] &gt; 0, (Sheet1[[#This Row],[Profit]] / Sheet1[[#This Row],[Ad Spend]]), 0)</f>
        <v>2.0184706316956036</v>
      </c>
      <c r="K1548">
        <f>Sheet1[[#This Row],[Revenue]]-Sheet1[[#This Row],[Ad Spend]]</f>
        <v>54.639999999999993</v>
      </c>
      <c r="L1548" s="2" t="s">
        <v>14</v>
      </c>
      <c r="M1548">
        <v>1</v>
      </c>
      <c r="N1548" s="2" t="s">
        <v>15</v>
      </c>
      <c r="O1548">
        <v>81.709999999999994</v>
      </c>
    </row>
    <row r="1549" spans="1:15" x14ac:dyDescent="0.3">
      <c r="A1549" s="1">
        <v>45397</v>
      </c>
      <c r="B1549" s="2" t="s">
        <v>23</v>
      </c>
      <c r="C1549" s="2" t="s">
        <v>17</v>
      </c>
      <c r="D1549" s="2" t="s">
        <v>13</v>
      </c>
      <c r="E1549">
        <v>119.26</v>
      </c>
      <c r="F1549">
        <v>22.38</v>
      </c>
      <c r="G1549">
        <v>3</v>
      </c>
      <c r="H1549">
        <f t="shared" si="24"/>
        <v>58562.910000000018</v>
      </c>
      <c r="I1549" t="str">
        <f>IF(Sheet1[[#This Row],[Month_Revenue]] &lt; AVERAGE(Sheet1[Month_Revenue]), "Off-Peak", "Peak")</f>
        <v>Peak</v>
      </c>
      <c r="J1549">
        <f xml:space="preserve"> IF(Sheet1[[#This Row],[Ad Spend]] &gt; 0, (Sheet1[[#This Row],[Profit]] / Sheet1[[#This Row],[Ad Spend]]), 0)</f>
        <v>4.3288650580875787</v>
      </c>
      <c r="K1549">
        <f>Sheet1[[#This Row],[Revenue]]-Sheet1[[#This Row],[Ad Spend]]</f>
        <v>96.88000000000001</v>
      </c>
      <c r="L1549" s="2" t="s">
        <v>14</v>
      </c>
      <c r="M1549">
        <v>4</v>
      </c>
      <c r="N1549" s="2" t="s">
        <v>19</v>
      </c>
      <c r="O1549">
        <v>39.753333333333337</v>
      </c>
    </row>
    <row r="1550" spans="1:15" x14ac:dyDescent="0.3">
      <c r="A1550" s="1">
        <v>45401</v>
      </c>
      <c r="B1550" s="2" t="s">
        <v>20</v>
      </c>
      <c r="C1550" s="2" t="s">
        <v>12</v>
      </c>
      <c r="D1550" s="2" t="s">
        <v>13</v>
      </c>
      <c r="E1550">
        <v>59.43</v>
      </c>
      <c r="F1550">
        <v>17.21</v>
      </c>
      <c r="G1550">
        <v>1</v>
      </c>
      <c r="H1550">
        <f t="shared" si="24"/>
        <v>58562.910000000018</v>
      </c>
      <c r="I1550" t="str">
        <f>IF(Sheet1[[#This Row],[Month_Revenue]] &lt; AVERAGE(Sheet1[Month_Revenue]), "Off-Peak", "Peak")</f>
        <v>Peak</v>
      </c>
      <c r="J1550">
        <f xml:space="preserve"> IF(Sheet1[[#This Row],[Ad Spend]] &gt; 0, (Sheet1[[#This Row],[Profit]] / Sheet1[[#This Row],[Ad Spend]]), 0)</f>
        <v>2.4532248692620566</v>
      </c>
      <c r="K1550">
        <f>Sheet1[[#This Row],[Revenue]]-Sheet1[[#This Row],[Ad Spend]]</f>
        <v>42.22</v>
      </c>
      <c r="L1550" s="2" t="s">
        <v>22</v>
      </c>
      <c r="M1550">
        <v>4</v>
      </c>
      <c r="N1550" s="2" t="s">
        <v>19</v>
      </c>
      <c r="O1550">
        <v>59.43</v>
      </c>
    </row>
    <row r="1551" spans="1:15" x14ac:dyDescent="0.3">
      <c r="A1551" s="1">
        <v>45344</v>
      </c>
      <c r="B1551" s="2" t="s">
        <v>24</v>
      </c>
      <c r="C1551" s="2" t="s">
        <v>12</v>
      </c>
      <c r="D1551" s="2" t="s">
        <v>13</v>
      </c>
      <c r="E1551">
        <v>25.54</v>
      </c>
      <c r="F1551">
        <v>38.979999999999997</v>
      </c>
      <c r="G1551">
        <v>1</v>
      </c>
      <c r="H1551">
        <f t="shared" si="24"/>
        <v>48675.899999999936</v>
      </c>
      <c r="I1551" t="str">
        <f>IF(Sheet1[[#This Row],[Month_Revenue]] &lt; AVERAGE(Sheet1[Month_Revenue]), "Off-Peak", "Peak")</f>
        <v>Off-Peak</v>
      </c>
      <c r="J1551">
        <f xml:space="preserve"> IF(Sheet1[[#This Row],[Ad Spend]] &gt; 0, (Sheet1[[#This Row],[Profit]] / Sheet1[[#This Row],[Ad Spend]]), 0)</f>
        <v>-0.34479220112878395</v>
      </c>
      <c r="K1551">
        <f>Sheet1[[#This Row],[Revenue]]-Sheet1[[#This Row],[Ad Spend]]</f>
        <v>-13.439999999999998</v>
      </c>
      <c r="L1551" s="2" t="s">
        <v>22</v>
      </c>
      <c r="M1551">
        <v>2</v>
      </c>
      <c r="N1551" s="2" t="s">
        <v>15</v>
      </c>
      <c r="O1551">
        <v>25.54</v>
      </c>
    </row>
    <row r="1552" spans="1:15" x14ac:dyDescent="0.3">
      <c r="A1552" s="1">
        <v>45304</v>
      </c>
      <c r="B1552" s="2" t="s">
        <v>24</v>
      </c>
      <c r="C1552" s="2" t="s">
        <v>17</v>
      </c>
      <c r="D1552" s="2" t="s">
        <v>18</v>
      </c>
      <c r="E1552">
        <v>88.17</v>
      </c>
      <c r="F1552">
        <v>32.18</v>
      </c>
      <c r="G1552">
        <v>3</v>
      </c>
      <c r="H1552">
        <f t="shared" si="24"/>
        <v>61207.979999999989</v>
      </c>
      <c r="I1552" t="str">
        <f>IF(Sheet1[[#This Row],[Month_Revenue]] &lt; AVERAGE(Sheet1[Month_Revenue]), "Off-Peak", "Peak")</f>
        <v>Peak</v>
      </c>
      <c r="J1552">
        <f xml:space="preserve"> IF(Sheet1[[#This Row],[Ad Spend]] &gt; 0, (Sheet1[[#This Row],[Profit]] / Sheet1[[#This Row],[Ad Spend]]), 0)</f>
        <v>1.7399005593536359</v>
      </c>
      <c r="K1552">
        <f>Sheet1[[#This Row],[Revenue]]-Sheet1[[#This Row],[Ad Spend]]</f>
        <v>55.99</v>
      </c>
      <c r="L1552" s="2" t="s">
        <v>14</v>
      </c>
      <c r="M1552">
        <v>1</v>
      </c>
      <c r="N1552" s="2" t="s">
        <v>15</v>
      </c>
      <c r="O1552">
        <v>29.39</v>
      </c>
    </row>
    <row r="1553" spans="1:15" x14ac:dyDescent="0.3">
      <c r="A1553" s="1">
        <v>45400</v>
      </c>
      <c r="B1553" s="2" t="s">
        <v>11</v>
      </c>
      <c r="C1553" s="2" t="s">
        <v>12</v>
      </c>
      <c r="D1553" s="2" t="s">
        <v>18</v>
      </c>
      <c r="E1553">
        <v>32.119999999999997</v>
      </c>
      <c r="F1553">
        <v>9.43</v>
      </c>
      <c r="G1553">
        <v>0</v>
      </c>
      <c r="H1553">
        <f t="shared" si="24"/>
        <v>58562.910000000018</v>
      </c>
      <c r="I1553" t="str">
        <f>IF(Sheet1[[#This Row],[Month_Revenue]] &lt; AVERAGE(Sheet1[Month_Revenue]), "Off-Peak", "Peak")</f>
        <v>Peak</v>
      </c>
      <c r="J1553">
        <f xml:space="preserve"> IF(Sheet1[[#This Row],[Ad Spend]] &gt; 0, (Sheet1[[#This Row],[Profit]] / Sheet1[[#This Row],[Ad Spend]]), 0)</f>
        <v>2.4061505832449628</v>
      </c>
      <c r="K1553">
        <f>Sheet1[[#This Row],[Revenue]]-Sheet1[[#This Row],[Ad Spend]]</f>
        <v>22.689999999999998</v>
      </c>
      <c r="L1553" s="2" t="s">
        <v>14</v>
      </c>
      <c r="M1553">
        <v>4</v>
      </c>
      <c r="N1553" s="2" t="s">
        <v>19</v>
      </c>
      <c r="O1553">
        <v>0</v>
      </c>
    </row>
    <row r="1554" spans="1:15" x14ac:dyDescent="0.3">
      <c r="A1554" s="1">
        <v>45353</v>
      </c>
      <c r="B1554" s="2" t="s">
        <v>11</v>
      </c>
      <c r="C1554" s="2" t="s">
        <v>21</v>
      </c>
      <c r="D1554" s="2" t="s">
        <v>18</v>
      </c>
      <c r="E1554">
        <v>59.34</v>
      </c>
      <c r="F1554">
        <v>48.87</v>
      </c>
      <c r="G1554">
        <v>3</v>
      </c>
      <c r="H1554">
        <f t="shared" si="24"/>
        <v>54735.250000000029</v>
      </c>
      <c r="I1554" t="str">
        <f>IF(Sheet1[[#This Row],[Month_Revenue]] &lt; AVERAGE(Sheet1[Month_Revenue]), "Off-Peak", "Peak")</f>
        <v>Off-Peak</v>
      </c>
      <c r="J1554">
        <f xml:space="preserve"> IF(Sheet1[[#This Row],[Ad Spend]] &gt; 0, (Sheet1[[#This Row],[Profit]] / Sheet1[[#This Row],[Ad Spend]]), 0)</f>
        <v>0.21424186617556798</v>
      </c>
      <c r="K1554">
        <f>Sheet1[[#This Row],[Revenue]]-Sheet1[[#This Row],[Ad Spend]]</f>
        <v>10.470000000000006</v>
      </c>
      <c r="L1554" s="2" t="s">
        <v>22</v>
      </c>
      <c r="M1554">
        <v>3</v>
      </c>
      <c r="N1554" s="2" t="s">
        <v>19</v>
      </c>
      <c r="O1554">
        <v>19.78</v>
      </c>
    </row>
    <row r="1555" spans="1:15" x14ac:dyDescent="0.3">
      <c r="A1555" s="1">
        <v>45370</v>
      </c>
      <c r="B1555" s="2" t="s">
        <v>23</v>
      </c>
      <c r="C1555" s="2" t="s">
        <v>21</v>
      </c>
      <c r="D1555" s="2" t="s">
        <v>18</v>
      </c>
      <c r="E1555">
        <v>150.72999999999999</v>
      </c>
      <c r="F1555">
        <v>20.64</v>
      </c>
      <c r="G1555">
        <v>3</v>
      </c>
      <c r="H1555">
        <f t="shared" si="24"/>
        <v>54735.250000000029</v>
      </c>
      <c r="I1555" t="str">
        <f>IF(Sheet1[[#This Row],[Month_Revenue]] &lt; AVERAGE(Sheet1[Month_Revenue]), "Off-Peak", "Peak")</f>
        <v>Off-Peak</v>
      </c>
      <c r="J1555">
        <f xml:space="preserve"> IF(Sheet1[[#This Row],[Ad Spend]] &gt; 0, (Sheet1[[#This Row],[Profit]] / Sheet1[[#This Row],[Ad Spend]]), 0)</f>
        <v>6.3028100775193785</v>
      </c>
      <c r="K1555">
        <f>Sheet1[[#This Row],[Revenue]]-Sheet1[[#This Row],[Ad Spend]]</f>
        <v>130.08999999999997</v>
      </c>
      <c r="L1555" s="2" t="s">
        <v>14</v>
      </c>
      <c r="M1555">
        <v>3</v>
      </c>
      <c r="N1555" s="2" t="s">
        <v>19</v>
      </c>
      <c r="O1555">
        <v>50.243333333333332</v>
      </c>
    </row>
    <row r="1556" spans="1:15" x14ac:dyDescent="0.3">
      <c r="A1556" s="1">
        <v>45368</v>
      </c>
      <c r="B1556" s="2" t="s">
        <v>16</v>
      </c>
      <c r="C1556" s="2" t="s">
        <v>17</v>
      </c>
      <c r="D1556" s="2" t="s">
        <v>18</v>
      </c>
      <c r="E1556">
        <v>185.12</v>
      </c>
      <c r="F1556">
        <v>30.3</v>
      </c>
      <c r="G1556">
        <v>0</v>
      </c>
      <c r="H1556">
        <f t="shared" si="24"/>
        <v>54735.250000000029</v>
      </c>
      <c r="I1556" t="str">
        <f>IF(Sheet1[[#This Row],[Month_Revenue]] &lt; AVERAGE(Sheet1[Month_Revenue]), "Off-Peak", "Peak")</f>
        <v>Off-Peak</v>
      </c>
      <c r="J1556">
        <f xml:space="preserve"> IF(Sheet1[[#This Row],[Ad Spend]] &gt; 0, (Sheet1[[#This Row],[Profit]] / Sheet1[[#This Row],[Ad Spend]]), 0)</f>
        <v>5.1095709570957091</v>
      </c>
      <c r="K1556">
        <f>Sheet1[[#This Row],[Revenue]]-Sheet1[[#This Row],[Ad Spend]]</f>
        <v>154.82</v>
      </c>
      <c r="L1556" s="2" t="s">
        <v>14</v>
      </c>
      <c r="M1556">
        <v>3</v>
      </c>
      <c r="N1556" s="2" t="s">
        <v>19</v>
      </c>
      <c r="O1556">
        <v>0</v>
      </c>
    </row>
    <row r="1557" spans="1:15" x14ac:dyDescent="0.3">
      <c r="A1557" s="1">
        <v>45298</v>
      </c>
      <c r="B1557" s="2" t="s">
        <v>16</v>
      </c>
      <c r="C1557" s="2" t="s">
        <v>21</v>
      </c>
      <c r="D1557" s="2" t="s">
        <v>13</v>
      </c>
      <c r="E1557">
        <v>155.06</v>
      </c>
      <c r="F1557">
        <v>9.58</v>
      </c>
      <c r="G1557">
        <v>0</v>
      </c>
      <c r="H1557">
        <f t="shared" si="24"/>
        <v>61207.979999999989</v>
      </c>
      <c r="I1557" t="str">
        <f>IF(Sheet1[[#This Row],[Month_Revenue]] &lt; AVERAGE(Sheet1[Month_Revenue]), "Off-Peak", "Peak")</f>
        <v>Peak</v>
      </c>
      <c r="J1557">
        <f xml:space="preserve"> IF(Sheet1[[#This Row],[Ad Spend]] &gt; 0, (Sheet1[[#This Row],[Profit]] / Sheet1[[#This Row],[Ad Spend]]), 0)</f>
        <v>15.185803757828809</v>
      </c>
      <c r="K1557">
        <f>Sheet1[[#This Row],[Revenue]]-Sheet1[[#This Row],[Ad Spend]]</f>
        <v>145.47999999999999</v>
      </c>
      <c r="L1557" s="2" t="s">
        <v>22</v>
      </c>
      <c r="M1557">
        <v>1</v>
      </c>
      <c r="N1557" s="2" t="s">
        <v>15</v>
      </c>
      <c r="O1557">
        <v>0</v>
      </c>
    </row>
    <row r="1558" spans="1:15" x14ac:dyDescent="0.3">
      <c r="A1558" s="1">
        <v>45395</v>
      </c>
      <c r="B1558" s="2" t="s">
        <v>16</v>
      </c>
      <c r="C1558" s="2" t="s">
        <v>12</v>
      </c>
      <c r="D1558" s="2" t="s">
        <v>18</v>
      </c>
      <c r="E1558">
        <v>166.43</v>
      </c>
      <c r="F1558">
        <v>9.07</v>
      </c>
      <c r="G1558">
        <v>3</v>
      </c>
      <c r="H1558">
        <f t="shared" si="24"/>
        <v>58562.910000000018</v>
      </c>
      <c r="I1558" t="str">
        <f>IF(Sheet1[[#This Row],[Month_Revenue]] &lt; AVERAGE(Sheet1[Month_Revenue]), "Off-Peak", "Peak")</f>
        <v>Peak</v>
      </c>
      <c r="J1558">
        <f xml:space="preserve"> IF(Sheet1[[#This Row],[Ad Spend]] &gt; 0, (Sheet1[[#This Row],[Profit]] / Sheet1[[#This Row],[Ad Spend]]), 0)</f>
        <v>17.349503858875416</v>
      </c>
      <c r="K1558">
        <f>Sheet1[[#This Row],[Revenue]]-Sheet1[[#This Row],[Ad Spend]]</f>
        <v>157.36000000000001</v>
      </c>
      <c r="L1558" s="2" t="s">
        <v>22</v>
      </c>
      <c r="M1558">
        <v>4</v>
      </c>
      <c r="N1558" s="2" t="s">
        <v>19</v>
      </c>
      <c r="O1558">
        <v>55.476666666666667</v>
      </c>
    </row>
    <row r="1559" spans="1:15" x14ac:dyDescent="0.3">
      <c r="A1559" s="1">
        <v>45408</v>
      </c>
      <c r="B1559" s="2" t="s">
        <v>23</v>
      </c>
      <c r="C1559" s="2" t="s">
        <v>12</v>
      </c>
      <c r="D1559" s="2" t="s">
        <v>13</v>
      </c>
      <c r="E1559">
        <v>93.77</v>
      </c>
      <c r="F1559">
        <v>25.04</v>
      </c>
      <c r="G1559">
        <v>2</v>
      </c>
      <c r="H1559">
        <f t="shared" si="24"/>
        <v>58562.910000000018</v>
      </c>
      <c r="I1559" t="str">
        <f>IF(Sheet1[[#This Row],[Month_Revenue]] &lt; AVERAGE(Sheet1[Month_Revenue]), "Off-Peak", "Peak")</f>
        <v>Peak</v>
      </c>
      <c r="J1559">
        <f xml:space="preserve"> IF(Sheet1[[#This Row],[Ad Spend]] &gt; 0, (Sheet1[[#This Row],[Profit]] / Sheet1[[#This Row],[Ad Spend]]), 0)</f>
        <v>2.744808306709265</v>
      </c>
      <c r="K1559">
        <f>Sheet1[[#This Row],[Revenue]]-Sheet1[[#This Row],[Ad Spend]]</f>
        <v>68.72999999999999</v>
      </c>
      <c r="L1559" s="2" t="s">
        <v>14</v>
      </c>
      <c r="M1559">
        <v>4</v>
      </c>
      <c r="N1559" s="2" t="s">
        <v>19</v>
      </c>
      <c r="O1559">
        <v>46.884999999999998</v>
      </c>
    </row>
    <row r="1560" spans="1:15" x14ac:dyDescent="0.3">
      <c r="A1560" s="1">
        <v>45369</v>
      </c>
      <c r="B1560" s="2" t="s">
        <v>23</v>
      </c>
      <c r="C1560" s="2" t="s">
        <v>21</v>
      </c>
      <c r="D1560" s="2" t="s">
        <v>13</v>
      </c>
      <c r="E1560">
        <v>103.29</v>
      </c>
      <c r="F1560">
        <v>47.95</v>
      </c>
      <c r="G1560">
        <v>0</v>
      </c>
      <c r="H1560">
        <f t="shared" si="24"/>
        <v>54735.250000000029</v>
      </c>
      <c r="I1560" t="str">
        <f>IF(Sheet1[[#This Row],[Month_Revenue]] &lt; AVERAGE(Sheet1[Month_Revenue]), "Off-Peak", "Peak")</f>
        <v>Off-Peak</v>
      </c>
      <c r="J1560">
        <f xml:space="preserve"> IF(Sheet1[[#This Row],[Ad Spend]] &gt; 0, (Sheet1[[#This Row],[Profit]] / Sheet1[[#This Row],[Ad Spend]]), 0)</f>
        <v>1.154118873826903</v>
      </c>
      <c r="K1560">
        <f>Sheet1[[#This Row],[Revenue]]-Sheet1[[#This Row],[Ad Spend]]</f>
        <v>55.34</v>
      </c>
      <c r="L1560" s="2" t="s">
        <v>14</v>
      </c>
      <c r="M1560">
        <v>3</v>
      </c>
      <c r="N1560" s="2" t="s">
        <v>19</v>
      </c>
      <c r="O1560">
        <v>0</v>
      </c>
    </row>
    <row r="1561" spans="1:15" x14ac:dyDescent="0.3">
      <c r="A1561" s="1">
        <v>45347</v>
      </c>
      <c r="B1561" s="2" t="s">
        <v>24</v>
      </c>
      <c r="C1561" s="2" t="s">
        <v>12</v>
      </c>
      <c r="D1561" s="2" t="s">
        <v>13</v>
      </c>
      <c r="E1561">
        <v>46.85</v>
      </c>
      <c r="F1561">
        <v>32.840000000000003</v>
      </c>
      <c r="G1561">
        <v>1</v>
      </c>
      <c r="H1561">
        <f t="shared" si="24"/>
        <v>48675.899999999936</v>
      </c>
      <c r="I1561" t="str">
        <f>IF(Sheet1[[#This Row],[Month_Revenue]] &lt; AVERAGE(Sheet1[Month_Revenue]), "Off-Peak", "Peak")</f>
        <v>Off-Peak</v>
      </c>
      <c r="J1561">
        <f xml:space="preserve"> IF(Sheet1[[#This Row],[Ad Spend]] &gt; 0, (Sheet1[[#This Row],[Profit]] / Sheet1[[#This Row],[Ad Spend]]), 0)</f>
        <v>0.42661388550548102</v>
      </c>
      <c r="K1561">
        <f>Sheet1[[#This Row],[Revenue]]-Sheet1[[#This Row],[Ad Spend]]</f>
        <v>14.009999999999998</v>
      </c>
      <c r="L1561" s="2" t="s">
        <v>22</v>
      </c>
      <c r="M1561">
        <v>2</v>
      </c>
      <c r="N1561" s="2" t="s">
        <v>15</v>
      </c>
      <c r="O1561">
        <v>46.85</v>
      </c>
    </row>
    <row r="1562" spans="1:15" x14ac:dyDescent="0.3">
      <c r="A1562" s="1">
        <v>45304</v>
      </c>
      <c r="B1562" s="2" t="s">
        <v>20</v>
      </c>
      <c r="C1562" s="2" t="s">
        <v>12</v>
      </c>
      <c r="D1562" s="2" t="s">
        <v>13</v>
      </c>
      <c r="E1562">
        <v>177.8</v>
      </c>
      <c r="F1562">
        <v>45.75</v>
      </c>
      <c r="G1562">
        <v>3</v>
      </c>
      <c r="H1562">
        <f t="shared" si="24"/>
        <v>61207.979999999989</v>
      </c>
      <c r="I1562" t="str">
        <f>IF(Sheet1[[#This Row],[Month_Revenue]] &lt; AVERAGE(Sheet1[Month_Revenue]), "Off-Peak", "Peak")</f>
        <v>Peak</v>
      </c>
      <c r="J1562">
        <f xml:space="preserve"> IF(Sheet1[[#This Row],[Ad Spend]] &gt; 0, (Sheet1[[#This Row],[Profit]] / Sheet1[[#This Row],[Ad Spend]]), 0)</f>
        <v>2.8863387978142079</v>
      </c>
      <c r="K1562">
        <f>Sheet1[[#This Row],[Revenue]]-Sheet1[[#This Row],[Ad Spend]]</f>
        <v>132.05000000000001</v>
      </c>
      <c r="L1562" s="2" t="s">
        <v>22</v>
      </c>
      <c r="M1562">
        <v>1</v>
      </c>
      <c r="N1562" s="2" t="s">
        <v>15</v>
      </c>
      <c r="O1562">
        <v>59.266666666666673</v>
      </c>
    </row>
    <row r="1563" spans="1:15" x14ac:dyDescent="0.3">
      <c r="A1563" s="1">
        <v>45351</v>
      </c>
      <c r="B1563" s="2" t="s">
        <v>16</v>
      </c>
      <c r="C1563" s="2" t="s">
        <v>12</v>
      </c>
      <c r="D1563" s="2" t="s">
        <v>18</v>
      </c>
      <c r="E1563">
        <v>32.5</v>
      </c>
      <c r="F1563">
        <v>10.69</v>
      </c>
      <c r="G1563">
        <v>1</v>
      </c>
      <c r="H1563">
        <f t="shared" si="24"/>
        <v>48675.899999999936</v>
      </c>
      <c r="I1563" t="str">
        <f>IF(Sheet1[[#This Row],[Month_Revenue]] &lt; AVERAGE(Sheet1[Month_Revenue]), "Off-Peak", "Peak")</f>
        <v>Off-Peak</v>
      </c>
      <c r="J1563">
        <f xml:space="preserve"> IF(Sheet1[[#This Row],[Ad Spend]] &gt; 0, (Sheet1[[#This Row],[Profit]] / Sheet1[[#This Row],[Ad Spend]]), 0)</f>
        <v>2.0402245088868103</v>
      </c>
      <c r="K1563">
        <f>Sheet1[[#This Row],[Revenue]]-Sheet1[[#This Row],[Ad Spend]]</f>
        <v>21.810000000000002</v>
      </c>
      <c r="L1563" s="2" t="s">
        <v>22</v>
      </c>
      <c r="M1563">
        <v>2</v>
      </c>
      <c r="N1563" s="2" t="s">
        <v>15</v>
      </c>
      <c r="O1563">
        <v>32.5</v>
      </c>
    </row>
    <row r="1564" spans="1:15" x14ac:dyDescent="0.3">
      <c r="A1564" s="1">
        <v>45318</v>
      </c>
      <c r="B1564" s="2" t="s">
        <v>20</v>
      </c>
      <c r="C1564" s="2" t="s">
        <v>21</v>
      </c>
      <c r="D1564" s="2" t="s">
        <v>13</v>
      </c>
      <c r="E1564">
        <v>96.51</v>
      </c>
      <c r="F1564">
        <v>30.35</v>
      </c>
      <c r="G1564">
        <v>0</v>
      </c>
      <c r="H1564">
        <f t="shared" si="24"/>
        <v>61207.979999999989</v>
      </c>
      <c r="I1564" t="str">
        <f>IF(Sheet1[[#This Row],[Month_Revenue]] &lt; AVERAGE(Sheet1[Month_Revenue]), "Off-Peak", "Peak")</f>
        <v>Peak</v>
      </c>
      <c r="J1564">
        <f xml:space="preserve"> IF(Sheet1[[#This Row],[Ad Spend]] &gt; 0, (Sheet1[[#This Row],[Profit]] / Sheet1[[#This Row],[Ad Spend]]), 0)</f>
        <v>2.1799011532125205</v>
      </c>
      <c r="K1564">
        <f>Sheet1[[#This Row],[Revenue]]-Sheet1[[#This Row],[Ad Spend]]</f>
        <v>66.16</v>
      </c>
      <c r="L1564" s="2" t="s">
        <v>14</v>
      </c>
      <c r="M1564">
        <v>1</v>
      </c>
      <c r="N1564" s="2" t="s">
        <v>15</v>
      </c>
      <c r="O1564">
        <v>0</v>
      </c>
    </row>
    <row r="1565" spans="1:15" x14ac:dyDescent="0.3">
      <c r="A1565" s="1">
        <v>45292</v>
      </c>
      <c r="B1565" s="2" t="s">
        <v>20</v>
      </c>
      <c r="C1565" s="2" t="s">
        <v>21</v>
      </c>
      <c r="D1565" s="2" t="s">
        <v>13</v>
      </c>
      <c r="E1565">
        <v>25.14</v>
      </c>
      <c r="F1565">
        <v>31.78</v>
      </c>
      <c r="G1565">
        <v>1</v>
      </c>
      <c r="H1565">
        <f t="shared" si="24"/>
        <v>61207.979999999989</v>
      </c>
      <c r="I1565" t="str">
        <f>IF(Sheet1[[#This Row],[Month_Revenue]] &lt; AVERAGE(Sheet1[Month_Revenue]), "Off-Peak", "Peak")</f>
        <v>Peak</v>
      </c>
      <c r="J1565">
        <f xml:space="preserve"> IF(Sheet1[[#This Row],[Ad Spend]] &gt; 0, (Sheet1[[#This Row],[Profit]] / Sheet1[[#This Row],[Ad Spend]]), 0)</f>
        <v>-0.20893643801132789</v>
      </c>
      <c r="K1565">
        <f>Sheet1[[#This Row],[Revenue]]-Sheet1[[#This Row],[Ad Spend]]</f>
        <v>-6.6400000000000006</v>
      </c>
      <c r="L1565" s="2" t="s">
        <v>22</v>
      </c>
      <c r="M1565">
        <v>1</v>
      </c>
      <c r="N1565" s="2" t="s">
        <v>15</v>
      </c>
      <c r="O1565">
        <v>25.14</v>
      </c>
    </row>
    <row r="1566" spans="1:15" x14ac:dyDescent="0.3">
      <c r="A1566" s="1">
        <v>45380</v>
      </c>
      <c r="B1566" s="2" t="s">
        <v>20</v>
      </c>
      <c r="C1566" s="2" t="s">
        <v>12</v>
      </c>
      <c r="D1566" s="2" t="s">
        <v>18</v>
      </c>
      <c r="E1566">
        <v>102.34</v>
      </c>
      <c r="F1566">
        <v>10.73</v>
      </c>
      <c r="G1566">
        <v>2</v>
      </c>
      <c r="H1566">
        <f t="shared" si="24"/>
        <v>54735.250000000029</v>
      </c>
      <c r="I1566" t="str">
        <f>IF(Sheet1[[#This Row],[Month_Revenue]] &lt; AVERAGE(Sheet1[Month_Revenue]), "Off-Peak", "Peak")</f>
        <v>Off-Peak</v>
      </c>
      <c r="J1566">
        <f xml:space="preserve"> IF(Sheet1[[#This Row],[Ad Spend]] &gt; 0, (Sheet1[[#This Row],[Profit]] / Sheet1[[#This Row],[Ad Spend]]), 0)</f>
        <v>8.5377446411929174</v>
      </c>
      <c r="K1566">
        <f>Sheet1[[#This Row],[Revenue]]-Sheet1[[#This Row],[Ad Spend]]</f>
        <v>91.61</v>
      </c>
      <c r="L1566" s="2" t="s">
        <v>14</v>
      </c>
      <c r="M1566">
        <v>3</v>
      </c>
      <c r="N1566" s="2" t="s">
        <v>19</v>
      </c>
      <c r="O1566">
        <v>51.17</v>
      </c>
    </row>
    <row r="1567" spans="1:15" x14ac:dyDescent="0.3">
      <c r="A1567" s="1">
        <v>45327</v>
      </c>
      <c r="B1567" s="2" t="s">
        <v>20</v>
      </c>
      <c r="C1567" s="2" t="s">
        <v>17</v>
      </c>
      <c r="D1567" s="2" t="s">
        <v>18</v>
      </c>
      <c r="E1567">
        <v>183.42</v>
      </c>
      <c r="F1567">
        <v>36.68</v>
      </c>
      <c r="G1567">
        <v>3</v>
      </c>
      <c r="H1567">
        <f t="shared" si="24"/>
        <v>48675.899999999936</v>
      </c>
      <c r="I1567" t="str">
        <f>IF(Sheet1[[#This Row],[Month_Revenue]] &lt; AVERAGE(Sheet1[Month_Revenue]), "Off-Peak", "Peak")</f>
        <v>Off-Peak</v>
      </c>
      <c r="J1567">
        <f xml:space="preserve"> IF(Sheet1[[#This Row],[Ad Spend]] &gt; 0, (Sheet1[[#This Row],[Profit]] / Sheet1[[#This Row],[Ad Spend]]), 0)</f>
        <v>4.0005452562704464</v>
      </c>
      <c r="K1567">
        <f>Sheet1[[#This Row],[Revenue]]-Sheet1[[#This Row],[Ad Spend]]</f>
        <v>146.73999999999998</v>
      </c>
      <c r="L1567" s="2" t="s">
        <v>22</v>
      </c>
      <c r="M1567">
        <v>2</v>
      </c>
      <c r="N1567" s="2" t="s">
        <v>15</v>
      </c>
      <c r="O1567">
        <v>61.139999999999993</v>
      </c>
    </row>
    <row r="1568" spans="1:15" x14ac:dyDescent="0.3">
      <c r="A1568" s="1">
        <v>45404</v>
      </c>
      <c r="B1568" s="2" t="s">
        <v>11</v>
      </c>
      <c r="C1568" s="2" t="s">
        <v>17</v>
      </c>
      <c r="D1568" s="2" t="s">
        <v>13</v>
      </c>
      <c r="E1568">
        <v>199.23</v>
      </c>
      <c r="F1568">
        <v>9.7799999999999994</v>
      </c>
      <c r="G1568">
        <v>2</v>
      </c>
      <c r="H1568">
        <f t="shared" si="24"/>
        <v>58562.910000000018</v>
      </c>
      <c r="I1568" t="str">
        <f>IF(Sheet1[[#This Row],[Month_Revenue]] &lt; AVERAGE(Sheet1[Month_Revenue]), "Off-Peak", "Peak")</f>
        <v>Peak</v>
      </c>
      <c r="J1568">
        <f xml:space="preserve"> IF(Sheet1[[#This Row],[Ad Spend]] &gt; 0, (Sheet1[[#This Row],[Profit]] / Sheet1[[#This Row],[Ad Spend]]), 0)</f>
        <v>19.371165644171779</v>
      </c>
      <c r="K1568">
        <f>Sheet1[[#This Row],[Revenue]]-Sheet1[[#This Row],[Ad Spend]]</f>
        <v>189.45</v>
      </c>
      <c r="L1568" s="2" t="s">
        <v>22</v>
      </c>
      <c r="M1568">
        <v>4</v>
      </c>
      <c r="N1568" s="2" t="s">
        <v>19</v>
      </c>
      <c r="O1568">
        <v>99.614999999999995</v>
      </c>
    </row>
    <row r="1569" spans="1:15" x14ac:dyDescent="0.3">
      <c r="A1569" s="1">
        <v>45347</v>
      </c>
      <c r="B1569" s="2" t="s">
        <v>11</v>
      </c>
      <c r="C1569" s="2" t="s">
        <v>21</v>
      </c>
      <c r="D1569" s="2" t="s">
        <v>13</v>
      </c>
      <c r="E1569">
        <v>34.92</v>
      </c>
      <c r="F1569">
        <v>22.74</v>
      </c>
      <c r="G1569">
        <v>1</v>
      </c>
      <c r="H1569">
        <f t="shared" si="24"/>
        <v>48675.899999999936</v>
      </c>
      <c r="I1569" t="str">
        <f>IF(Sheet1[[#This Row],[Month_Revenue]] &lt; AVERAGE(Sheet1[Month_Revenue]), "Off-Peak", "Peak")</f>
        <v>Off-Peak</v>
      </c>
      <c r="J1569">
        <f xml:space="preserve"> IF(Sheet1[[#This Row],[Ad Spend]] &gt; 0, (Sheet1[[#This Row],[Profit]] / Sheet1[[#This Row],[Ad Spend]]), 0)</f>
        <v>0.53562005277044877</v>
      </c>
      <c r="K1569">
        <f>Sheet1[[#This Row],[Revenue]]-Sheet1[[#This Row],[Ad Spend]]</f>
        <v>12.180000000000003</v>
      </c>
      <c r="L1569" s="2" t="s">
        <v>22</v>
      </c>
      <c r="M1569">
        <v>2</v>
      </c>
      <c r="N1569" s="2" t="s">
        <v>15</v>
      </c>
      <c r="O1569">
        <v>34.92</v>
      </c>
    </row>
    <row r="1570" spans="1:15" x14ac:dyDescent="0.3">
      <c r="A1570" s="1">
        <v>45295</v>
      </c>
      <c r="B1570" s="2" t="s">
        <v>20</v>
      </c>
      <c r="C1570" s="2" t="s">
        <v>17</v>
      </c>
      <c r="D1570" s="2" t="s">
        <v>13</v>
      </c>
      <c r="E1570">
        <v>112.24</v>
      </c>
      <c r="F1570">
        <v>47.43</v>
      </c>
      <c r="G1570">
        <v>0</v>
      </c>
      <c r="H1570">
        <f t="shared" si="24"/>
        <v>61207.979999999989</v>
      </c>
      <c r="I1570" t="str">
        <f>IF(Sheet1[[#This Row],[Month_Revenue]] &lt; AVERAGE(Sheet1[Month_Revenue]), "Off-Peak", "Peak")</f>
        <v>Peak</v>
      </c>
      <c r="J1570">
        <f xml:space="preserve"> IF(Sheet1[[#This Row],[Ad Spend]] &gt; 0, (Sheet1[[#This Row],[Profit]] / Sheet1[[#This Row],[Ad Spend]]), 0)</f>
        <v>1.3664347459413875</v>
      </c>
      <c r="K1570">
        <f>Sheet1[[#This Row],[Revenue]]-Sheet1[[#This Row],[Ad Spend]]</f>
        <v>64.81</v>
      </c>
      <c r="L1570" s="2" t="s">
        <v>14</v>
      </c>
      <c r="M1570">
        <v>1</v>
      </c>
      <c r="N1570" s="2" t="s">
        <v>15</v>
      </c>
      <c r="O1570">
        <v>0</v>
      </c>
    </row>
    <row r="1571" spans="1:15" x14ac:dyDescent="0.3">
      <c r="A1571" s="1">
        <v>45333</v>
      </c>
      <c r="B1571" s="2" t="s">
        <v>16</v>
      </c>
      <c r="C1571" s="2" t="s">
        <v>17</v>
      </c>
      <c r="D1571" s="2" t="s">
        <v>13</v>
      </c>
      <c r="E1571">
        <v>152.13</v>
      </c>
      <c r="F1571">
        <v>32.61</v>
      </c>
      <c r="G1571">
        <v>3</v>
      </c>
      <c r="H1571">
        <f t="shared" si="24"/>
        <v>48675.899999999936</v>
      </c>
      <c r="I1571" t="str">
        <f>IF(Sheet1[[#This Row],[Month_Revenue]] &lt; AVERAGE(Sheet1[Month_Revenue]), "Off-Peak", "Peak")</f>
        <v>Off-Peak</v>
      </c>
      <c r="J1571">
        <f xml:space="preserve"> IF(Sheet1[[#This Row],[Ad Spend]] &gt; 0, (Sheet1[[#This Row],[Profit]] / Sheet1[[#This Row],[Ad Spend]]), 0)</f>
        <v>3.6651333946642133</v>
      </c>
      <c r="K1571">
        <f>Sheet1[[#This Row],[Revenue]]-Sheet1[[#This Row],[Ad Spend]]</f>
        <v>119.52</v>
      </c>
      <c r="L1571" s="2" t="s">
        <v>22</v>
      </c>
      <c r="M1571">
        <v>2</v>
      </c>
      <c r="N1571" s="2" t="s">
        <v>15</v>
      </c>
      <c r="O1571">
        <v>50.71</v>
      </c>
    </row>
    <row r="1572" spans="1:15" x14ac:dyDescent="0.3">
      <c r="A1572" s="1">
        <v>45318</v>
      </c>
      <c r="B1572" s="2" t="s">
        <v>16</v>
      </c>
      <c r="C1572" s="2" t="s">
        <v>17</v>
      </c>
      <c r="D1572" s="2" t="s">
        <v>13</v>
      </c>
      <c r="E1572">
        <v>27.13</v>
      </c>
      <c r="F1572">
        <v>41.3</v>
      </c>
      <c r="G1572">
        <v>1</v>
      </c>
      <c r="H1572">
        <f t="shared" si="24"/>
        <v>61207.979999999989</v>
      </c>
      <c r="I1572" t="str">
        <f>IF(Sheet1[[#This Row],[Month_Revenue]] &lt; AVERAGE(Sheet1[Month_Revenue]), "Off-Peak", "Peak")</f>
        <v>Peak</v>
      </c>
      <c r="J1572">
        <f xml:space="preserve"> IF(Sheet1[[#This Row],[Ad Spend]] &gt; 0, (Sheet1[[#This Row],[Profit]] / Sheet1[[#This Row],[Ad Spend]]), 0)</f>
        <v>-0.34309927360774817</v>
      </c>
      <c r="K1572">
        <f>Sheet1[[#This Row],[Revenue]]-Sheet1[[#This Row],[Ad Spend]]</f>
        <v>-14.169999999999998</v>
      </c>
      <c r="L1572" s="2" t="s">
        <v>14</v>
      </c>
      <c r="M1572">
        <v>1</v>
      </c>
      <c r="N1572" s="2" t="s">
        <v>15</v>
      </c>
      <c r="O1572">
        <v>27.13</v>
      </c>
    </row>
    <row r="1573" spans="1:15" x14ac:dyDescent="0.3">
      <c r="A1573" s="1">
        <v>45390</v>
      </c>
      <c r="B1573" s="2" t="s">
        <v>23</v>
      </c>
      <c r="C1573" s="2" t="s">
        <v>17</v>
      </c>
      <c r="D1573" s="2" t="s">
        <v>18</v>
      </c>
      <c r="E1573">
        <v>67.900000000000006</v>
      </c>
      <c r="F1573">
        <v>10.35</v>
      </c>
      <c r="G1573">
        <v>1</v>
      </c>
      <c r="H1573">
        <f t="shared" si="24"/>
        <v>58562.910000000018</v>
      </c>
      <c r="I1573" t="str">
        <f>IF(Sheet1[[#This Row],[Month_Revenue]] &lt; AVERAGE(Sheet1[Month_Revenue]), "Off-Peak", "Peak")</f>
        <v>Peak</v>
      </c>
      <c r="J1573">
        <f xml:space="preserve"> IF(Sheet1[[#This Row],[Ad Spend]] &gt; 0, (Sheet1[[#This Row],[Profit]] / Sheet1[[#This Row],[Ad Spend]]), 0)</f>
        <v>5.5603864734299524</v>
      </c>
      <c r="K1573">
        <f>Sheet1[[#This Row],[Revenue]]-Sheet1[[#This Row],[Ad Spend]]</f>
        <v>57.550000000000004</v>
      </c>
      <c r="L1573" s="2" t="s">
        <v>22</v>
      </c>
      <c r="M1573">
        <v>4</v>
      </c>
      <c r="N1573" s="2" t="s">
        <v>19</v>
      </c>
      <c r="O1573">
        <v>67.900000000000006</v>
      </c>
    </row>
    <row r="1574" spans="1:15" x14ac:dyDescent="0.3">
      <c r="A1574" s="1">
        <v>45412</v>
      </c>
      <c r="B1574" s="2" t="s">
        <v>11</v>
      </c>
      <c r="C1574" s="2" t="s">
        <v>21</v>
      </c>
      <c r="D1574" s="2" t="s">
        <v>18</v>
      </c>
      <c r="E1574">
        <v>154.11000000000001</v>
      </c>
      <c r="F1574">
        <v>32.69</v>
      </c>
      <c r="G1574">
        <v>0</v>
      </c>
      <c r="H1574">
        <f t="shared" si="24"/>
        <v>58562.910000000018</v>
      </c>
      <c r="I1574" t="str">
        <f>IF(Sheet1[[#This Row],[Month_Revenue]] &lt; AVERAGE(Sheet1[Month_Revenue]), "Off-Peak", "Peak")</f>
        <v>Peak</v>
      </c>
      <c r="J1574">
        <f xml:space="preserve"> IF(Sheet1[[#This Row],[Ad Spend]] &gt; 0, (Sheet1[[#This Row],[Profit]] / Sheet1[[#This Row],[Ad Spend]]), 0)</f>
        <v>3.7142857142857149</v>
      </c>
      <c r="K1574">
        <f>Sheet1[[#This Row],[Revenue]]-Sheet1[[#This Row],[Ad Spend]]</f>
        <v>121.42000000000002</v>
      </c>
      <c r="L1574" s="2" t="s">
        <v>14</v>
      </c>
      <c r="M1574">
        <v>4</v>
      </c>
      <c r="N1574" s="2" t="s">
        <v>19</v>
      </c>
      <c r="O1574">
        <v>0</v>
      </c>
    </row>
    <row r="1575" spans="1:15" x14ac:dyDescent="0.3">
      <c r="A1575" s="1">
        <v>45344</v>
      </c>
      <c r="B1575" s="2" t="s">
        <v>16</v>
      </c>
      <c r="C1575" s="2" t="s">
        <v>12</v>
      </c>
      <c r="D1575" s="2" t="s">
        <v>13</v>
      </c>
      <c r="E1575">
        <v>167.89</v>
      </c>
      <c r="F1575">
        <v>2.44</v>
      </c>
      <c r="G1575">
        <v>2</v>
      </c>
      <c r="H1575">
        <f t="shared" si="24"/>
        <v>48675.899999999936</v>
      </c>
      <c r="I1575" t="str">
        <f>IF(Sheet1[[#This Row],[Month_Revenue]] &lt; AVERAGE(Sheet1[Month_Revenue]), "Off-Peak", "Peak")</f>
        <v>Off-Peak</v>
      </c>
      <c r="J1575">
        <f xml:space="preserve"> IF(Sheet1[[#This Row],[Ad Spend]] &gt; 0, (Sheet1[[#This Row],[Profit]] / Sheet1[[#This Row],[Ad Spend]]), 0)</f>
        <v>67.807377049180332</v>
      </c>
      <c r="K1575">
        <f>Sheet1[[#This Row],[Revenue]]-Sheet1[[#This Row],[Ad Spend]]</f>
        <v>165.45</v>
      </c>
      <c r="L1575" s="2" t="s">
        <v>22</v>
      </c>
      <c r="M1575">
        <v>2</v>
      </c>
      <c r="N1575" s="2" t="s">
        <v>15</v>
      </c>
      <c r="O1575">
        <v>83.944999999999993</v>
      </c>
    </row>
    <row r="1576" spans="1:15" x14ac:dyDescent="0.3">
      <c r="A1576" s="1">
        <v>45318</v>
      </c>
      <c r="B1576" s="2" t="s">
        <v>23</v>
      </c>
      <c r="C1576" s="2" t="s">
        <v>12</v>
      </c>
      <c r="D1576" s="2" t="s">
        <v>13</v>
      </c>
      <c r="E1576">
        <v>49.86</v>
      </c>
      <c r="F1576">
        <v>24.66</v>
      </c>
      <c r="G1576">
        <v>3</v>
      </c>
      <c r="H1576">
        <f t="shared" si="24"/>
        <v>61207.979999999989</v>
      </c>
      <c r="I1576" t="str">
        <f>IF(Sheet1[[#This Row],[Month_Revenue]] &lt; AVERAGE(Sheet1[Month_Revenue]), "Off-Peak", "Peak")</f>
        <v>Peak</v>
      </c>
      <c r="J1576">
        <f xml:space="preserve"> IF(Sheet1[[#This Row],[Ad Spend]] &gt; 0, (Sheet1[[#This Row],[Profit]] / Sheet1[[#This Row],[Ad Spend]]), 0)</f>
        <v>1.021897810218978</v>
      </c>
      <c r="K1576">
        <f>Sheet1[[#This Row],[Revenue]]-Sheet1[[#This Row],[Ad Spend]]</f>
        <v>25.2</v>
      </c>
      <c r="L1576" s="2" t="s">
        <v>14</v>
      </c>
      <c r="M1576">
        <v>1</v>
      </c>
      <c r="N1576" s="2" t="s">
        <v>15</v>
      </c>
      <c r="O1576">
        <v>16.62</v>
      </c>
    </row>
    <row r="1577" spans="1:15" x14ac:dyDescent="0.3">
      <c r="A1577" s="1">
        <v>45320</v>
      </c>
      <c r="B1577" s="2" t="s">
        <v>11</v>
      </c>
      <c r="C1577" s="2" t="s">
        <v>12</v>
      </c>
      <c r="D1577" s="2" t="s">
        <v>13</v>
      </c>
      <c r="E1577">
        <v>194.51</v>
      </c>
      <c r="F1577">
        <v>7.39</v>
      </c>
      <c r="G1577">
        <v>0</v>
      </c>
      <c r="H1577">
        <f t="shared" si="24"/>
        <v>61207.979999999989</v>
      </c>
      <c r="I1577" t="str">
        <f>IF(Sheet1[[#This Row],[Month_Revenue]] &lt; AVERAGE(Sheet1[Month_Revenue]), "Off-Peak", "Peak")</f>
        <v>Peak</v>
      </c>
      <c r="J1577">
        <f xml:space="preserve"> IF(Sheet1[[#This Row],[Ad Spend]] &gt; 0, (Sheet1[[#This Row],[Profit]] / Sheet1[[#This Row],[Ad Spend]]), 0)</f>
        <v>25.32070365358593</v>
      </c>
      <c r="K1577">
        <f>Sheet1[[#This Row],[Revenue]]-Sheet1[[#This Row],[Ad Spend]]</f>
        <v>187.12</v>
      </c>
      <c r="L1577" s="2" t="s">
        <v>14</v>
      </c>
      <c r="M1577">
        <v>1</v>
      </c>
      <c r="N1577" s="2" t="s">
        <v>15</v>
      </c>
      <c r="O1577">
        <v>0</v>
      </c>
    </row>
    <row r="1578" spans="1:15" x14ac:dyDescent="0.3">
      <c r="A1578" s="1">
        <v>45327</v>
      </c>
      <c r="B1578" s="2" t="s">
        <v>24</v>
      </c>
      <c r="C1578" s="2" t="s">
        <v>12</v>
      </c>
      <c r="D1578" s="2" t="s">
        <v>18</v>
      </c>
      <c r="E1578">
        <v>116.09</v>
      </c>
      <c r="F1578">
        <v>0.38</v>
      </c>
      <c r="G1578">
        <v>2</v>
      </c>
      <c r="H1578">
        <f t="shared" si="24"/>
        <v>48675.899999999936</v>
      </c>
      <c r="I1578" t="str">
        <f>IF(Sheet1[[#This Row],[Month_Revenue]] &lt; AVERAGE(Sheet1[Month_Revenue]), "Off-Peak", "Peak")</f>
        <v>Off-Peak</v>
      </c>
      <c r="J1578">
        <f xml:space="preserve"> IF(Sheet1[[#This Row],[Ad Spend]] &gt; 0, (Sheet1[[#This Row],[Profit]] / Sheet1[[#This Row],[Ad Spend]]), 0)</f>
        <v>304.5</v>
      </c>
      <c r="K1578">
        <f>Sheet1[[#This Row],[Revenue]]-Sheet1[[#This Row],[Ad Spend]]</f>
        <v>115.71000000000001</v>
      </c>
      <c r="L1578" s="2" t="s">
        <v>22</v>
      </c>
      <c r="M1578">
        <v>2</v>
      </c>
      <c r="N1578" s="2" t="s">
        <v>15</v>
      </c>
      <c r="O1578">
        <v>58.045000000000002</v>
      </c>
    </row>
    <row r="1579" spans="1:15" x14ac:dyDescent="0.3">
      <c r="A1579" s="1">
        <v>45337</v>
      </c>
      <c r="B1579" s="2" t="s">
        <v>24</v>
      </c>
      <c r="C1579" s="2" t="s">
        <v>12</v>
      </c>
      <c r="D1579" s="2" t="s">
        <v>13</v>
      </c>
      <c r="E1579">
        <v>68.239999999999995</v>
      </c>
      <c r="F1579">
        <v>2.5</v>
      </c>
      <c r="G1579">
        <v>1</v>
      </c>
      <c r="H1579">
        <f t="shared" si="24"/>
        <v>48675.899999999936</v>
      </c>
      <c r="I1579" t="str">
        <f>IF(Sheet1[[#This Row],[Month_Revenue]] &lt; AVERAGE(Sheet1[Month_Revenue]), "Off-Peak", "Peak")</f>
        <v>Off-Peak</v>
      </c>
      <c r="J1579">
        <f xml:space="preserve"> IF(Sheet1[[#This Row],[Ad Spend]] &gt; 0, (Sheet1[[#This Row],[Profit]] / Sheet1[[#This Row],[Ad Spend]]), 0)</f>
        <v>26.295999999999999</v>
      </c>
      <c r="K1579">
        <f>Sheet1[[#This Row],[Revenue]]-Sheet1[[#This Row],[Ad Spend]]</f>
        <v>65.739999999999995</v>
      </c>
      <c r="L1579" s="2" t="s">
        <v>22</v>
      </c>
      <c r="M1579">
        <v>2</v>
      </c>
      <c r="N1579" s="2" t="s">
        <v>15</v>
      </c>
      <c r="O1579">
        <v>68.239999999999995</v>
      </c>
    </row>
    <row r="1580" spans="1:15" x14ac:dyDescent="0.3">
      <c r="A1580" s="1">
        <v>45381</v>
      </c>
      <c r="B1580" s="2" t="s">
        <v>11</v>
      </c>
      <c r="C1580" s="2" t="s">
        <v>17</v>
      </c>
      <c r="D1580" s="2" t="s">
        <v>18</v>
      </c>
      <c r="E1580">
        <v>31.23</v>
      </c>
      <c r="F1580">
        <v>26.61</v>
      </c>
      <c r="G1580">
        <v>3</v>
      </c>
      <c r="H1580">
        <f t="shared" si="24"/>
        <v>54735.250000000029</v>
      </c>
      <c r="I1580" t="str">
        <f>IF(Sheet1[[#This Row],[Month_Revenue]] &lt; AVERAGE(Sheet1[Month_Revenue]), "Off-Peak", "Peak")</f>
        <v>Off-Peak</v>
      </c>
      <c r="J1580">
        <f xml:space="preserve"> IF(Sheet1[[#This Row],[Ad Spend]] &gt; 0, (Sheet1[[#This Row],[Profit]] / Sheet1[[#This Row],[Ad Spend]]), 0)</f>
        <v>0.1736189402480271</v>
      </c>
      <c r="K1580">
        <f>Sheet1[[#This Row],[Revenue]]-Sheet1[[#This Row],[Ad Spend]]</f>
        <v>4.620000000000001</v>
      </c>
      <c r="L1580" s="2" t="s">
        <v>14</v>
      </c>
      <c r="M1580">
        <v>3</v>
      </c>
      <c r="N1580" s="2" t="s">
        <v>19</v>
      </c>
      <c r="O1580">
        <v>10.41</v>
      </c>
    </row>
    <row r="1581" spans="1:15" x14ac:dyDescent="0.3">
      <c r="A1581" s="1">
        <v>45368</v>
      </c>
      <c r="B1581" s="2" t="s">
        <v>11</v>
      </c>
      <c r="C1581" s="2" t="s">
        <v>21</v>
      </c>
      <c r="D1581" s="2" t="s">
        <v>13</v>
      </c>
      <c r="E1581">
        <v>128.19</v>
      </c>
      <c r="F1581">
        <v>30.71</v>
      </c>
      <c r="G1581">
        <v>0</v>
      </c>
      <c r="H1581">
        <f t="shared" si="24"/>
        <v>54735.250000000029</v>
      </c>
      <c r="I1581" t="str">
        <f>IF(Sheet1[[#This Row],[Month_Revenue]] &lt; AVERAGE(Sheet1[Month_Revenue]), "Off-Peak", "Peak")</f>
        <v>Off-Peak</v>
      </c>
      <c r="J1581">
        <f xml:space="preserve"> IF(Sheet1[[#This Row],[Ad Spend]] &gt; 0, (Sheet1[[#This Row],[Profit]] / Sheet1[[#This Row],[Ad Spend]]), 0)</f>
        <v>3.1742103549332459</v>
      </c>
      <c r="K1581">
        <f>Sheet1[[#This Row],[Revenue]]-Sheet1[[#This Row],[Ad Spend]]</f>
        <v>97.47999999999999</v>
      </c>
      <c r="L1581" s="2" t="s">
        <v>14</v>
      </c>
      <c r="M1581">
        <v>3</v>
      </c>
      <c r="N1581" s="2" t="s">
        <v>19</v>
      </c>
      <c r="O1581">
        <v>0</v>
      </c>
    </row>
    <row r="1582" spans="1:15" x14ac:dyDescent="0.3">
      <c r="A1582" s="1">
        <v>45325</v>
      </c>
      <c r="B1582" s="2" t="s">
        <v>24</v>
      </c>
      <c r="C1582" s="2" t="s">
        <v>12</v>
      </c>
      <c r="D1582" s="2" t="s">
        <v>13</v>
      </c>
      <c r="E1582">
        <v>34.57</v>
      </c>
      <c r="F1582">
        <v>40.090000000000003</v>
      </c>
      <c r="G1582">
        <v>3</v>
      </c>
      <c r="H1582">
        <f t="shared" si="24"/>
        <v>48675.899999999936</v>
      </c>
      <c r="I1582" t="str">
        <f>IF(Sheet1[[#This Row],[Month_Revenue]] &lt; AVERAGE(Sheet1[Month_Revenue]), "Off-Peak", "Peak")</f>
        <v>Off-Peak</v>
      </c>
      <c r="J1582">
        <f xml:space="preserve"> IF(Sheet1[[#This Row],[Ad Spend]] &gt; 0, (Sheet1[[#This Row],[Profit]] / Sheet1[[#This Row],[Ad Spend]]), 0)</f>
        <v>-0.13769019705662267</v>
      </c>
      <c r="K1582">
        <f>Sheet1[[#This Row],[Revenue]]-Sheet1[[#This Row],[Ad Spend]]</f>
        <v>-5.5200000000000031</v>
      </c>
      <c r="L1582" s="2" t="s">
        <v>22</v>
      </c>
      <c r="M1582">
        <v>2</v>
      </c>
      <c r="N1582" s="2" t="s">
        <v>15</v>
      </c>
      <c r="O1582">
        <v>11.523333333333333</v>
      </c>
    </row>
    <row r="1583" spans="1:15" x14ac:dyDescent="0.3">
      <c r="A1583" s="1">
        <v>45373</v>
      </c>
      <c r="B1583" s="2" t="s">
        <v>11</v>
      </c>
      <c r="C1583" s="2" t="s">
        <v>17</v>
      </c>
      <c r="D1583" s="2" t="s">
        <v>18</v>
      </c>
      <c r="E1583">
        <v>68.069999999999993</v>
      </c>
      <c r="F1583">
        <v>14.65</v>
      </c>
      <c r="G1583">
        <v>2</v>
      </c>
      <c r="H1583">
        <f t="shared" si="24"/>
        <v>54735.250000000029</v>
      </c>
      <c r="I1583" t="str">
        <f>IF(Sheet1[[#This Row],[Month_Revenue]] &lt; AVERAGE(Sheet1[Month_Revenue]), "Off-Peak", "Peak")</f>
        <v>Off-Peak</v>
      </c>
      <c r="J1583">
        <f xml:space="preserve"> IF(Sheet1[[#This Row],[Ad Spend]] &gt; 0, (Sheet1[[#This Row],[Profit]] / Sheet1[[#This Row],[Ad Spend]]), 0)</f>
        <v>3.6464163822525593</v>
      </c>
      <c r="K1583">
        <f>Sheet1[[#This Row],[Revenue]]-Sheet1[[#This Row],[Ad Spend]]</f>
        <v>53.419999999999995</v>
      </c>
      <c r="L1583" s="2" t="s">
        <v>14</v>
      </c>
      <c r="M1583">
        <v>3</v>
      </c>
      <c r="N1583" s="2" t="s">
        <v>19</v>
      </c>
      <c r="O1583">
        <v>34.034999999999997</v>
      </c>
    </row>
    <row r="1584" spans="1:15" x14ac:dyDescent="0.3">
      <c r="A1584" s="1">
        <v>45308</v>
      </c>
      <c r="B1584" s="2" t="s">
        <v>11</v>
      </c>
      <c r="C1584" s="2" t="s">
        <v>17</v>
      </c>
      <c r="D1584" s="2" t="s">
        <v>18</v>
      </c>
      <c r="E1584">
        <v>109.88</v>
      </c>
      <c r="F1584">
        <v>18.04</v>
      </c>
      <c r="G1584">
        <v>0</v>
      </c>
      <c r="H1584">
        <f t="shared" si="24"/>
        <v>61207.979999999989</v>
      </c>
      <c r="I1584" t="str">
        <f>IF(Sheet1[[#This Row],[Month_Revenue]] &lt; AVERAGE(Sheet1[Month_Revenue]), "Off-Peak", "Peak")</f>
        <v>Peak</v>
      </c>
      <c r="J1584">
        <f xml:space="preserve"> IF(Sheet1[[#This Row],[Ad Spend]] &gt; 0, (Sheet1[[#This Row],[Profit]] / Sheet1[[#This Row],[Ad Spend]]), 0)</f>
        <v>5.0909090909090917</v>
      </c>
      <c r="K1584">
        <f>Sheet1[[#This Row],[Revenue]]-Sheet1[[#This Row],[Ad Spend]]</f>
        <v>91.84</v>
      </c>
      <c r="L1584" s="2" t="s">
        <v>14</v>
      </c>
      <c r="M1584">
        <v>1</v>
      </c>
      <c r="N1584" s="2" t="s">
        <v>15</v>
      </c>
      <c r="O1584">
        <v>0</v>
      </c>
    </row>
    <row r="1585" spans="1:15" x14ac:dyDescent="0.3">
      <c r="A1585" s="1">
        <v>45321</v>
      </c>
      <c r="B1585" s="2" t="s">
        <v>23</v>
      </c>
      <c r="C1585" s="2" t="s">
        <v>21</v>
      </c>
      <c r="D1585" s="2" t="s">
        <v>18</v>
      </c>
      <c r="E1585">
        <v>121.44</v>
      </c>
      <c r="F1585">
        <v>39.020000000000003</v>
      </c>
      <c r="G1585">
        <v>2</v>
      </c>
      <c r="H1585">
        <f t="shared" si="24"/>
        <v>61207.979999999989</v>
      </c>
      <c r="I1585" t="str">
        <f>IF(Sheet1[[#This Row],[Month_Revenue]] &lt; AVERAGE(Sheet1[Month_Revenue]), "Off-Peak", "Peak")</f>
        <v>Peak</v>
      </c>
      <c r="J1585">
        <f xml:space="preserve"> IF(Sheet1[[#This Row],[Ad Spend]] &gt; 0, (Sheet1[[#This Row],[Profit]] / Sheet1[[#This Row],[Ad Spend]]), 0)</f>
        <v>2.112250128139415</v>
      </c>
      <c r="K1585">
        <f>Sheet1[[#This Row],[Revenue]]-Sheet1[[#This Row],[Ad Spend]]</f>
        <v>82.419999999999987</v>
      </c>
      <c r="L1585" s="2" t="s">
        <v>14</v>
      </c>
      <c r="M1585">
        <v>1</v>
      </c>
      <c r="N1585" s="2" t="s">
        <v>15</v>
      </c>
      <c r="O1585">
        <v>60.72</v>
      </c>
    </row>
    <row r="1586" spans="1:15" x14ac:dyDescent="0.3">
      <c r="A1586" s="1">
        <v>45350</v>
      </c>
      <c r="B1586" s="2" t="s">
        <v>20</v>
      </c>
      <c r="C1586" s="2" t="s">
        <v>21</v>
      </c>
      <c r="D1586" s="2" t="s">
        <v>18</v>
      </c>
      <c r="E1586">
        <v>125.67</v>
      </c>
      <c r="F1586">
        <v>17.05</v>
      </c>
      <c r="G1586">
        <v>1</v>
      </c>
      <c r="H1586">
        <f t="shared" si="24"/>
        <v>48675.899999999936</v>
      </c>
      <c r="I1586" t="str">
        <f>IF(Sheet1[[#This Row],[Month_Revenue]] &lt; AVERAGE(Sheet1[Month_Revenue]), "Off-Peak", "Peak")</f>
        <v>Off-Peak</v>
      </c>
      <c r="J1586">
        <f xml:space="preserve"> IF(Sheet1[[#This Row],[Ad Spend]] &gt; 0, (Sheet1[[#This Row],[Profit]] / Sheet1[[#This Row],[Ad Spend]]), 0)</f>
        <v>6.3706744868035194</v>
      </c>
      <c r="K1586">
        <f>Sheet1[[#This Row],[Revenue]]-Sheet1[[#This Row],[Ad Spend]]</f>
        <v>108.62</v>
      </c>
      <c r="L1586" s="2" t="s">
        <v>14</v>
      </c>
      <c r="M1586">
        <v>2</v>
      </c>
      <c r="N1586" s="2" t="s">
        <v>15</v>
      </c>
      <c r="O1586">
        <v>125.67</v>
      </c>
    </row>
    <row r="1587" spans="1:15" x14ac:dyDescent="0.3">
      <c r="A1587" s="1">
        <v>45303</v>
      </c>
      <c r="B1587" s="2" t="s">
        <v>23</v>
      </c>
      <c r="C1587" s="2" t="s">
        <v>12</v>
      </c>
      <c r="D1587" s="2" t="s">
        <v>13</v>
      </c>
      <c r="E1587">
        <v>112.27</v>
      </c>
      <c r="F1587">
        <v>2.69</v>
      </c>
      <c r="G1587">
        <v>0</v>
      </c>
      <c r="H1587">
        <f t="shared" si="24"/>
        <v>61207.979999999989</v>
      </c>
      <c r="I1587" t="str">
        <f>IF(Sheet1[[#This Row],[Month_Revenue]] &lt; AVERAGE(Sheet1[Month_Revenue]), "Off-Peak", "Peak")</f>
        <v>Peak</v>
      </c>
      <c r="J1587">
        <f xml:space="preserve"> IF(Sheet1[[#This Row],[Ad Spend]] &gt; 0, (Sheet1[[#This Row],[Profit]] / Sheet1[[#This Row],[Ad Spend]]), 0)</f>
        <v>40.736059479553901</v>
      </c>
      <c r="K1587">
        <f>Sheet1[[#This Row],[Revenue]]-Sheet1[[#This Row],[Ad Spend]]</f>
        <v>109.58</v>
      </c>
      <c r="L1587" s="2" t="s">
        <v>14</v>
      </c>
      <c r="M1587">
        <v>1</v>
      </c>
      <c r="N1587" s="2" t="s">
        <v>15</v>
      </c>
      <c r="O1587">
        <v>0</v>
      </c>
    </row>
    <row r="1588" spans="1:15" x14ac:dyDescent="0.3">
      <c r="A1588" s="1">
        <v>45405</v>
      </c>
      <c r="B1588" s="2" t="s">
        <v>11</v>
      </c>
      <c r="C1588" s="2" t="s">
        <v>21</v>
      </c>
      <c r="D1588" s="2" t="s">
        <v>13</v>
      </c>
      <c r="E1588">
        <v>34.340000000000003</v>
      </c>
      <c r="F1588">
        <v>42.79</v>
      </c>
      <c r="G1588">
        <v>3</v>
      </c>
      <c r="H1588">
        <f t="shared" si="24"/>
        <v>58562.910000000018</v>
      </c>
      <c r="I1588" t="str">
        <f>IF(Sheet1[[#This Row],[Month_Revenue]] &lt; AVERAGE(Sheet1[Month_Revenue]), "Off-Peak", "Peak")</f>
        <v>Peak</v>
      </c>
      <c r="J1588">
        <f xml:space="preserve"> IF(Sheet1[[#This Row],[Ad Spend]] &gt; 0, (Sheet1[[#This Row],[Profit]] / Sheet1[[#This Row],[Ad Spend]]), 0)</f>
        <v>-0.19747604580509456</v>
      </c>
      <c r="K1588">
        <f>Sheet1[[#This Row],[Revenue]]-Sheet1[[#This Row],[Ad Spend]]</f>
        <v>-8.4499999999999957</v>
      </c>
      <c r="L1588" s="2" t="s">
        <v>22</v>
      </c>
      <c r="M1588">
        <v>4</v>
      </c>
      <c r="N1588" s="2" t="s">
        <v>19</v>
      </c>
      <c r="O1588">
        <v>11.446666666666667</v>
      </c>
    </row>
    <row r="1589" spans="1:15" x14ac:dyDescent="0.3">
      <c r="A1589" s="1">
        <v>45331</v>
      </c>
      <c r="B1589" s="2" t="s">
        <v>11</v>
      </c>
      <c r="C1589" s="2" t="s">
        <v>12</v>
      </c>
      <c r="D1589" s="2" t="s">
        <v>13</v>
      </c>
      <c r="E1589">
        <v>189.4</v>
      </c>
      <c r="F1589">
        <v>43.68</v>
      </c>
      <c r="G1589">
        <v>3</v>
      </c>
      <c r="H1589">
        <f t="shared" si="24"/>
        <v>48675.899999999936</v>
      </c>
      <c r="I1589" t="str">
        <f>IF(Sheet1[[#This Row],[Month_Revenue]] &lt; AVERAGE(Sheet1[Month_Revenue]), "Off-Peak", "Peak")</f>
        <v>Off-Peak</v>
      </c>
      <c r="J1589">
        <f xml:space="preserve"> IF(Sheet1[[#This Row],[Ad Spend]] &gt; 0, (Sheet1[[#This Row],[Profit]] / Sheet1[[#This Row],[Ad Spend]]), 0)</f>
        <v>3.3360805860805862</v>
      </c>
      <c r="K1589">
        <f>Sheet1[[#This Row],[Revenue]]-Sheet1[[#This Row],[Ad Spend]]</f>
        <v>145.72</v>
      </c>
      <c r="L1589" s="2" t="s">
        <v>14</v>
      </c>
      <c r="M1589">
        <v>2</v>
      </c>
      <c r="N1589" s="2" t="s">
        <v>15</v>
      </c>
      <c r="O1589">
        <v>63.133333333333333</v>
      </c>
    </row>
    <row r="1590" spans="1:15" x14ac:dyDescent="0.3">
      <c r="A1590" s="1">
        <v>45311</v>
      </c>
      <c r="B1590" s="2" t="s">
        <v>24</v>
      </c>
      <c r="C1590" s="2" t="s">
        <v>12</v>
      </c>
      <c r="D1590" s="2" t="s">
        <v>18</v>
      </c>
      <c r="E1590">
        <v>189.16</v>
      </c>
      <c r="F1590">
        <v>23.07</v>
      </c>
      <c r="G1590">
        <v>3</v>
      </c>
      <c r="H1590">
        <f t="shared" si="24"/>
        <v>61207.979999999989</v>
      </c>
      <c r="I1590" t="str">
        <f>IF(Sheet1[[#This Row],[Month_Revenue]] &lt; AVERAGE(Sheet1[Month_Revenue]), "Off-Peak", "Peak")</f>
        <v>Peak</v>
      </c>
      <c r="J1590">
        <f xml:space="preserve"> IF(Sheet1[[#This Row],[Ad Spend]] &gt; 0, (Sheet1[[#This Row],[Profit]] / Sheet1[[#This Row],[Ad Spend]]), 0)</f>
        <v>7.1993931512787173</v>
      </c>
      <c r="K1590">
        <f>Sheet1[[#This Row],[Revenue]]-Sheet1[[#This Row],[Ad Spend]]</f>
        <v>166.09</v>
      </c>
      <c r="L1590" s="2" t="s">
        <v>22</v>
      </c>
      <c r="M1590">
        <v>1</v>
      </c>
      <c r="N1590" s="2" t="s">
        <v>15</v>
      </c>
      <c r="O1590">
        <v>63.053333333333335</v>
      </c>
    </row>
    <row r="1591" spans="1:15" x14ac:dyDescent="0.3">
      <c r="A1591" s="1">
        <v>45324</v>
      </c>
      <c r="B1591" s="2" t="s">
        <v>11</v>
      </c>
      <c r="C1591" s="2" t="s">
        <v>12</v>
      </c>
      <c r="D1591" s="2" t="s">
        <v>18</v>
      </c>
      <c r="E1591">
        <v>28.38</v>
      </c>
      <c r="F1591">
        <v>44.2</v>
      </c>
      <c r="G1591">
        <v>0</v>
      </c>
      <c r="H1591">
        <f t="shared" si="24"/>
        <v>48675.899999999936</v>
      </c>
      <c r="I1591" t="str">
        <f>IF(Sheet1[[#This Row],[Month_Revenue]] &lt; AVERAGE(Sheet1[Month_Revenue]), "Off-Peak", "Peak")</f>
        <v>Off-Peak</v>
      </c>
      <c r="J1591">
        <f xml:space="preserve"> IF(Sheet1[[#This Row],[Ad Spend]] &gt; 0, (Sheet1[[#This Row],[Profit]] / Sheet1[[#This Row],[Ad Spend]]), 0)</f>
        <v>-0.35791855203619916</v>
      </c>
      <c r="K1591">
        <f>Sheet1[[#This Row],[Revenue]]-Sheet1[[#This Row],[Ad Spend]]</f>
        <v>-15.820000000000004</v>
      </c>
      <c r="L1591" s="2" t="s">
        <v>22</v>
      </c>
      <c r="M1591">
        <v>2</v>
      </c>
      <c r="N1591" s="2" t="s">
        <v>15</v>
      </c>
      <c r="O1591">
        <v>0</v>
      </c>
    </row>
    <row r="1592" spans="1:15" x14ac:dyDescent="0.3">
      <c r="A1592" s="1">
        <v>45401</v>
      </c>
      <c r="B1592" s="2" t="s">
        <v>24</v>
      </c>
      <c r="C1592" s="2" t="s">
        <v>17</v>
      </c>
      <c r="D1592" s="2" t="s">
        <v>18</v>
      </c>
      <c r="E1592">
        <v>155.59</v>
      </c>
      <c r="F1592">
        <v>19.079999999999998</v>
      </c>
      <c r="G1592">
        <v>3</v>
      </c>
      <c r="H1592">
        <f t="shared" si="24"/>
        <v>58562.910000000018</v>
      </c>
      <c r="I1592" t="str">
        <f>IF(Sheet1[[#This Row],[Month_Revenue]] &lt; AVERAGE(Sheet1[Month_Revenue]), "Off-Peak", "Peak")</f>
        <v>Peak</v>
      </c>
      <c r="J1592">
        <f xml:space="preserve"> IF(Sheet1[[#This Row],[Ad Spend]] &gt; 0, (Sheet1[[#This Row],[Profit]] / Sheet1[[#This Row],[Ad Spend]]), 0)</f>
        <v>7.1546121593291403</v>
      </c>
      <c r="K1592">
        <f>Sheet1[[#This Row],[Revenue]]-Sheet1[[#This Row],[Ad Spend]]</f>
        <v>136.51</v>
      </c>
      <c r="L1592" s="2" t="s">
        <v>22</v>
      </c>
      <c r="M1592">
        <v>4</v>
      </c>
      <c r="N1592" s="2" t="s">
        <v>19</v>
      </c>
      <c r="O1592">
        <v>51.863333333333337</v>
      </c>
    </row>
    <row r="1593" spans="1:15" x14ac:dyDescent="0.3">
      <c r="A1593" s="1">
        <v>45391</v>
      </c>
      <c r="B1593" s="2" t="s">
        <v>20</v>
      </c>
      <c r="C1593" s="2" t="s">
        <v>21</v>
      </c>
      <c r="D1593" s="2" t="s">
        <v>18</v>
      </c>
      <c r="E1593">
        <v>117.56</v>
      </c>
      <c r="F1593">
        <v>3.79</v>
      </c>
      <c r="G1593">
        <v>3</v>
      </c>
      <c r="H1593">
        <f t="shared" si="24"/>
        <v>58562.910000000018</v>
      </c>
      <c r="I1593" t="str">
        <f>IF(Sheet1[[#This Row],[Month_Revenue]] &lt; AVERAGE(Sheet1[Month_Revenue]), "Off-Peak", "Peak")</f>
        <v>Peak</v>
      </c>
      <c r="J1593">
        <f xml:space="preserve"> IF(Sheet1[[#This Row],[Ad Spend]] &gt; 0, (Sheet1[[#This Row],[Profit]] / Sheet1[[#This Row],[Ad Spend]]), 0)</f>
        <v>30.018469656992082</v>
      </c>
      <c r="K1593">
        <f>Sheet1[[#This Row],[Revenue]]-Sheet1[[#This Row],[Ad Spend]]</f>
        <v>113.77</v>
      </c>
      <c r="L1593" s="2" t="s">
        <v>14</v>
      </c>
      <c r="M1593">
        <v>4</v>
      </c>
      <c r="N1593" s="2" t="s">
        <v>19</v>
      </c>
      <c r="O1593">
        <v>39.186666666666667</v>
      </c>
    </row>
    <row r="1594" spans="1:15" x14ac:dyDescent="0.3">
      <c r="A1594" s="1">
        <v>45300</v>
      </c>
      <c r="B1594" s="2" t="s">
        <v>11</v>
      </c>
      <c r="C1594" s="2" t="s">
        <v>12</v>
      </c>
      <c r="D1594" s="2" t="s">
        <v>18</v>
      </c>
      <c r="E1594">
        <v>136.01</v>
      </c>
      <c r="F1594">
        <v>20.55</v>
      </c>
      <c r="G1594">
        <v>2</v>
      </c>
      <c r="H1594">
        <f t="shared" si="24"/>
        <v>61207.979999999989</v>
      </c>
      <c r="I1594" t="str">
        <f>IF(Sheet1[[#This Row],[Month_Revenue]] &lt; AVERAGE(Sheet1[Month_Revenue]), "Off-Peak", "Peak")</f>
        <v>Peak</v>
      </c>
      <c r="J1594">
        <f xml:space="preserve"> IF(Sheet1[[#This Row],[Ad Spend]] &gt; 0, (Sheet1[[#This Row],[Profit]] / Sheet1[[#This Row],[Ad Spend]]), 0)</f>
        <v>5.6184914841849141</v>
      </c>
      <c r="K1594">
        <f>Sheet1[[#This Row],[Revenue]]-Sheet1[[#This Row],[Ad Spend]]</f>
        <v>115.46</v>
      </c>
      <c r="L1594" s="2" t="s">
        <v>22</v>
      </c>
      <c r="M1594">
        <v>1</v>
      </c>
      <c r="N1594" s="2" t="s">
        <v>15</v>
      </c>
      <c r="O1594">
        <v>68.004999999999995</v>
      </c>
    </row>
    <row r="1595" spans="1:15" x14ac:dyDescent="0.3">
      <c r="A1595" s="1">
        <v>45412</v>
      </c>
      <c r="B1595" s="2" t="s">
        <v>23</v>
      </c>
      <c r="C1595" s="2" t="s">
        <v>12</v>
      </c>
      <c r="D1595" s="2" t="s">
        <v>18</v>
      </c>
      <c r="E1595">
        <v>148.41</v>
      </c>
      <c r="F1595">
        <v>27.99</v>
      </c>
      <c r="G1595">
        <v>0</v>
      </c>
      <c r="H1595">
        <f t="shared" si="24"/>
        <v>58562.910000000018</v>
      </c>
      <c r="I1595" t="str">
        <f>IF(Sheet1[[#This Row],[Month_Revenue]] &lt; AVERAGE(Sheet1[Month_Revenue]), "Off-Peak", "Peak")</f>
        <v>Peak</v>
      </c>
      <c r="J1595">
        <f xml:space="preserve"> IF(Sheet1[[#This Row],[Ad Spend]] &gt; 0, (Sheet1[[#This Row],[Profit]] / Sheet1[[#This Row],[Ad Spend]]), 0)</f>
        <v>4.302250803858521</v>
      </c>
      <c r="K1595">
        <f>Sheet1[[#This Row],[Revenue]]-Sheet1[[#This Row],[Ad Spend]]</f>
        <v>120.42</v>
      </c>
      <c r="L1595" s="2" t="s">
        <v>14</v>
      </c>
      <c r="M1595">
        <v>4</v>
      </c>
      <c r="N1595" s="2" t="s">
        <v>19</v>
      </c>
      <c r="O1595">
        <v>0</v>
      </c>
    </row>
    <row r="1596" spans="1:15" x14ac:dyDescent="0.3">
      <c r="A1596" s="1">
        <v>45359</v>
      </c>
      <c r="B1596" s="2" t="s">
        <v>11</v>
      </c>
      <c r="C1596" s="2" t="s">
        <v>12</v>
      </c>
      <c r="D1596" s="2" t="s">
        <v>13</v>
      </c>
      <c r="E1596">
        <v>127.25</v>
      </c>
      <c r="F1596">
        <v>28.84</v>
      </c>
      <c r="G1596">
        <v>0</v>
      </c>
      <c r="H1596">
        <f t="shared" si="24"/>
        <v>54735.250000000029</v>
      </c>
      <c r="I1596" t="str">
        <f>IF(Sheet1[[#This Row],[Month_Revenue]] &lt; AVERAGE(Sheet1[Month_Revenue]), "Off-Peak", "Peak")</f>
        <v>Off-Peak</v>
      </c>
      <c r="J1596">
        <f xml:space="preserve"> IF(Sheet1[[#This Row],[Ad Spend]] &gt; 0, (Sheet1[[#This Row],[Profit]] / Sheet1[[#This Row],[Ad Spend]]), 0)</f>
        <v>3.4122746185852981</v>
      </c>
      <c r="K1596">
        <f>Sheet1[[#This Row],[Revenue]]-Sheet1[[#This Row],[Ad Spend]]</f>
        <v>98.41</v>
      </c>
      <c r="L1596" s="2" t="s">
        <v>14</v>
      </c>
      <c r="M1596">
        <v>3</v>
      </c>
      <c r="N1596" s="2" t="s">
        <v>19</v>
      </c>
      <c r="O1596">
        <v>0</v>
      </c>
    </row>
    <row r="1597" spans="1:15" x14ac:dyDescent="0.3">
      <c r="A1597" s="1">
        <v>45336</v>
      </c>
      <c r="B1597" s="2" t="s">
        <v>11</v>
      </c>
      <c r="C1597" s="2" t="s">
        <v>17</v>
      </c>
      <c r="D1597" s="2" t="s">
        <v>13</v>
      </c>
      <c r="E1597">
        <v>90.56</v>
      </c>
      <c r="F1597">
        <v>2.19</v>
      </c>
      <c r="G1597">
        <v>3</v>
      </c>
      <c r="H1597">
        <f t="shared" si="24"/>
        <v>48675.899999999936</v>
      </c>
      <c r="I1597" t="str">
        <f>IF(Sheet1[[#This Row],[Month_Revenue]] &lt; AVERAGE(Sheet1[Month_Revenue]), "Off-Peak", "Peak")</f>
        <v>Off-Peak</v>
      </c>
      <c r="J1597">
        <f xml:space="preserve"> IF(Sheet1[[#This Row],[Ad Spend]] &gt; 0, (Sheet1[[#This Row],[Profit]] / Sheet1[[#This Row],[Ad Spend]]), 0)</f>
        <v>40.351598173515988</v>
      </c>
      <c r="K1597">
        <f>Sheet1[[#This Row],[Revenue]]-Sheet1[[#This Row],[Ad Spend]]</f>
        <v>88.37</v>
      </c>
      <c r="L1597" s="2" t="s">
        <v>14</v>
      </c>
      <c r="M1597">
        <v>2</v>
      </c>
      <c r="N1597" s="2" t="s">
        <v>15</v>
      </c>
      <c r="O1597">
        <v>30.186666666666667</v>
      </c>
    </row>
    <row r="1598" spans="1:15" x14ac:dyDescent="0.3">
      <c r="A1598" s="1">
        <v>45316</v>
      </c>
      <c r="B1598" s="2" t="s">
        <v>11</v>
      </c>
      <c r="C1598" s="2" t="s">
        <v>21</v>
      </c>
      <c r="D1598" s="2" t="s">
        <v>13</v>
      </c>
      <c r="E1598">
        <v>194.71</v>
      </c>
      <c r="F1598">
        <v>36.04</v>
      </c>
      <c r="G1598">
        <v>3</v>
      </c>
      <c r="H1598">
        <f t="shared" si="24"/>
        <v>61207.979999999989</v>
      </c>
      <c r="I1598" t="str">
        <f>IF(Sheet1[[#This Row],[Month_Revenue]] &lt; AVERAGE(Sheet1[Month_Revenue]), "Off-Peak", "Peak")</f>
        <v>Peak</v>
      </c>
      <c r="J1598">
        <f xml:space="preserve"> IF(Sheet1[[#This Row],[Ad Spend]] &gt; 0, (Sheet1[[#This Row],[Profit]] / Sheet1[[#This Row],[Ad Spend]]), 0)</f>
        <v>4.4026082130965598</v>
      </c>
      <c r="K1598">
        <f>Sheet1[[#This Row],[Revenue]]-Sheet1[[#This Row],[Ad Spend]]</f>
        <v>158.67000000000002</v>
      </c>
      <c r="L1598" s="2" t="s">
        <v>22</v>
      </c>
      <c r="M1598">
        <v>1</v>
      </c>
      <c r="N1598" s="2" t="s">
        <v>15</v>
      </c>
      <c r="O1598">
        <v>64.903333333333336</v>
      </c>
    </row>
    <row r="1599" spans="1:15" x14ac:dyDescent="0.3">
      <c r="A1599" s="1">
        <v>45407</v>
      </c>
      <c r="B1599" s="2" t="s">
        <v>23</v>
      </c>
      <c r="C1599" s="2" t="s">
        <v>17</v>
      </c>
      <c r="D1599" s="2" t="s">
        <v>18</v>
      </c>
      <c r="E1599">
        <v>163.97</v>
      </c>
      <c r="F1599">
        <v>36.549999999999997</v>
      </c>
      <c r="G1599">
        <v>2</v>
      </c>
      <c r="H1599">
        <f t="shared" si="24"/>
        <v>58562.910000000018</v>
      </c>
      <c r="I1599" t="str">
        <f>IF(Sheet1[[#This Row],[Month_Revenue]] &lt; AVERAGE(Sheet1[Month_Revenue]), "Off-Peak", "Peak")</f>
        <v>Peak</v>
      </c>
      <c r="J1599">
        <f xml:space="preserve"> IF(Sheet1[[#This Row],[Ad Spend]] &gt; 0, (Sheet1[[#This Row],[Profit]] / Sheet1[[#This Row],[Ad Spend]]), 0)</f>
        <v>3.4861833105335163</v>
      </c>
      <c r="K1599">
        <f>Sheet1[[#This Row],[Revenue]]-Sheet1[[#This Row],[Ad Spend]]</f>
        <v>127.42</v>
      </c>
      <c r="L1599" s="2" t="s">
        <v>22</v>
      </c>
      <c r="M1599">
        <v>4</v>
      </c>
      <c r="N1599" s="2" t="s">
        <v>19</v>
      </c>
      <c r="O1599">
        <v>81.984999999999999</v>
      </c>
    </row>
    <row r="1600" spans="1:15" x14ac:dyDescent="0.3">
      <c r="A1600" s="1">
        <v>45379</v>
      </c>
      <c r="B1600" s="2" t="s">
        <v>11</v>
      </c>
      <c r="C1600" s="2" t="s">
        <v>17</v>
      </c>
      <c r="D1600" s="2" t="s">
        <v>18</v>
      </c>
      <c r="E1600">
        <v>41</v>
      </c>
      <c r="F1600">
        <v>9.3800000000000008</v>
      </c>
      <c r="G1600">
        <v>1</v>
      </c>
      <c r="H1600">
        <f t="shared" si="24"/>
        <v>54735.250000000029</v>
      </c>
      <c r="I1600" t="str">
        <f>IF(Sheet1[[#This Row],[Month_Revenue]] &lt; AVERAGE(Sheet1[Month_Revenue]), "Off-Peak", "Peak")</f>
        <v>Off-Peak</v>
      </c>
      <c r="J1600">
        <f xml:space="preserve"> IF(Sheet1[[#This Row],[Ad Spend]] &gt; 0, (Sheet1[[#This Row],[Profit]] / Sheet1[[#This Row],[Ad Spend]]), 0)</f>
        <v>3.3710021321961614</v>
      </c>
      <c r="K1600">
        <f>Sheet1[[#This Row],[Revenue]]-Sheet1[[#This Row],[Ad Spend]]</f>
        <v>31.619999999999997</v>
      </c>
      <c r="L1600" s="2" t="s">
        <v>14</v>
      </c>
      <c r="M1600">
        <v>3</v>
      </c>
      <c r="N1600" s="2" t="s">
        <v>19</v>
      </c>
      <c r="O1600">
        <v>41</v>
      </c>
    </row>
    <row r="1601" spans="1:15" x14ac:dyDescent="0.3">
      <c r="A1601" s="1">
        <v>45376</v>
      </c>
      <c r="B1601" s="2" t="s">
        <v>23</v>
      </c>
      <c r="C1601" s="2" t="s">
        <v>21</v>
      </c>
      <c r="D1601" s="2" t="s">
        <v>18</v>
      </c>
      <c r="E1601">
        <v>39.61</v>
      </c>
      <c r="F1601">
        <v>30.69</v>
      </c>
      <c r="G1601">
        <v>3</v>
      </c>
      <c r="H1601">
        <f t="shared" si="24"/>
        <v>54735.250000000029</v>
      </c>
      <c r="I1601" t="str">
        <f>IF(Sheet1[[#This Row],[Month_Revenue]] &lt; AVERAGE(Sheet1[Month_Revenue]), "Off-Peak", "Peak")</f>
        <v>Off-Peak</v>
      </c>
      <c r="J1601">
        <f xml:space="preserve"> IF(Sheet1[[#This Row],[Ad Spend]] &gt; 0, (Sheet1[[#This Row],[Profit]] / Sheet1[[#This Row],[Ad Spend]]), 0)</f>
        <v>0.29064841968067767</v>
      </c>
      <c r="K1601">
        <f>Sheet1[[#This Row],[Revenue]]-Sheet1[[#This Row],[Ad Spend]]</f>
        <v>8.9199999999999982</v>
      </c>
      <c r="L1601" s="2" t="s">
        <v>22</v>
      </c>
      <c r="M1601">
        <v>3</v>
      </c>
      <c r="N1601" s="2" t="s">
        <v>19</v>
      </c>
      <c r="O1601">
        <v>13.203333333333333</v>
      </c>
    </row>
    <row r="1602" spans="1:15" x14ac:dyDescent="0.3">
      <c r="A1602" s="1">
        <v>45404</v>
      </c>
      <c r="B1602" s="2" t="s">
        <v>24</v>
      </c>
      <c r="C1602" s="2" t="s">
        <v>21</v>
      </c>
      <c r="D1602" s="2" t="s">
        <v>13</v>
      </c>
      <c r="E1602">
        <v>124.46</v>
      </c>
      <c r="F1602">
        <v>15.08</v>
      </c>
      <c r="G1602">
        <v>3</v>
      </c>
      <c r="H1602">
        <f t="shared" ref="H1602:H1665" si="25">SUMIFS($E$2:$E$2001, $M$2:$M$2001, M1602)</f>
        <v>58562.910000000018</v>
      </c>
      <c r="I1602" t="str">
        <f>IF(Sheet1[[#This Row],[Month_Revenue]] &lt; AVERAGE(Sheet1[Month_Revenue]), "Off-Peak", "Peak")</f>
        <v>Peak</v>
      </c>
      <c r="J1602">
        <f xml:space="preserve"> IF(Sheet1[[#This Row],[Ad Spend]] &gt; 0, (Sheet1[[#This Row],[Profit]] / Sheet1[[#This Row],[Ad Spend]]), 0)</f>
        <v>7.2533156498673739</v>
      </c>
      <c r="K1602">
        <f>Sheet1[[#This Row],[Revenue]]-Sheet1[[#This Row],[Ad Spend]]</f>
        <v>109.38</v>
      </c>
      <c r="L1602" s="2" t="s">
        <v>14</v>
      </c>
      <c r="M1602">
        <v>4</v>
      </c>
      <c r="N1602" s="2" t="s">
        <v>19</v>
      </c>
      <c r="O1602">
        <v>41.486666666666665</v>
      </c>
    </row>
    <row r="1603" spans="1:15" x14ac:dyDescent="0.3">
      <c r="A1603" s="1">
        <v>45374</v>
      </c>
      <c r="B1603" s="2" t="s">
        <v>20</v>
      </c>
      <c r="C1603" s="2" t="s">
        <v>17</v>
      </c>
      <c r="D1603" s="2" t="s">
        <v>18</v>
      </c>
      <c r="E1603">
        <v>88.98</v>
      </c>
      <c r="F1603">
        <v>8.7799999999999994</v>
      </c>
      <c r="G1603">
        <v>0</v>
      </c>
      <c r="H1603">
        <f t="shared" si="25"/>
        <v>54735.250000000029</v>
      </c>
      <c r="I1603" t="str">
        <f>IF(Sheet1[[#This Row],[Month_Revenue]] &lt; AVERAGE(Sheet1[Month_Revenue]), "Off-Peak", "Peak")</f>
        <v>Off-Peak</v>
      </c>
      <c r="J1603">
        <f xml:space="preserve"> IF(Sheet1[[#This Row],[Ad Spend]] &gt; 0, (Sheet1[[#This Row],[Profit]] / Sheet1[[#This Row],[Ad Spend]]), 0)</f>
        <v>9.1343963553530756</v>
      </c>
      <c r="K1603">
        <f>Sheet1[[#This Row],[Revenue]]-Sheet1[[#This Row],[Ad Spend]]</f>
        <v>80.2</v>
      </c>
      <c r="L1603" s="2" t="s">
        <v>22</v>
      </c>
      <c r="M1603">
        <v>3</v>
      </c>
      <c r="N1603" s="2" t="s">
        <v>19</v>
      </c>
      <c r="O1603">
        <v>0</v>
      </c>
    </row>
    <row r="1604" spans="1:15" x14ac:dyDescent="0.3">
      <c r="A1604" s="1">
        <v>45342</v>
      </c>
      <c r="B1604" s="2" t="s">
        <v>23</v>
      </c>
      <c r="C1604" s="2" t="s">
        <v>12</v>
      </c>
      <c r="D1604" s="2" t="s">
        <v>18</v>
      </c>
      <c r="E1604">
        <v>156.68</v>
      </c>
      <c r="F1604">
        <v>31.41</v>
      </c>
      <c r="G1604">
        <v>1</v>
      </c>
      <c r="H1604">
        <f t="shared" si="25"/>
        <v>48675.899999999936</v>
      </c>
      <c r="I1604" t="str">
        <f>IF(Sheet1[[#This Row],[Month_Revenue]] &lt; AVERAGE(Sheet1[Month_Revenue]), "Off-Peak", "Peak")</f>
        <v>Off-Peak</v>
      </c>
      <c r="J1604">
        <f xml:space="preserve"> IF(Sheet1[[#This Row],[Ad Spend]] &gt; 0, (Sheet1[[#This Row],[Profit]] / Sheet1[[#This Row],[Ad Spend]]), 0)</f>
        <v>3.9882203120025475</v>
      </c>
      <c r="K1604">
        <f>Sheet1[[#This Row],[Revenue]]-Sheet1[[#This Row],[Ad Spend]]</f>
        <v>125.27000000000001</v>
      </c>
      <c r="L1604" s="2" t="s">
        <v>14</v>
      </c>
      <c r="M1604">
        <v>2</v>
      </c>
      <c r="N1604" s="2" t="s">
        <v>15</v>
      </c>
      <c r="O1604">
        <v>156.68</v>
      </c>
    </row>
    <row r="1605" spans="1:15" x14ac:dyDescent="0.3">
      <c r="A1605" s="1">
        <v>45361</v>
      </c>
      <c r="B1605" s="2" t="s">
        <v>16</v>
      </c>
      <c r="C1605" s="2" t="s">
        <v>12</v>
      </c>
      <c r="D1605" s="2" t="s">
        <v>18</v>
      </c>
      <c r="E1605">
        <v>120.14</v>
      </c>
      <c r="F1605">
        <v>42.29</v>
      </c>
      <c r="G1605">
        <v>2</v>
      </c>
      <c r="H1605">
        <f t="shared" si="25"/>
        <v>54735.250000000029</v>
      </c>
      <c r="I1605" t="str">
        <f>IF(Sheet1[[#This Row],[Month_Revenue]] &lt; AVERAGE(Sheet1[Month_Revenue]), "Off-Peak", "Peak")</f>
        <v>Off-Peak</v>
      </c>
      <c r="J1605">
        <f xml:space="preserve"> IF(Sheet1[[#This Row],[Ad Spend]] &gt; 0, (Sheet1[[#This Row],[Profit]] / Sheet1[[#This Row],[Ad Spend]]), 0)</f>
        <v>1.8408607235753132</v>
      </c>
      <c r="K1605">
        <f>Sheet1[[#This Row],[Revenue]]-Sheet1[[#This Row],[Ad Spend]]</f>
        <v>77.849999999999994</v>
      </c>
      <c r="L1605" s="2" t="s">
        <v>22</v>
      </c>
      <c r="M1605">
        <v>3</v>
      </c>
      <c r="N1605" s="2" t="s">
        <v>19</v>
      </c>
      <c r="O1605">
        <v>60.07</v>
      </c>
    </row>
    <row r="1606" spans="1:15" x14ac:dyDescent="0.3">
      <c r="A1606" s="1">
        <v>45397</v>
      </c>
      <c r="B1606" s="2" t="s">
        <v>24</v>
      </c>
      <c r="C1606" s="2" t="s">
        <v>17</v>
      </c>
      <c r="D1606" s="2" t="s">
        <v>13</v>
      </c>
      <c r="E1606">
        <v>176.82</v>
      </c>
      <c r="F1606">
        <v>10.46</v>
      </c>
      <c r="G1606">
        <v>3</v>
      </c>
      <c r="H1606">
        <f t="shared" si="25"/>
        <v>58562.910000000018</v>
      </c>
      <c r="I1606" t="str">
        <f>IF(Sheet1[[#This Row],[Month_Revenue]] &lt; AVERAGE(Sheet1[Month_Revenue]), "Off-Peak", "Peak")</f>
        <v>Peak</v>
      </c>
      <c r="J1606">
        <f xml:space="preserve"> IF(Sheet1[[#This Row],[Ad Spend]] &gt; 0, (Sheet1[[#This Row],[Profit]] / Sheet1[[#This Row],[Ad Spend]]), 0)</f>
        <v>15.90439770554493</v>
      </c>
      <c r="K1606">
        <f>Sheet1[[#This Row],[Revenue]]-Sheet1[[#This Row],[Ad Spend]]</f>
        <v>166.35999999999999</v>
      </c>
      <c r="L1606" s="2" t="s">
        <v>14</v>
      </c>
      <c r="M1606">
        <v>4</v>
      </c>
      <c r="N1606" s="2" t="s">
        <v>19</v>
      </c>
      <c r="O1606">
        <v>58.94</v>
      </c>
    </row>
    <row r="1607" spans="1:15" x14ac:dyDescent="0.3">
      <c r="A1607" s="1">
        <v>45365</v>
      </c>
      <c r="B1607" s="2" t="s">
        <v>16</v>
      </c>
      <c r="C1607" s="2" t="s">
        <v>21</v>
      </c>
      <c r="D1607" s="2" t="s">
        <v>18</v>
      </c>
      <c r="E1607">
        <v>160.02000000000001</v>
      </c>
      <c r="F1607">
        <v>21.32</v>
      </c>
      <c r="G1607">
        <v>1</v>
      </c>
      <c r="H1607">
        <f t="shared" si="25"/>
        <v>54735.250000000029</v>
      </c>
      <c r="I1607" t="str">
        <f>IF(Sheet1[[#This Row],[Month_Revenue]] &lt; AVERAGE(Sheet1[Month_Revenue]), "Off-Peak", "Peak")</f>
        <v>Off-Peak</v>
      </c>
      <c r="J1607">
        <f xml:space="preserve"> IF(Sheet1[[#This Row],[Ad Spend]] &gt; 0, (Sheet1[[#This Row],[Profit]] / Sheet1[[#This Row],[Ad Spend]]), 0)</f>
        <v>6.5056285178236406</v>
      </c>
      <c r="K1607">
        <f>Sheet1[[#This Row],[Revenue]]-Sheet1[[#This Row],[Ad Spend]]</f>
        <v>138.70000000000002</v>
      </c>
      <c r="L1607" s="2" t="s">
        <v>22</v>
      </c>
      <c r="M1607">
        <v>3</v>
      </c>
      <c r="N1607" s="2" t="s">
        <v>19</v>
      </c>
      <c r="O1607">
        <v>160.02000000000001</v>
      </c>
    </row>
    <row r="1608" spans="1:15" x14ac:dyDescent="0.3">
      <c r="A1608" s="1">
        <v>45328</v>
      </c>
      <c r="B1608" s="2" t="s">
        <v>11</v>
      </c>
      <c r="C1608" s="2" t="s">
        <v>21</v>
      </c>
      <c r="D1608" s="2" t="s">
        <v>13</v>
      </c>
      <c r="E1608">
        <v>156.59</v>
      </c>
      <c r="F1608">
        <v>39.92</v>
      </c>
      <c r="G1608">
        <v>3</v>
      </c>
      <c r="H1608">
        <f t="shared" si="25"/>
        <v>48675.899999999936</v>
      </c>
      <c r="I1608" t="str">
        <f>IF(Sheet1[[#This Row],[Month_Revenue]] &lt; AVERAGE(Sheet1[Month_Revenue]), "Off-Peak", "Peak")</f>
        <v>Off-Peak</v>
      </c>
      <c r="J1608">
        <f xml:space="preserve"> IF(Sheet1[[#This Row],[Ad Spend]] &gt; 0, (Sheet1[[#This Row],[Profit]] / Sheet1[[#This Row],[Ad Spend]]), 0)</f>
        <v>2.9225951903807617</v>
      </c>
      <c r="K1608">
        <f>Sheet1[[#This Row],[Revenue]]-Sheet1[[#This Row],[Ad Spend]]</f>
        <v>116.67</v>
      </c>
      <c r="L1608" s="2" t="s">
        <v>22</v>
      </c>
      <c r="M1608">
        <v>2</v>
      </c>
      <c r="N1608" s="2" t="s">
        <v>15</v>
      </c>
      <c r="O1608">
        <v>52.196666666666665</v>
      </c>
    </row>
    <row r="1609" spans="1:15" x14ac:dyDescent="0.3">
      <c r="A1609" s="1">
        <v>45361</v>
      </c>
      <c r="B1609" s="2" t="s">
        <v>11</v>
      </c>
      <c r="C1609" s="2" t="s">
        <v>17</v>
      </c>
      <c r="D1609" s="2" t="s">
        <v>13</v>
      </c>
      <c r="E1609">
        <v>116.48</v>
      </c>
      <c r="F1609">
        <v>19.79</v>
      </c>
      <c r="G1609">
        <v>0</v>
      </c>
      <c r="H1609">
        <f t="shared" si="25"/>
        <v>54735.250000000029</v>
      </c>
      <c r="I1609" t="str">
        <f>IF(Sheet1[[#This Row],[Month_Revenue]] &lt; AVERAGE(Sheet1[Month_Revenue]), "Off-Peak", "Peak")</f>
        <v>Off-Peak</v>
      </c>
      <c r="J1609">
        <f xml:space="preserve"> IF(Sheet1[[#This Row],[Ad Spend]] &gt; 0, (Sheet1[[#This Row],[Profit]] / Sheet1[[#This Row],[Ad Spend]]), 0)</f>
        <v>4.8858009095502783</v>
      </c>
      <c r="K1609">
        <f>Sheet1[[#This Row],[Revenue]]-Sheet1[[#This Row],[Ad Spend]]</f>
        <v>96.69</v>
      </c>
      <c r="L1609" s="2" t="s">
        <v>14</v>
      </c>
      <c r="M1609">
        <v>3</v>
      </c>
      <c r="N1609" s="2" t="s">
        <v>19</v>
      </c>
      <c r="O1609">
        <v>0</v>
      </c>
    </row>
    <row r="1610" spans="1:15" x14ac:dyDescent="0.3">
      <c r="A1610" s="1">
        <v>45293</v>
      </c>
      <c r="B1610" s="2" t="s">
        <v>24</v>
      </c>
      <c r="C1610" s="2" t="s">
        <v>21</v>
      </c>
      <c r="D1610" s="2" t="s">
        <v>13</v>
      </c>
      <c r="E1610">
        <v>97.02</v>
      </c>
      <c r="F1610">
        <v>0.26</v>
      </c>
      <c r="G1610">
        <v>0</v>
      </c>
      <c r="H1610">
        <f t="shared" si="25"/>
        <v>61207.979999999989</v>
      </c>
      <c r="I1610" t="str">
        <f>IF(Sheet1[[#This Row],[Month_Revenue]] &lt; AVERAGE(Sheet1[Month_Revenue]), "Off-Peak", "Peak")</f>
        <v>Peak</v>
      </c>
      <c r="J1610">
        <f xml:space="preserve"> IF(Sheet1[[#This Row],[Ad Spend]] &gt; 0, (Sheet1[[#This Row],[Profit]] / Sheet1[[#This Row],[Ad Spend]]), 0)</f>
        <v>372.15384615384613</v>
      </c>
      <c r="K1610">
        <f>Sheet1[[#This Row],[Revenue]]-Sheet1[[#This Row],[Ad Spend]]</f>
        <v>96.759999999999991</v>
      </c>
      <c r="L1610" s="2" t="s">
        <v>22</v>
      </c>
      <c r="M1610">
        <v>1</v>
      </c>
      <c r="N1610" s="2" t="s">
        <v>15</v>
      </c>
      <c r="O1610">
        <v>0</v>
      </c>
    </row>
    <row r="1611" spans="1:15" x14ac:dyDescent="0.3">
      <c r="A1611" s="1">
        <v>45360</v>
      </c>
      <c r="B1611" s="2" t="s">
        <v>11</v>
      </c>
      <c r="C1611" s="2" t="s">
        <v>17</v>
      </c>
      <c r="D1611" s="2" t="s">
        <v>18</v>
      </c>
      <c r="E1611">
        <v>130.05000000000001</v>
      </c>
      <c r="F1611">
        <v>22.29</v>
      </c>
      <c r="G1611">
        <v>0</v>
      </c>
      <c r="H1611">
        <f t="shared" si="25"/>
        <v>54735.250000000029</v>
      </c>
      <c r="I1611" t="str">
        <f>IF(Sheet1[[#This Row],[Month_Revenue]] &lt; AVERAGE(Sheet1[Month_Revenue]), "Off-Peak", "Peak")</f>
        <v>Off-Peak</v>
      </c>
      <c r="J1611">
        <f xml:space="preserve"> IF(Sheet1[[#This Row],[Ad Spend]] &gt; 0, (Sheet1[[#This Row],[Profit]] / Sheet1[[#This Row],[Ad Spend]]), 0)</f>
        <v>4.8344549125168248</v>
      </c>
      <c r="K1611">
        <f>Sheet1[[#This Row],[Revenue]]-Sheet1[[#This Row],[Ad Spend]]</f>
        <v>107.76000000000002</v>
      </c>
      <c r="L1611" s="2" t="s">
        <v>22</v>
      </c>
      <c r="M1611">
        <v>3</v>
      </c>
      <c r="N1611" s="2" t="s">
        <v>19</v>
      </c>
      <c r="O1611">
        <v>0</v>
      </c>
    </row>
    <row r="1612" spans="1:15" x14ac:dyDescent="0.3">
      <c r="A1612" s="1">
        <v>45292</v>
      </c>
      <c r="B1612" s="2" t="s">
        <v>23</v>
      </c>
      <c r="C1612" s="2" t="s">
        <v>17</v>
      </c>
      <c r="D1612" s="2" t="s">
        <v>13</v>
      </c>
      <c r="E1612">
        <v>136.61000000000001</v>
      </c>
      <c r="F1612">
        <v>36.72</v>
      </c>
      <c r="G1612">
        <v>1</v>
      </c>
      <c r="H1612">
        <f t="shared" si="25"/>
        <v>61207.979999999989</v>
      </c>
      <c r="I1612" t="str">
        <f>IF(Sheet1[[#This Row],[Month_Revenue]] &lt; AVERAGE(Sheet1[Month_Revenue]), "Off-Peak", "Peak")</f>
        <v>Peak</v>
      </c>
      <c r="J1612">
        <f xml:space="preserve"> IF(Sheet1[[#This Row],[Ad Spend]] &gt; 0, (Sheet1[[#This Row],[Profit]] / Sheet1[[#This Row],[Ad Spend]]), 0)</f>
        <v>2.7203159041394342</v>
      </c>
      <c r="K1612">
        <f>Sheet1[[#This Row],[Revenue]]-Sheet1[[#This Row],[Ad Spend]]</f>
        <v>99.890000000000015</v>
      </c>
      <c r="L1612" s="2" t="s">
        <v>22</v>
      </c>
      <c r="M1612">
        <v>1</v>
      </c>
      <c r="N1612" s="2" t="s">
        <v>15</v>
      </c>
      <c r="O1612">
        <v>136.61000000000001</v>
      </c>
    </row>
    <row r="1613" spans="1:15" x14ac:dyDescent="0.3">
      <c r="A1613" s="1">
        <v>45313</v>
      </c>
      <c r="B1613" s="2" t="s">
        <v>24</v>
      </c>
      <c r="C1613" s="2" t="s">
        <v>12</v>
      </c>
      <c r="D1613" s="2" t="s">
        <v>13</v>
      </c>
      <c r="E1613">
        <v>107.61</v>
      </c>
      <c r="F1613">
        <v>35.869999999999997</v>
      </c>
      <c r="G1613">
        <v>2</v>
      </c>
      <c r="H1613">
        <f t="shared" si="25"/>
        <v>61207.979999999989</v>
      </c>
      <c r="I1613" t="str">
        <f>IF(Sheet1[[#This Row],[Month_Revenue]] &lt; AVERAGE(Sheet1[Month_Revenue]), "Off-Peak", "Peak")</f>
        <v>Peak</v>
      </c>
      <c r="J1613">
        <f xml:space="preserve"> IF(Sheet1[[#This Row],[Ad Spend]] &gt; 0, (Sheet1[[#This Row],[Profit]] / Sheet1[[#This Row],[Ad Spend]]), 0)</f>
        <v>2.0000000000000004</v>
      </c>
      <c r="K1613">
        <f>Sheet1[[#This Row],[Revenue]]-Sheet1[[#This Row],[Ad Spend]]</f>
        <v>71.740000000000009</v>
      </c>
      <c r="L1613" s="2" t="s">
        <v>14</v>
      </c>
      <c r="M1613">
        <v>1</v>
      </c>
      <c r="N1613" s="2" t="s">
        <v>15</v>
      </c>
      <c r="O1613">
        <v>53.805</v>
      </c>
    </row>
    <row r="1614" spans="1:15" x14ac:dyDescent="0.3">
      <c r="A1614" s="1">
        <v>45378</v>
      </c>
      <c r="B1614" s="2" t="s">
        <v>20</v>
      </c>
      <c r="C1614" s="2" t="s">
        <v>17</v>
      </c>
      <c r="D1614" s="2" t="s">
        <v>13</v>
      </c>
      <c r="E1614">
        <v>149.78</v>
      </c>
      <c r="F1614">
        <v>21.51</v>
      </c>
      <c r="G1614">
        <v>3</v>
      </c>
      <c r="H1614">
        <f t="shared" si="25"/>
        <v>54735.250000000029</v>
      </c>
      <c r="I1614" t="str">
        <f>IF(Sheet1[[#This Row],[Month_Revenue]] &lt; AVERAGE(Sheet1[Month_Revenue]), "Off-Peak", "Peak")</f>
        <v>Off-Peak</v>
      </c>
      <c r="J1614">
        <f xml:space="preserve"> IF(Sheet1[[#This Row],[Ad Spend]] &gt; 0, (Sheet1[[#This Row],[Profit]] / Sheet1[[#This Row],[Ad Spend]]), 0)</f>
        <v>5.9632728963272896</v>
      </c>
      <c r="K1614">
        <f>Sheet1[[#This Row],[Revenue]]-Sheet1[[#This Row],[Ad Spend]]</f>
        <v>128.27000000000001</v>
      </c>
      <c r="L1614" s="2" t="s">
        <v>14</v>
      </c>
      <c r="M1614">
        <v>3</v>
      </c>
      <c r="N1614" s="2" t="s">
        <v>19</v>
      </c>
      <c r="O1614">
        <v>49.926666666666669</v>
      </c>
    </row>
    <row r="1615" spans="1:15" x14ac:dyDescent="0.3">
      <c r="A1615" s="1">
        <v>45332</v>
      </c>
      <c r="B1615" s="2" t="s">
        <v>23</v>
      </c>
      <c r="C1615" s="2" t="s">
        <v>17</v>
      </c>
      <c r="D1615" s="2" t="s">
        <v>13</v>
      </c>
      <c r="E1615">
        <v>157.24</v>
      </c>
      <c r="F1615">
        <v>12.61</v>
      </c>
      <c r="G1615">
        <v>0</v>
      </c>
      <c r="H1615">
        <f t="shared" si="25"/>
        <v>48675.899999999936</v>
      </c>
      <c r="I1615" t="str">
        <f>IF(Sheet1[[#This Row],[Month_Revenue]] &lt; AVERAGE(Sheet1[Month_Revenue]), "Off-Peak", "Peak")</f>
        <v>Off-Peak</v>
      </c>
      <c r="J1615">
        <f xml:space="preserve"> IF(Sheet1[[#This Row],[Ad Spend]] &gt; 0, (Sheet1[[#This Row],[Profit]] / Sheet1[[#This Row],[Ad Spend]]), 0)</f>
        <v>11.469468675654243</v>
      </c>
      <c r="K1615">
        <f>Sheet1[[#This Row],[Revenue]]-Sheet1[[#This Row],[Ad Spend]]</f>
        <v>144.63</v>
      </c>
      <c r="L1615" s="2" t="s">
        <v>14</v>
      </c>
      <c r="M1615">
        <v>2</v>
      </c>
      <c r="N1615" s="2" t="s">
        <v>15</v>
      </c>
      <c r="O1615">
        <v>0</v>
      </c>
    </row>
    <row r="1616" spans="1:15" x14ac:dyDescent="0.3">
      <c r="A1616" s="1">
        <v>45397</v>
      </c>
      <c r="B1616" s="2" t="s">
        <v>24</v>
      </c>
      <c r="C1616" s="2" t="s">
        <v>21</v>
      </c>
      <c r="D1616" s="2" t="s">
        <v>13</v>
      </c>
      <c r="E1616">
        <v>153.85</v>
      </c>
      <c r="F1616">
        <v>44.54</v>
      </c>
      <c r="G1616">
        <v>1</v>
      </c>
      <c r="H1616">
        <f t="shared" si="25"/>
        <v>58562.910000000018</v>
      </c>
      <c r="I1616" t="str">
        <f>IF(Sheet1[[#This Row],[Month_Revenue]] &lt; AVERAGE(Sheet1[Month_Revenue]), "Off-Peak", "Peak")</f>
        <v>Peak</v>
      </c>
      <c r="J1616">
        <f xml:space="preserve"> IF(Sheet1[[#This Row],[Ad Spend]] &gt; 0, (Sheet1[[#This Row],[Profit]] / Sheet1[[#This Row],[Ad Spend]]), 0)</f>
        <v>2.4541984732824429</v>
      </c>
      <c r="K1616">
        <f>Sheet1[[#This Row],[Revenue]]-Sheet1[[#This Row],[Ad Spend]]</f>
        <v>109.31</v>
      </c>
      <c r="L1616" s="2" t="s">
        <v>22</v>
      </c>
      <c r="M1616">
        <v>4</v>
      </c>
      <c r="N1616" s="2" t="s">
        <v>19</v>
      </c>
      <c r="O1616">
        <v>153.85</v>
      </c>
    </row>
    <row r="1617" spans="1:15" x14ac:dyDescent="0.3">
      <c r="A1617" s="1">
        <v>45355</v>
      </c>
      <c r="B1617" s="2" t="s">
        <v>20</v>
      </c>
      <c r="C1617" s="2" t="s">
        <v>21</v>
      </c>
      <c r="D1617" s="2" t="s">
        <v>18</v>
      </c>
      <c r="E1617">
        <v>196.43</v>
      </c>
      <c r="F1617">
        <v>9.7100000000000009</v>
      </c>
      <c r="G1617">
        <v>3</v>
      </c>
      <c r="H1617">
        <f t="shared" si="25"/>
        <v>54735.250000000029</v>
      </c>
      <c r="I1617" t="str">
        <f>IF(Sheet1[[#This Row],[Month_Revenue]] &lt; AVERAGE(Sheet1[Month_Revenue]), "Off-Peak", "Peak")</f>
        <v>Off-Peak</v>
      </c>
      <c r="J1617">
        <f xml:space="preserve"> IF(Sheet1[[#This Row],[Ad Spend]] &gt; 0, (Sheet1[[#This Row],[Profit]] / Sheet1[[#This Row],[Ad Spend]]), 0)</f>
        <v>19.229660144181256</v>
      </c>
      <c r="K1617">
        <f>Sheet1[[#This Row],[Revenue]]-Sheet1[[#This Row],[Ad Spend]]</f>
        <v>186.72</v>
      </c>
      <c r="L1617" s="2" t="s">
        <v>22</v>
      </c>
      <c r="M1617">
        <v>3</v>
      </c>
      <c r="N1617" s="2" t="s">
        <v>19</v>
      </c>
      <c r="O1617">
        <v>65.476666666666674</v>
      </c>
    </row>
    <row r="1618" spans="1:15" x14ac:dyDescent="0.3">
      <c r="A1618" s="1">
        <v>45307</v>
      </c>
      <c r="B1618" s="2" t="s">
        <v>24</v>
      </c>
      <c r="C1618" s="2" t="s">
        <v>21</v>
      </c>
      <c r="D1618" s="2" t="s">
        <v>18</v>
      </c>
      <c r="E1618">
        <v>135.09</v>
      </c>
      <c r="F1618">
        <v>28.77</v>
      </c>
      <c r="G1618">
        <v>1</v>
      </c>
      <c r="H1618">
        <f t="shared" si="25"/>
        <v>61207.979999999989</v>
      </c>
      <c r="I1618" t="str">
        <f>IF(Sheet1[[#This Row],[Month_Revenue]] &lt; AVERAGE(Sheet1[Month_Revenue]), "Off-Peak", "Peak")</f>
        <v>Peak</v>
      </c>
      <c r="J1618">
        <f xml:space="preserve"> IF(Sheet1[[#This Row],[Ad Spend]] &gt; 0, (Sheet1[[#This Row],[Profit]] / Sheet1[[#This Row],[Ad Spend]]), 0)</f>
        <v>3.6955161626694477</v>
      </c>
      <c r="K1618">
        <f>Sheet1[[#This Row],[Revenue]]-Sheet1[[#This Row],[Ad Spend]]</f>
        <v>106.32000000000001</v>
      </c>
      <c r="L1618" s="2" t="s">
        <v>14</v>
      </c>
      <c r="M1618">
        <v>1</v>
      </c>
      <c r="N1618" s="2" t="s">
        <v>15</v>
      </c>
      <c r="O1618">
        <v>135.09</v>
      </c>
    </row>
    <row r="1619" spans="1:15" x14ac:dyDescent="0.3">
      <c r="A1619" s="1">
        <v>45348</v>
      </c>
      <c r="B1619" s="2" t="s">
        <v>20</v>
      </c>
      <c r="C1619" s="2" t="s">
        <v>17</v>
      </c>
      <c r="D1619" s="2" t="s">
        <v>13</v>
      </c>
      <c r="E1619">
        <v>84.15</v>
      </c>
      <c r="F1619">
        <v>40.93</v>
      </c>
      <c r="G1619">
        <v>0</v>
      </c>
      <c r="H1619">
        <f t="shared" si="25"/>
        <v>48675.899999999936</v>
      </c>
      <c r="I1619" t="str">
        <f>IF(Sheet1[[#This Row],[Month_Revenue]] &lt; AVERAGE(Sheet1[Month_Revenue]), "Off-Peak", "Peak")</f>
        <v>Off-Peak</v>
      </c>
      <c r="J1619">
        <f xml:space="preserve"> IF(Sheet1[[#This Row],[Ad Spend]] &gt; 0, (Sheet1[[#This Row],[Profit]] / Sheet1[[#This Row],[Ad Spend]]), 0)</f>
        <v>1.0559491815294406</v>
      </c>
      <c r="K1619">
        <f>Sheet1[[#This Row],[Revenue]]-Sheet1[[#This Row],[Ad Spend]]</f>
        <v>43.220000000000006</v>
      </c>
      <c r="L1619" s="2" t="s">
        <v>22</v>
      </c>
      <c r="M1619">
        <v>2</v>
      </c>
      <c r="N1619" s="2" t="s">
        <v>15</v>
      </c>
      <c r="O1619">
        <v>0</v>
      </c>
    </row>
    <row r="1620" spans="1:15" x14ac:dyDescent="0.3">
      <c r="A1620" s="1">
        <v>45320</v>
      </c>
      <c r="B1620" s="2" t="s">
        <v>20</v>
      </c>
      <c r="C1620" s="2" t="s">
        <v>21</v>
      </c>
      <c r="D1620" s="2" t="s">
        <v>18</v>
      </c>
      <c r="E1620">
        <v>32.64</v>
      </c>
      <c r="F1620">
        <v>36.83</v>
      </c>
      <c r="G1620">
        <v>1</v>
      </c>
      <c r="H1620">
        <f t="shared" si="25"/>
        <v>61207.979999999989</v>
      </c>
      <c r="I1620" t="str">
        <f>IF(Sheet1[[#This Row],[Month_Revenue]] &lt; AVERAGE(Sheet1[Month_Revenue]), "Off-Peak", "Peak")</f>
        <v>Peak</v>
      </c>
      <c r="J1620">
        <f xml:space="preserve"> IF(Sheet1[[#This Row],[Ad Spend]] &gt; 0, (Sheet1[[#This Row],[Profit]] / Sheet1[[#This Row],[Ad Spend]]), 0)</f>
        <v>-0.11376595166983432</v>
      </c>
      <c r="K1620">
        <f>Sheet1[[#This Row],[Revenue]]-Sheet1[[#This Row],[Ad Spend]]</f>
        <v>-4.1899999999999977</v>
      </c>
      <c r="L1620" s="2" t="s">
        <v>22</v>
      </c>
      <c r="M1620">
        <v>1</v>
      </c>
      <c r="N1620" s="2" t="s">
        <v>15</v>
      </c>
      <c r="O1620">
        <v>32.64</v>
      </c>
    </row>
    <row r="1621" spans="1:15" x14ac:dyDescent="0.3">
      <c r="A1621" s="1">
        <v>45349</v>
      </c>
      <c r="B1621" s="2" t="s">
        <v>23</v>
      </c>
      <c r="C1621" s="2" t="s">
        <v>17</v>
      </c>
      <c r="D1621" s="2" t="s">
        <v>13</v>
      </c>
      <c r="E1621">
        <v>159.44999999999999</v>
      </c>
      <c r="F1621">
        <v>49.5</v>
      </c>
      <c r="G1621">
        <v>1</v>
      </c>
      <c r="H1621">
        <f t="shared" si="25"/>
        <v>48675.899999999936</v>
      </c>
      <c r="I1621" t="str">
        <f>IF(Sheet1[[#This Row],[Month_Revenue]] &lt; AVERAGE(Sheet1[Month_Revenue]), "Off-Peak", "Peak")</f>
        <v>Off-Peak</v>
      </c>
      <c r="J1621">
        <f xml:space="preserve"> IF(Sheet1[[#This Row],[Ad Spend]] &gt; 0, (Sheet1[[#This Row],[Profit]] / Sheet1[[#This Row],[Ad Spend]]), 0)</f>
        <v>2.2212121212121212</v>
      </c>
      <c r="K1621">
        <f>Sheet1[[#This Row],[Revenue]]-Sheet1[[#This Row],[Ad Spend]]</f>
        <v>109.94999999999999</v>
      </c>
      <c r="L1621" s="2" t="s">
        <v>22</v>
      </c>
      <c r="M1621">
        <v>2</v>
      </c>
      <c r="N1621" s="2" t="s">
        <v>15</v>
      </c>
      <c r="O1621">
        <v>159.44999999999999</v>
      </c>
    </row>
    <row r="1622" spans="1:15" x14ac:dyDescent="0.3">
      <c r="A1622" s="1">
        <v>45409</v>
      </c>
      <c r="B1622" s="2" t="s">
        <v>24</v>
      </c>
      <c r="C1622" s="2" t="s">
        <v>12</v>
      </c>
      <c r="D1622" s="2" t="s">
        <v>13</v>
      </c>
      <c r="E1622">
        <v>138.13999999999999</v>
      </c>
      <c r="F1622">
        <v>19.05</v>
      </c>
      <c r="G1622">
        <v>1</v>
      </c>
      <c r="H1622">
        <f t="shared" si="25"/>
        <v>58562.910000000018</v>
      </c>
      <c r="I1622" t="str">
        <f>IF(Sheet1[[#This Row],[Month_Revenue]] &lt; AVERAGE(Sheet1[Month_Revenue]), "Off-Peak", "Peak")</f>
        <v>Peak</v>
      </c>
      <c r="J1622">
        <f xml:space="preserve"> IF(Sheet1[[#This Row],[Ad Spend]] &gt; 0, (Sheet1[[#This Row],[Profit]] / Sheet1[[#This Row],[Ad Spend]]), 0)</f>
        <v>6.2514435695538051</v>
      </c>
      <c r="K1622">
        <f>Sheet1[[#This Row],[Revenue]]-Sheet1[[#This Row],[Ad Spend]]</f>
        <v>119.08999999999999</v>
      </c>
      <c r="L1622" s="2" t="s">
        <v>14</v>
      </c>
      <c r="M1622">
        <v>4</v>
      </c>
      <c r="N1622" s="2" t="s">
        <v>19</v>
      </c>
      <c r="O1622">
        <v>138.13999999999999</v>
      </c>
    </row>
    <row r="1623" spans="1:15" x14ac:dyDescent="0.3">
      <c r="A1623" s="1">
        <v>45398</v>
      </c>
      <c r="B1623" s="2" t="s">
        <v>23</v>
      </c>
      <c r="C1623" s="2" t="s">
        <v>17</v>
      </c>
      <c r="D1623" s="2" t="s">
        <v>13</v>
      </c>
      <c r="E1623">
        <v>140.47</v>
      </c>
      <c r="F1623">
        <v>29.79</v>
      </c>
      <c r="G1623">
        <v>3</v>
      </c>
      <c r="H1623">
        <f t="shared" si="25"/>
        <v>58562.910000000018</v>
      </c>
      <c r="I1623" t="str">
        <f>IF(Sheet1[[#This Row],[Month_Revenue]] &lt; AVERAGE(Sheet1[Month_Revenue]), "Off-Peak", "Peak")</f>
        <v>Peak</v>
      </c>
      <c r="J1623">
        <f xml:space="preserve"> IF(Sheet1[[#This Row],[Ad Spend]] &gt; 0, (Sheet1[[#This Row],[Profit]] / Sheet1[[#This Row],[Ad Spend]]), 0)</f>
        <v>3.7153407183618667</v>
      </c>
      <c r="K1623">
        <f>Sheet1[[#This Row],[Revenue]]-Sheet1[[#This Row],[Ad Spend]]</f>
        <v>110.68</v>
      </c>
      <c r="L1623" s="2" t="s">
        <v>14</v>
      </c>
      <c r="M1623">
        <v>4</v>
      </c>
      <c r="N1623" s="2" t="s">
        <v>19</v>
      </c>
      <c r="O1623">
        <v>46.823333333333331</v>
      </c>
    </row>
    <row r="1624" spans="1:15" x14ac:dyDescent="0.3">
      <c r="A1624" s="1">
        <v>45392</v>
      </c>
      <c r="B1624" s="2" t="s">
        <v>11</v>
      </c>
      <c r="C1624" s="2" t="s">
        <v>12</v>
      </c>
      <c r="D1624" s="2" t="s">
        <v>13</v>
      </c>
      <c r="E1624">
        <v>154.27000000000001</v>
      </c>
      <c r="F1624">
        <v>6.41</v>
      </c>
      <c r="G1624">
        <v>1</v>
      </c>
      <c r="H1624">
        <f t="shared" si="25"/>
        <v>58562.910000000018</v>
      </c>
      <c r="I1624" t="str">
        <f>IF(Sheet1[[#This Row],[Month_Revenue]] &lt; AVERAGE(Sheet1[Month_Revenue]), "Off-Peak", "Peak")</f>
        <v>Peak</v>
      </c>
      <c r="J1624">
        <f xml:space="preserve"> IF(Sheet1[[#This Row],[Ad Spend]] &gt; 0, (Sheet1[[#This Row],[Profit]] / Sheet1[[#This Row],[Ad Spend]]), 0)</f>
        <v>23.067082683307333</v>
      </c>
      <c r="K1624">
        <f>Sheet1[[#This Row],[Revenue]]-Sheet1[[#This Row],[Ad Spend]]</f>
        <v>147.86000000000001</v>
      </c>
      <c r="L1624" s="2" t="s">
        <v>22</v>
      </c>
      <c r="M1624">
        <v>4</v>
      </c>
      <c r="N1624" s="2" t="s">
        <v>19</v>
      </c>
      <c r="O1624">
        <v>154.27000000000001</v>
      </c>
    </row>
    <row r="1625" spans="1:15" x14ac:dyDescent="0.3">
      <c r="A1625" s="1">
        <v>45326</v>
      </c>
      <c r="B1625" s="2" t="s">
        <v>24</v>
      </c>
      <c r="C1625" s="2" t="s">
        <v>12</v>
      </c>
      <c r="D1625" s="2" t="s">
        <v>18</v>
      </c>
      <c r="E1625">
        <v>179.28</v>
      </c>
      <c r="F1625">
        <v>3.25</v>
      </c>
      <c r="G1625">
        <v>1</v>
      </c>
      <c r="H1625">
        <f t="shared" si="25"/>
        <v>48675.899999999936</v>
      </c>
      <c r="I1625" t="str">
        <f>IF(Sheet1[[#This Row],[Month_Revenue]] &lt; AVERAGE(Sheet1[Month_Revenue]), "Off-Peak", "Peak")</f>
        <v>Off-Peak</v>
      </c>
      <c r="J1625">
        <f xml:space="preserve"> IF(Sheet1[[#This Row],[Ad Spend]] &gt; 0, (Sheet1[[#This Row],[Profit]] / Sheet1[[#This Row],[Ad Spend]]), 0)</f>
        <v>54.163076923076922</v>
      </c>
      <c r="K1625">
        <f>Sheet1[[#This Row],[Revenue]]-Sheet1[[#This Row],[Ad Spend]]</f>
        <v>176.03</v>
      </c>
      <c r="L1625" s="2" t="s">
        <v>14</v>
      </c>
      <c r="M1625">
        <v>2</v>
      </c>
      <c r="N1625" s="2" t="s">
        <v>15</v>
      </c>
      <c r="O1625">
        <v>179.28</v>
      </c>
    </row>
    <row r="1626" spans="1:15" x14ac:dyDescent="0.3">
      <c r="A1626" s="1">
        <v>45407</v>
      </c>
      <c r="B1626" s="2" t="s">
        <v>16</v>
      </c>
      <c r="C1626" s="2" t="s">
        <v>12</v>
      </c>
      <c r="D1626" s="2" t="s">
        <v>13</v>
      </c>
      <c r="E1626">
        <v>147.57</v>
      </c>
      <c r="F1626">
        <v>32.270000000000003</v>
      </c>
      <c r="G1626">
        <v>2</v>
      </c>
      <c r="H1626">
        <f t="shared" si="25"/>
        <v>58562.910000000018</v>
      </c>
      <c r="I1626" t="str">
        <f>IF(Sheet1[[#This Row],[Month_Revenue]] &lt; AVERAGE(Sheet1[Month_Revenue]), "Off-Peak", "Peak")</f>
        <v>Peak</v>
      </c>
      <c r="J1626">
        <f xml:space="preserve"> IF(Sheet1[[#This Row],[Ad Spend]] &gt; 0, (Sheet1[[#This Row],[Profit]] / Sheet1[[#This Row],[Ad Spend]]), 0)</f>
        <v>3.5729779981406873</v>
      </c>
      <c r="K1626">
        <f>Sheet1[[#This Row],[Revenue]]-Sheet1[[#This Row],[Ad Spend]]</f>
        <v>115.29999999999998</v>
      </c>
      <c r="L1626" s="2" t="s">
        <v>14</v>
      </c>
      <c r="M1626">
        <v>4</v>
      </c>
      <c r="N1626" s="2" t="s">
        <v>19</v>
      </c>
      <c r="O1626">
        <v>73.784999999999997</v>
      </c>
    </row>
    <row r="1627" spans="1:15" x14ac:dyDescent="0.3">
      <c r="A1627" s="1">
        <v>45408</v>
      </c>
      <c r="B1627" s="2" t="s">
        <v>20</v>
      </c>
      <c r="C1627" s="2" t="s">
        <v>12</v>
      </c>
      <c r="D1627" s="2" t="s">
        <v>13</v>
      </c>
      <c r="E1627">
        <v>106.7</v>
      </c>
      <c r="F1627">
        <v>23.71</v>
      </c>
      <c r="G1627">
        <v>1</v>
      </c>
      <c r="H1627">
        <f t="shared" si="25"/>
        <v>58562.910000000018</v>
      </c>
      <c r="I1627" t="str">
        <f>IF(Sheet1[[#This Row],[Month_Revenue]] &lt; AVERAGE(Sheet1[Month_Revenue]), "Off-Peak", "Peak")</f>
        <v>Peak</v>
      </c>
      <c r="J1627">
        <f xml:space="preserve"> IF(Sheet1[[#This Row],[Ad Spend]] &gt; 0, (Sheet1[[#This Row],[Profit]] / Sheet1[[#This Row],[Ad Spend]]), 0)</f>
        <v>3.5002108814846058</v>
      </c>
      <c r="K1627">
        <f>Sheet1[[#This Row],[Revenue]]-Sheet1[[#This Row],[Ad Spend]]</f>
        <v>82.990000000000009</v>
      </c>
      <c r="L1627" s="2" t="s">
        <v>14</v>
      </c>
      <c r="M1627">
        <v>4</v>
      </c>
      <c r="N1627" s="2" t="s">
        <v>19</v>
      </c>
      <c r="O1627">
        <v>106.7</v>
      </c>
    </row>
    <row r="1628" spans="1:15" x14ac:dyDescent="0.3">
      <c r="A1628" s="1">
        <v>45380</v>
      </c>
      <c r="B1628" s="2" t="s">
        <v>23</v>
      </c>
      <c r="C1628" s="2" t="s">
        <v>17</v>
      </c>
      <c r="D1628" s="2" t="s">
        <v>13</v>
      </c>
      <c r="E1628">
        <v>70.28</v>
      </c>
      <c r="F1628">
        <v>26.26</v>
      </c>
      <c r="G1628">
        <v>0</v>
      </c>
      <c r="H1628">
        <f t="shared" si="25"/>
        <v>54735.250000000029</v>
      </c>
      <c r="I1628" t="str">
        <f>IF(Sheet1[[#This Row],[Month_Revenue]] &lt; AVERAGE(Sheet1[Month_Revenue]), "Off-Peak", "Peak")</f>
        <v>Off-Peak</v>
      </c>
      <c r="J1628">
        <f xml:space="preserve"> IF(Sheet1[[#This Row],[Ad Spend]] &gt; 0, (Sheet1[[#This Row],[Profit]] / Sheet1[[#This Row],[Ad Spend]]), 0)</f>
        <v>1.6763137852246761</v>
      </c>
      <c r="K1628">
        <f>Sheet1[[#This Row],[Revenue]]-Sheet1[[#This Row],[Ad Spend]]</f>
        <v>44.019999999999996</v>
      </c>
      <c r="L1628" s="2" t="s">
        <v>22</v>
      </c>
      <c r="M1628">
        <v>3</v>
      </c>
      <c r="N1628" s="2" t="s">
        <v>19</v>
      </c>
      <c r="O1628">
        <v>0</v>
      </c>
    </row>
    <row r="1629" spans="1:15" x14ac:dyDescent="0.3">
      <c r="A1629" s="1">
        <v>45344</v>
      </c>
      <c r="B1629" s="2" t="s">
        <v>20</v>
      </c>
      <c r="C1629" s="2" t="s">
        <v>17</v>
      </c>
      <c r="D1629" s="2" t="s">
        <v>18</v>
      </c>
      <c r="E1629">
        <v>32.81</v>
      </c>
      <c r="F1629">
        <v>49.85</v>
      </c>
      <c r="G1629">
        <v>1</v>
      </c>
      <c r="H1629">
        <f t="shared" si="25"/>
        <v>48675.899999999936</v>
      </c>
      <c r="I1629" t="str">
        <f>IF(Sheet1[[#This Row],[Month_Revenue]] &lt; AVERAGE(Sheet1[Month_Revenue]), "Off-Peak", "Peak")</f>
        <v>Off-Peak</v>
      </c>
      <c r="J1629">
        <f xml:space="preserve"> IF(Sheet1[[#This Row],[Ad Spend]] &gt; 0, (Sheet1[[#This Row],[Profit]] / Sheet1[[#This Row],[Ad Spend]]), 0)</f>
        <v>-0.34182547642928784</v>
      </c>
      <c r="K1629">
        <f>Sheet1[[#This Row],[Revenue]]-Sheet1[[#This Row],[Ad Spend]]</f>
        <v>-17.04</v>
      </c>
      <c r="L1629" s="2" t="s">
        <v>14</v>
      </c>
      <c r="M1629">
        <v>2</v>
      </c>
      <c r="N1629" s="2" t="s">
        <v>15</v>
      </c>
      <c r="O1629">
        <v>32.81</v>
      </c>
    </row>
    <row r="1630" spans="1:15" x14ac:dyDescent="0.3">
      <c r="A1630" s="1">
        <v>45330</v>
      </c>
      <c r="B1630" s="2" t="s">
        <v>20</v>
      </c>
      <c r="C1630" s="2" t="s">
        <v>12</v>
      </c>
      <c r="D1630" s="2" t="s">
        <v>18</v>
      </c>
      <c r="E1630">
        <v>61.11</v>
      </c>
      <c r="F1630">
        <v>36.25</v>
      </c>
      <c r="G1630">
        <v>0</v>
      </c>
      <c r="H1630">
        <f t="shared" si="25"/>
        <v>48675.899999999936</v>
      </c>
      <c r="I1630" t="str">
        <f>IF(Sheet1[[#This Row],[Month_Revenue]] &lt; AVERAGE(Sheet1[Month_Revenue]), "Off-Peak", "Peak")</f>
        <v>Off-Peak</v>
      </c>
      <c r="J1630">
        <f xml:space="preserve"> IF(Sheet1[[#This Row],[Ad Spend]] &gt; 0, (Sheet1[[#This Row],[Profit]] / Sheet1[[#This Row],[Ad Spend]]), 0)</f>
        <v>0.68579310344827582</v>
      </c>
      <c r="K1630">
        <f>Sheet1[[#This Row],[Revenue]]-Sheet1[[#This Row],[Ad Spend]]</f>
        <v>24.86</v>
      </c>
      <c r="L1630" s="2" t="s">
        <v>22</v>
      </c>
      <c r="M1630">
        <v>2</v>
      </c>
      <c r="N1630" s="2" t="s">
        <v>15</v>
      </c>
      <c r="O1630">
        <v>0</v>
      </c>
    </row>
    <row r="1631" spans="1:15" x14ac:dyDescent="0.3">
      <c r="A1631" s="1">
        <v>45407</v>
      </c>
      <c r="B1631" s="2" t="s">
        <v>20</v>
      </c>
      <c r="C1631" s="2" t="s">
        <v>12</v>
      </c>
      <c r="D1631" s="2" t="s">
        <v>13</v>
      </c>
      <c r="E1631">
        <v>120.89</v>
      </c>
      <c r="F1631">
        <v>47.08</v>
      </c>
      <c r="G1631">
        <v>0</v>
      </c>
      <c r="H1631">
        <f t="shared" si="25"/>
        <v>58562.910000000018</v>
      </c>
      <c r="I1631" t="str">
        <f>IF(Sheet1[[#This Row],[Month_Revenue]] &lt; AVERAGE(Sheet1[Month_Revenue]), "Off-Peak", "Peak")</f>
        <v>Peak</v>
      </c>
      <c r="J1631">
        <f xml:space="preserve"> IF(Sheet1[[#This Row],[Ad Spend]] &gt; 0, (Sheet1[[#This Row],[Profit]] / Sheet1[[#This Row],[Ad Spend]]), 0)</f>
        <v>1.5677570093457944</v>
      </c>
      <c r="K1631">
        <f>Sheet1[[#This Row],[Revenue]]-Sheet1[[#This Row],[Ad Spend]]</f>
        <v>73.81</v>
      </c>
      <c r="L1631" s="2" t="s">
        <v>14</v>
      </c>
      <c r="M1631">
        <v>4</v>
      </c>
      <c r="N1631" s="2" t="s">
        <v>19</v>
      </c>
      <c r="O1631">
        <v>0</v>
      </c>
    </row>
    <row r="1632" spans="1:15" x14ac:dyDescent="0.3">
      <c r="A1632" s="1">
        <v>45399</v>
      </c>
      <c r="B1632" s="2" t="s">
        <v>16</v>
      </c>
      <c r="C1632" s="2" t="s">
        <v>21</v>
      </c>
      <c r="D1632" s="2" t="s">
        <v>18</v>
      </c>
      <c r="E1632">
        <v>56.39</v>
      </c>
      <c r="F1632">
        <v>12.37</v>
      </c>
      <c r="G1632">
        <v>3</v>
      </c>
      <c r="H1632">
        <f t="shared" si="25"/>
        <v>58562.910000000018</v>
      </c>
      <c r="I1632" t="str">
        <f>IF(Sheet1[[#This Row],[Month_Revenue]] &lt; AVERAGE(Sheet1[Month_Revenue]), "Off-Peak", "Peak")</f>
        <v>Peak</v>
      </c>
      <c r="J1632">
        <f xml:space="preserve"> IF(Sheet1[[#This Row],[Ad Spend]] &gt; 0, (Sheet1[[#This Row],[Profit]] / Sheet1[[#This Row],[Ad Spend]]), 0)</f>
        <v>3.5586095392077612</v>
      </c>
      <c r="K1632">
        <f>Sheet1[[#This Row],[Revenue]]-Sheet1[[#This Row],[Ad Spend]]</f>
        <v>44.02</v>
      </c>
      <c r="L1632" s="2" t="s">
        <v>22</v>
      </c>
      <c r="M1632">
        <v>4</v>
      </c>
      <c r="N1632" s="2" t="s">
        <v>19</v>
      </c>
      <c r="O1632">
        <v>18.796666666666667</v>
      </c>
    </row>
    <row r="1633" spans="1:15" x14ac:dyDescent="0.3">
      <c r="A1633" s="1">
        <v>45339</v>
      </c>
      <c r="B1633" s="2" t="s">
        <v>24</v>
      </c>
      <c r="C1633" s="2" t="s">
        <v>17</v>
      </c>
      <c r="D1633" s="2" t="s">
        <v>18</v>
      </c>
      <c r="E1633">
        <v>114.69</v>
      </c>
      <c r="F1633">
        <v>31.06</v>
      </c>
      <c r="G1633">
        <v>0</v>
      </c>
      <c r="H1633">
        <f t="shared" si="25"/>
        <v>48675.899999999936</v>
      </c>
      <c r="I1633" t="str">
        <f>IF(Sheet1[[#This Row],[Month_Revenue]] &lt; AVERAGE(Sheet1[Month_Revenue]), "Off-Peak", "Peak")</f>
        <v>Off-Peak</v>
      </c>
      <c r="J1633">
        <f xml:space="preserve"> IF(Sheet1[[#This Row],[Ad Spend]] &gt; 0, (Sheet1[[#This Row],[Profit]] / Sheet1[[#This Row],[Ad Spend]]), 0)</f>
        <v>2.6925305859626527</v>
      </c>
      <c r="K1633">
        <f>Sheet1[[#This Row],[Revenue]]-Sheet1[[#This Row],[Ad Spend]]</f>
        <v>83.63</v>
      </c>
      <c r="L1633" s="2" t="s">
        <v>14</v>
      </c>
      <c r="M1633">
        <v>2</v>
      </c>
      <c r="N1633" s="2" t="s">
        <v>15</v>
      </c>
      <c r="O1633">
        <v>0</v>
      </c>
    </row>
    <row r="1634" spans="1:15" x14ac:dyDescent="0.3">
      <c r="A1634" s="1">
        <v>45352</v>
      </c>
      <c r="B1634" s="2" t="s">
        <v>23</v>
      </c>
      <c r="C1634" s="2" t="s">
        <v>21</v>
      </c>
      <c r="D1634" s="2" t="s">
        <v>13</v>
      </c>
      <c r="E1634">
        <v>53.75</v>
      </c>
      <c r="F1634">
        <v>21.2</v>
      </c>
      <c r="G1634">
        <v>1</v>
      </c>
      <c r="H1634">
        <f t="shared" si="25"/>
        <v>54735.250000000029</v>
      </c>
      <c r="I1634" t="str">
        <f>IF(Sheet1[[#This Row],[Month_Revenue]] &lt; AVERAGE(Sheet1[Month_Revenue]), "Off-Peak", "Peak")</f>
        <v>Off-Peak</v>
      </c>
      <c r="J1634">
        <f xml:space="preserve"> IF(Sheet1[[#This Row],[Ad Spend]] &gt; 0, (Sheet1[[#This Row],[Profit]] / Sheet1[[#This Row],[Ad Spend]]), 0)</f>
        <v>1.5353773584905659</v>
      </c>
      <c r="K1634">
        <f>Sheet1[[#This Row],[Revenue]]-Sheet1[[#This Row],[Ad Spend]]</f>
        <v>32.549999999999997</v>
      </c>
      <c r="L1634" s="2" t="s">
        <v>14</v>
      </c>
      <c r="M1634">
        <v>3</v>
      </c>
      <c r="N1634" s="2" t="s">
        <v>19</v>
      </c>
      <c r="O1634">
        <v>53.75</v>
      </c>
    </row>
    <row r="1635" spans="1:15" x14ac:dyDescent="0.3">
      <c r="A1635" s="1">
        <v>45373</v>
      </c>
      <c r="B1635" s="2" t="s">
        <v>23</v>
      </c>
      <c r="C1635" s="2" t="s">
        <v>17</v>
      </c>
      <c r="D1635" s="2" t="s">
        <v>18</v>
      </c>
      <c r="E1635">
        <v>42.01</v>
      </c>
      <c r="F1635">
        <v>17.3</v>
      </c>
      <c r="G1635">
        <v>3</v>
      </c>
      <c r="H1635">
        <f t="shared" si="25"/>
        <v>54735.250000000029</v>
      </c>
      <c r="I1635" t="str">
        <f>IF(Sheet1[[#This Row],[Month_Revenue]] &lt; AVERAGE(Sheet1[Month_Revenue]), "Off-Peak", "Peak")</f>
        <v>Off-Peak</v>
      </c>
      <c r="J1635">
        <f xml:space="preserve"> IF(Sheet1[[#This Row],[Ad Spend]] &gt; 0, (Sheet1[[#This Row],[Profit]] / Sheet1[[#This Row],[Ad Spend]]), 0)</f>
        <v>1.428323699421965</v>
      </c>
      <c r="K1635">
        <f>Sheet1[[#This Row],[Revenue]]-Sheet1[[#This Row],[Ad Spend]]</f>
        <v>24.709999999999997</v>
      </c>
      <c r="L1635" s="2" t="s">
        <v>22</v>
      </c>
      <c r="M1635">
        <v>3</v>
      </c>
      <c r="N1635" s="2" t="s">
        <v>19</v>
      </c>
      <c r="O1635">
        <v>14.003333333333332</v>
      </c>
    </row>
    <row r="1636" spans="1:15" x14ac:dyDescent="0.3">
      <c r="A1636" s="1">
        <v>45302</v>
      </c>
      <c r="B1636" s="2" t="s">
        <v>11</v>
      </c>
      <c r="C1636" s="2" t="s">
        <v>17</v>
      </c>
      <c r="D1636" s="2" t="s">
        <v>18</v>
      </c>
      <c r="E1636">
        <v>154.07</v>
      </c>
      <c r="F1636">
        <v>14.91</v>
      </c>
      <c r="G1636">
        <v>2</v>
      </c>
      <c r="H1636">
        <f t="shared" si="25"/>
        <v>61207.979999999989</v>
      </c>
      <c r="I1636" t="str">
        <f>IF(Sheet1[[#This Row],[Month_Revenue]] &lt; AVERAGE(Sheet1[Month_Revenue]), "Off-Peak", "Peak")</f>
        <v>Peak</v>
      </c>
      <c r="J1636">
        <f xml:space="preserve"> IF(Sheet1[[#This Row],[Ad Spend]] &gt; 0, (Sheet1[[#This Row],[Profit]] / Sheet1[[#This Row],[Ad Spend]]), 0)</f>
        <v>9.3333333333333321</v>
      </c>
      <c r="K1636">
        <f>Sheet1[[#This Row],[Revenue]]-Sheet1[[#This Row],[Ad Spend]]</f>
        <v>139.16</v>
      </c>
      <c r="L1636" s="2" t="s">
        <v>14</v>
      </c>
      <c r="M1636">
        <v>1</v>
      </c>
      <c r="N1636" s="2" t="s">
        <v>15</v>
      </c>
      <c r="O1636">
        <v>77.034999999999997</v>
      </c>
    </row>
    <row r="1637" spans="1:15" x14ac:dyDescent="0.3">
      <c r="A1637" s="1">
        <v>45314</v>
      </c>
      <c r="B1637" s="2" t="s">
        <v>24</v>
      </c>
      <c r="C1637" s="2" t="s">
        <v>17</v>
      </c>
      <c r="D1637" s="2" t="s">
        <v>18</v>
      </c>
      <c r="E1637">
        <v>167.55</v>
      </c>
      <c r="F1637">
        <v>7.72</v>
      </c>
      <c r="G1637">
        <v>1</v>
      </c>
      <c r="H1637">
        <f t="shared" si="25"/>
        <v>61207.979999999989</v>
      </c>
      <c r="I1637" t="str">
        <f>IF(Sheet1[[#This Row],[Month_Revenue]] &lt; AVERAGE(Sheet1[Month_Revenue]), "Off-Peak", "Peak")</f>
        <v>Peak</v>
      </c>
      <c r="J1637">
        <f xml:space="preserve"> IF(Sheet1[[#This Row],[Ad Spend]] &gt; 0, (Sheet1[[#This Row],[Profit]] / Sheet1[[#This Row],[Ad Spend]]), 0)</f>
        <v>20.703367875647672</v>
      </c>
      <c r="K1637">
        <f>Sheet1[[#This Row],[Revenue]]-Sheet1[[#This Row],[Ad Spend]]</f>
        <v>159.83000000000001</v>
      </c>
      <c r="L1637" s="2" t="s">
        <v>14</v>
      </c>
      <c r="M1637">
        <v>1</v>
      </c>
      <c r="N1637" s="2" t="s">
        <v>15</v>
      </c>
      <c r="O1637">
        <v>167.55</v>
      </c>
    </row>
    <row r="1638" spans="1:15" x14ac:dyDescent="0.3">
      <c r="A1638" s="1">
        <v>45340</v>
      </c>
      <c r="B1638" s="2" t="s">
        <v>20</v>
      </c>
      <c r="C1638" s="2" t="s">
        <v>21</v>
      </c>
      <c r="D1638" s="2" t="s">
        <v>18</v>
      </c>
      <c r="E1638">
        <v>77.28</v>
      </c>
      <c r="F1638">
        <v>24.38</v>
      </c>
      <c r="G1638">
        <v>3</v>
      </c>
      <c r="H1638">
        <f t="shared" si="25"/>
        <v>48675.899999999936</v>
      </c>
      <c r="I1638" t="str">
        <f>IF(Sheet1[[#This Row],[Month_Revenue]] &lt; AVERAGE(Sheet1[Month_Revenue]), "Off-Peak", "Peak")</f>
        <v>Off-Peak</v>
      </c>
      <c r="J1638">
        <f xml:space="preserve"> IF(Sheet1[[#This Row],[Ad Spend]] &gt; 0, (Sheet1[[#This Row],[Profit]] / Sheet1[[#This Row],[Ad Spend]]), 0)</f>
        <v>2.1698113207547172</v>
      </c>
      <c r="K1638">
        <f>Sheet1[[#This Row],[Revenue]]-Sheet1[[#This Row],[Ad Spend]]</f>
        <v>52.900000000000006</v>
      </c>
      <c r="L1638" s="2" t="s">
        <v>14</v>
      </c>
      <c r="M1638">
        <v>2</v>
      </c>
      <c r="N1638" s="2" t="s">
        <v>15</v>
      </c>
      <c r="O1638">
        <v>25.76</v>
      </c>
    </row>
    <row r="1639" spans="1:15" x14ac:dyDescent="0.3">
      <c r="A1639" s="1">
        <v>45324</v>
      </c>
      <c r="B1639" s="2" t="s">
        <v>24</v>
      </c>
      <c r="C1639" s="2" t="s">
        <v>21</v>
      </c>
      <c r="D1639" s="2" t="s">
        <v>13</v>
      </c>
      <c r="E1639">
        <v>147.30000000000001</v>
      </c>
      <c r="F1639">
        <v>31.59</v>
      </c>
      <c r="G1639">
        <v>0</v>
      </c>
      <c r="H1639">
        <f t="shared" si="25"/>
        <v>48675.899999999936</v>
      </c>
      <c r="I1639" t="str">
        <f>IF(Sheet1[[#This Row],[Month_Revenue]] &lt; AVERAGE(Sheet1[Month_Revenue]), "Off-Peak", "Peak")</f>
        <v>Off-Peak</v>
      </c>
      <c r="J1639">
        <f xml:space="preserve"> IF(Sheet1[[#This Row],[Ad Spend]] &gt; 0, (Sheet1[[#This Row],[Profit]] / Sheet1[[#This Row],[Ad Spend]]), 0)</f>
        <v>3.6628679962013297</v>
      </c>
      <c r="K1639">
        <f>Sheet1[[#This Row],[Revenue]]-Sheet1[[#This Row],[Ad Spend]]</f>
        <v>115.71000000000001</v>
      </c>
      <c r="L1639" s="2" t="s">
        <v>22</v>
      </c>
      <c r="M1639">
        <v>2</v>
      </c>
      <c r="N1639" s="2" t="s">
        <v>15</v>
      </c>
      <c r="O1639">
        <v>0</v>
      </c>
    </row>
    <row r="1640" spans="1:15" x14ac:dyDescent="0.3">
      <c r="A1640" s="1">
        <v>45408</v>
      </c>
      <c r="B1640" s="2" t="s">
        <v>16</v>
      </c>
      <c r="C1640" s="2" t="s">
        <v>21</v>
      </c>
      <c r="D1640" s="2" t="s">
        <v>18</v>
      </c>
      <c r="E1640">
        <v>42.08</v>
      </c>
      <c r="F1640">
        <v>5.26</v>
      </c>
      <c r="G1640">
        <v>1</v>
      </c>
      <c r="H1640">
        <f t="shared" si="25"/>
        <v>58562.910000000018</v>
      </c>
      <c r="I1640" t="str">
        <f>IF(Sheet1[[#This Row],[Month_Revenue]] &lt; AVERAGE(Sheet1[Month_Revenue]), "Off-Peak", "Peak")</f>
        <v>Peak</v>
      </c>
      <c r="J1640">
        <f xml:space="preserve"> IF(Sheet1[[#This Row],[Ad Spend]] &gt; 0, (Sheet1[[#This Row],[Profit]] / Sheet1[[#This Row],[Ad Spend]]), 0)</f>
        <v>7</v>
      </c>
      <c r="K1640">
        <f>Sheet1[[#This Row],[Revenue]]-Sheet1[[#This Row],[Ad Spend]]</f>
        <v>36.82</v>
      </c>
      <c r="L1640" s="2" t="s">
        <v>22</v>
      </c>
      <c r="M1640">
        <v>4</v>
      </c>
      <c r="N1640" s="2" t="s">
        <v>19</v>
      </c>
      <c r="O1640">
        <v>42.08</v>
      </c>
    </row>
    <row r="1641" spans="1:15" x14ac:dyDescent="0.3">
      <c r="A1641" s="1">
        <v>45343</v>
      </c>
      <c r="B1641" s="2" t="s">
        <v>24</v>
      </c>
      <c r="C1641" s="2" t="s">
        <v>17</v>
      </c>
      <c r="D1641" s="2" t="s">
        <v>18</v>
      </c>
      <c r="E1641">
        <v>115.68</v>
      </c>
      <c r="F1641">
        <v>4.67</v>
      </c>
      <c r="G1641">
        <v>3</v>
      </c>
      <c r="H1641">
        <f t="shared" si="25"/>
        <v>48675.899999999936</v>
      </c>
      <c r="I1641" t="str">
        <f>IF(Sheet1[[#This Row],[Month_Revenue]] &lt; AVERAGE(Sheet1[Month_Revenue]), "Off-Peak", "Peak")</f>
        <v>Off-Peak</v>
      </c>
      <c r="J1641">
        <f xml:space="preserve"> IF(Sheet1[[#This Row],[Ad Spend]] &gt; 0, (Sheet1[[#This Row],[Profit]] / Sheet1[[#This Row],[Ad Spend]]), 0)</f>
        <v>23.770877944325484</v>
      </c>
      <c r="K1641">
        <f>Sheet1[[#This Row],[Revenue]]-Sheet1[[#This Row],[Ad Spend]]</f>
        <v>111.01</v>
      </c>
      <c r="L1641" s="2" t="s">
        <v>14</v>
      </c>
      <c r="M1641">
        <v>2</v>
      </c>
      <c r="N1641" s="2" t="s">
        <v>15</v>
      </c>
      <c r="O1641">
        <v>38.56</v>
      </c>
    </row>
    <row r="1642" spans="1:15" x14ac:dyDescent="0.3">
      <c r="A1642" s="1">
        <v>45336</v>
      </c>
      <c r="B1642" s="2" t="s">
        <v>20</v>
      </c>
      <c r="C1642" s="2" t="s">
        <v>21</v>
      </c>
      <c r="D1642" s="2" t="s">
        <v>18</v>
      </c>
      <c r="E1642">
        <v>63.07</v>
      </c>
      <c r="F1642">
        <v>21.54</v>
      </c>
      <c r="G1642">
        <v>0</v>
      </c>
      <c r="H1642">
        <f t="shared" si="25"/>
        <v>48675.899999999936</v>
      </c>
      <c r="I1642" t="str">
        <f>IF(Sheet1[[#This Row],[Month_Revenue]] &lt; AVERAGE(Sheet1[Month_Revenue]), "Off-Peak", "Peak")</f>
        <v>Off-Peak</v>
      </c>
      <c r="J1642">
        <f xml:space="preserve"> IF(Sheet1[[#This Row],[Ad Spend]] &gt; 0, (Sheet1[[#This Row],[Profit]] / Sheet1[[#This Row],[Ad Spend]]), 0)</f>
        <v>1.9280408542246983</v>
      </c>
      <c r="K1642">
        <f>Sheet1[[#This Row],[Revenue]]-Sheet1[[#This Row],[Ad Spend]]</f>
        <v>41.53</v>
      </c>
      <c r="L1642" s="2" t="s">
        <v>22</v>
      </c>
      <c r="M1642">
        <v>2</v>
      </c>
      <c r="N1642" s="2" t="s">
        <v>15</v>
      </c>
      <c r="O1642">
        <v>0</v>
      </c>
    </row>
    <row r="1643" spans="1:15" x14ac:dyDescent="0.3">
      <c r="A1643" s="1">
        <v>45308</v>
      </c>
      <c r="B1643" s="2" t="s">
        <v>23</v>
      </c>
      <c r="C1643" s="2" t="s">
        <v>21</v>
      </c>
      <c r="D1643" s="2" t="s">
        <v>13</v>
      </c>
      <c r="E1643">
        <v>93.85</v>
      </c>
      <c r="F1643">
        <v>48.35</v>
      </c>
      <c r="G1643">
        <v>2</v>
      </c>
      <c r="H1643">
        <f t="shared" si="25"/>
        <v>61207.979999999989</v>
      </c>
      <c r="I1643" t="str">
        <f>IF(Sheet1[[#This Row],[Month_Revenue]] &lt; AVERAGE(Sheet1[Month_Revenue]), "Off-Peak", "Peak")</f>
        <v>Peak</v>
      </c>
      <c r="J1643">
        <f xml:space="preserve"> IF(Sheet1[[#This Row],[Ad Spend]] &gt; 0, (Sheet1[[#This Row],[Profit]] / Sheet1[[#This Row],[Ad Spend]]), 0)</f>
        <v>0.94105480868665958</v>
      </c>
      <c r="K1643">
        <f>Sheet1[[#This Row],[Revenue]]-Sheet1[[#This Row],[Ad Spend]]</f>
        <v>45.499999999999993</v>
      </c>
      <c r="L1643" s="2" t="s">
        <v>14</v>
      </c>
      <c r="M1643">
        <v>1</v>
      </c>
      <c r="N1643" s="2" t="s">
        <v>15</v>
      </c>
      <c r="O1643">
        <v>46.924999999999997</v>
      </c>
    </row>
    <row r="1644" spans="1:15" x14ac:dyDescent="0.3">
      <c r="A1644" s="1">
        <v>45412</v>
      </c>
      <c r="B1644" s="2" t="s">
        <v>24</v>
      </c>
      <c r="C1644" s="2" t="s">
        <v>12</v>
      </c>
      <c r="D1644" s="2" t="s">
        <v>13</v>
      </c>
      <c r="E1644">
        <v>67.94</v>
      </c>
      <c r="F1644">
        <v>4.5199999999999996</v>
      </c>
      <c r="G1644">
        <v>3</v>
      </c>
      <c r="H1644">
        <f t="shared" si="25"/>
        <v>58562.910000000018</v>
      </c>
      <c r="I1644" t="str">
        <f>IF(Sheet1[[#This Row],[Month_Revenue]] &lt; AVERAGE(Sheet1[Month_Revenue]), "Off-Peak", "Peak")</f>
        <v>Peak</v>
      </c>
      <c r="J1644">
        <f xml:space="preserve"> IF(Sheet1[[#This Row],[Ad Spend]] &gt; 0, (Sheet1[[#This Row],[Profit]] / Sheet1[[#This Row],[Ad Spend]]), 0)</f>
        <v>14.030973451327435</v>
      </c>
      <c r="K1644">
        <f>Sheet1[[#This Row],[Revenue]]-Sheet1[[#This Row],[Ad Spend]]</f>
        <v>63.42</v>
      </c>
      <c r="L1644" s="2" t="s">
        <v>22</v>
      </c>
      <c r="M1644">
        <v>4</v>
      </c>
      <c r="N1644" s="2" t="s">
        <v>19</v>
      </c>
      <c r="O1644">
        <v>22.646666666666665</v>
      </c>
    </row>
    <row r="1645" spans="1:15" x14ac:dyDescent="0.3">
      <c r="A1645" s="1">
        <v>45344</v>
      </c>
      <c r="B1645" s="2" t="s">
        <v>16</v>
      </c>
      <c r="C1645" s="2" t="s">
        <v>21</v>
      </c>
      <c r="D1645" s="2" t="s">
        <v>13</v>
      </c>
      <c r="E1645">
        <v>155.91999999999999</v>
      </c>
      <c r="F1645">
        <v>47.48</v>
      </c>
      <c r="G1645">
        <v>3</v>
      </c>
      <c r="H1645">
        <f t="shared" si="25"/>
        <v>48675.899999999936</v>
      </c>
      <c r="I1645" t="str">
        <f>IF(Sheet1[[#This Row],[Month_Revenue]] &lt; AVERAGE(Sheet1[Month_Revenue]), "Off-Peak", "Peak")</f>
        <v>Off-Peak</v>
      </c>
      <c r="J1645">
        <f xml:space="preserve"> IF(Sheet1[[#This Row],[Ad Spend]] &gt; 0, (Sheet1[[#This Row],[Profit]] / Sheet1[[#This Row],[Ad Spend]]), 0)</f>
        <v>2.2839090143218197</v>
      </c>
      <c r="K1645">
        <f>Sheet1[[#This Row],[Revenue]]-Sheet1[[#This Row],[Ad Spend]]</f>
        <v>108.44</v>
      </c>
      <c r="L1645" s="2" t="s">
        <v>22</v>
      </c>
      <c r="M1645">
        <v>2</v>
      </c>
      <c r="N1645" s="2" t="s">
        <v>15</v>
      </c>
      <c r="O1645">
        <v>51.973333333333329</v>
      </c>
    </row>
    <row r="1646" spans="1:15" x14ac:dyDescent="0.3">
      <c r="A1646" s="1">
        <v>45294</v>
      </c>
      <c r="B1646" s="2" t="s">
        <v>23</v>
      </c>
      <c r="C1646" s="2" t="s">
        <v>12</v>
      </c>
      <c r="D1646" s="2" t="s">
        <v>18</v>
      </c>
      <c r="E1646">
        <v>92.88</v>
      </c>
      <c r="F1646">
        <v>1.66</v>
      </c>
      <c r="G1646">
        <v>0</v>
      </c>
      <c r="H1646">
        <f t="shared" si="25"/>
        <v>61207.979999999989</v>
      </c>
      <c r="I1646" t="str">
        <f>IF(Sheet1[[#This Row],[Month_Revenue]] &lt; AVERAGE(Sheet1[Month_Revenue]), "Off-Peak", "Peak")</f>
        <v>Peak</v>
      </c>
      <c r="J1646">
        <f xml:space="preserve"> IF(Sheet1[[#This Row],[Ad Spend]] &gt; 0, (Sheet1[[#This Row],[Profit]] / Sheet1[[#This Row],[Ad Spend]]), 0)</f>
        <v>54.951807228915662</v>
      </c>
      <c r="K1646">
        <f>Sheet1[[#This Row],[Revenue]]-Sheet1[[#This Row],[Ad Spend]]</f>
        <v>91.22</v>
      </c>
      <c r="L1646" s="2" t="s">
        <v>22</v>
      </c>
      <c r="M1646">
        <v>1</v>
      </c>
      <c r="N1646" s="2" t="s">
        <v>15</v>
      </c>
      <c r="O1646">
        <v>0</v>
      </c>
    </row>
    <row r="1647" spans="1:15" x14ac:dyDescent="0.3">
      <c r="A1647" s="1">
        <v>45329</v>
      </c>
      <c r="B1647" s="2" t="s">
        <v>23</v>
      </c>
      <c r="C1647" s="2" t="s">
        <v>21</v>
      </c>
      <c r="D1647" s="2" t="s">
        <v>13</v>
      </c>
      <c r="E1647">
        <v>199.38</v>
      </c>
      <c r="F1647">
        <v>35.39</v>
      </c>
      <c r="G1647">
        <v>0</v>
      </c>
      <c r="H1647">
        <f t="shared" si="25"/>
        <v>48675.899999999936</v>
      </c>
      <c r="I1647" t="str">
        <f>IF(Sheet1[[#This Row],[Month_Revenue]] &lt; AVERAGE(Sheet1[Month_Revenue]), "Off-Peak", "Peak")</f>
        <v>Off-Peak</v>
      </c>
      <c r="J1647">
        <f xml:space="preserve"> IF(Sheet1[[#This Row],[Ad Spend]] &gt; 0, (Sheet1[[#This Row],[Profit]] / Sheet1[[#This Row],[Ad Spend]]), 0)</f>
        <v>4.6337948573043235</v>
      </c>
      <c r="K1647">
        <f>Sheet1[[#This Row],[Revenue]]-Sheet1[[#This Row],[Ad Spend]]</f>
        <v>163.99</v>
      </c>
      <c r="L1647" s="2" t="s">
        <v>14</v>
      </c>
      <c r="M1647">
        <v>2</v>
      </c>
      <c r="N1647" s="2" t="s">
        <v>15</v>
      </c>
      <c r="O1647">
        <v>0</v>
      </c>
    </row>
    <row r="1648" spans="1:15" x14ac:dyDescent="0.3">
      <c r="A1648" s="1">
        <v>45379</v>
      </c>
      <c r="B1648" s="2" t="s">
        <v>20</v>
      </c>
      <c r="C1648" s="2" t="s">
        <v>21</v>
      </c>
      <c r="D1648" s="2" t="s">
        <v>18</v>
      </c>
      <c r="E1648">
        <v>175.84</v>
      </c>
      <c r="F1648">
        <v>30.1</v>
      </c>
      <c r="G1648">
        <v>2</v>
      </c>
      <c r="H1648">
        <f t="shared" si="25"/>
        <v>54735.250000000029</v>
      </c>
      <c r="I1648" t="str">
        <f>IF(Sheet1[[#This Row],[Month_Revenue]] &lt; AVERAGE(Sheet1[Month_Revenue]), "Off-Peak", "Peak")</f>
        <v>Off-Peak</v>
      </c>
      <c r="J1648">
        <f xml:space="preserve"> IF(Sheet1[[#This Row],[Ad Spend]] &gt; 0, (Sheet1[[#This Row],[Profit]] / Sheet1[[#This Row],[Ad Spend]]), 0)</f>
        <v>4.8418604651162793</v>
      </c>
      <c r="K1648">
        <f>Sheet1[[#This Row],[Revenue]]-Sheet1[[#This Row],[Ad Spend]]</f>
        <v>145.74</v>
      </c>
      <c r="L1648" s="2" t="s">
        <v>14</v>
      </c>
      <c r="M1648">
        <v>3</v>
      </c>
      <c r="N1648" s="2" t="s">
        <v>19</v>
      </c>
      <c r="O1648">
        <v>87.92</v>
      </c>
    </row>
    <row r="1649" spans="1:15" x14ac:dyDescent="0.3">
      <c r="A1649" s="1">
        <v>45374</v>
      </c>
      <c r="B1649" s="2" t="s">
        <v>24</v>
      </c>
      <c r="C1649" s="2" t="s">
        <v>21</v>
      </c>
      <c r="D1649" s="2" t="s">
        <v>13</v>
      </c>
      <c r="E1649">
        <v>59.78</v>
      </c>
      <c r="F1649">
        <v>20.84</v>
      </c>
      <c r="G1649">
        <v>3</v>
      </c>
      <c r="H1649">
        <f t="shared" si="25"/>
        <v>54735.250000000029</v>
      </c>
      <c r="I1649" t="str">
        <f>IF(Sheet1[[#This Row],[Month_Revenue]] &lt; AVERAGE(Sheet1[Month_Revenue]), "Off-Peak", "Peak")</f>
        <v>Off-Peak</v>
      </c>
      <c r="J1649">
        <f xml:space="preserve"> IF(Sheet1[[#This Row],[Ad Spend]] &gt; 0, (Sheet1[[#This Row],[Profit]] / Sheet1[[#This Row],[Ad Spend]]), 0)</f>
        <v>1.8685220729366603</v>
      </c>
      <c r="K1649">
        <f>Sheet1[[#This Row],[Revenue]]-Sheet1[[#This Row],[Ad Spend]]</f>
        <v>38.94</v>
      </c>
      <c r="L1649" s="2" t="s">
        <v>14</v>
      </c>
      <c r="M1649">
        <v>3</v>
      </c>
      <c r="N1649" s="2" t="s">
        <v>19</v>
      </c>
      <c r="O1649">
        <v>19.926666666666666</v>
      </c>
    </row>
    <row r="1650" spans="1:15" x14ac:dyDescent="0.3">
      <c r="A1650" s="1">
        <v>45344</v>
      </c>
      <c r="B1650" s="2" t="s">
        <v>24</v>
      </c>
      <c r="C1650" s="2" t="s">
        <v>12</v>
      </c>
      <c r="D1650" s="2" t="s">
        <v>18</v>
      </c>
      <c r="E1650">
        <v>183.42</v>
      </c>
      <c r="F1650">
        <v>13.87</v>
      </c>
      <c r="G1650">
        <v>1</v>
      </c>
      <c r="H1650">
        <f t="shared" si="25"/>
        <v>48675.899999999936</v>
      </c>
      <c r="I1650" t="str">
        <f>IF(Sheet1[[#This Row],[Month_Revenue]] &lt; AVERAGE(Sheet1[Month_Revenue]), "Off-Peak", "Peak")</f>
        <v>Off-Peak</v>
      </c>
      <c r="J1650">
        <f xml:space="preserve"> IF(Sheet1[[#This Row],[Ad Spend]] &gt; 0, (Sheet1[[#This Row],[Profit]] / Sheet1[[#This Row],[Ad Spend]]), 0)</f>
        <v>12.22422494592646</v>
      </c>
      <c r="K1650">
        <f>Sheet1[[#This Row],[Revenue]]-Sheet1[[#This Row],[Ad Spend]]</f>
        <v>169.54999999999998</v>
      </c>
      <c r="L1650" s="2" t="s">
        <v>22</v>
      </c>
      <c r="M1650">
        <v>2</v>
      </c>
      <c r="N1650" s="2" t="s">
        <v>15</v>
      </c>
      <c r="O1650">
        <v>183.42</v>
      </c>
    </row>
    <row r="1651" spans="1:15" x14ac:dyDescent="0.3">
      <c r="A1651" s="1">
        <v>45358</v>
      </c>
      <c r="B1651" s="2" t="s">
        <v>16</v>
      </c>
      <c r="C1651" s="2" t="s">
        <v>12</v>
      </c>
      <c r="D1651" s="2" t="s">
        <v>13</v>
      </c>
      <c r="E1651">
        <v>180.23</v>
      </c>
      <c r="F1651">
        <v>9.44</v>
      </c>
      <c r="G1651">
        <v>0</v>
      </c>
      <c r="H1651">
        <f t="shared" si="25"/>
        <v>54735.250000000029</v>
      </c>
      <c r="I1651" t="str">
        <f>IF(Sheet1[[#This Row],[Month_Revenue]] &lt; AVERAGE(Sheet1[Month_Revenue]), "Off-Peak", "Peak")</f>
        <v>Off-Peak</v>
      </c>
      <c r="J1651">
        <f xml:space="preserve"> IF(Sheet1[[#This Row],[Ad Spend]] &gt; 0, (Sheet1[[#This Row],[Profit]] / Sheet1[[#This Row],[Ad Spend]]), 0)</f>
        <v>18.092161016949152</v>
      </c>
      <c r="K1651">
        <f>Sheet1[[#This Row],[Revenue]]-Sheet1[[#This Row],[Ad Spend]]</f>
        <v>170.79</v>
      </c>
      <c r="L1651" s="2" t="s">
        <v>22</v>
      </c>
      <c r="M1651">
        <v>3</v>
      </c>
      <c r="N1651" s="2" t="s">
        <v>19</v>
      </c>
      <c r="O1651">
        <v>0</v>
      </c>
    </row>
    <row r="1652" spans="1:15" x14ac:dyDescent="0.3">
      <c r="A1652" s="1">
        <v>45353</v>
      </c>
      <c r="B1652" s="2" t="s">
        <v>24</v>
      </c>
      <c r="C1652" s="2" t="s">
        <v>21</v>
      </c>
      <c r="D1652" s="2" t="s">
        <v>13</v>
      </c>
      <c r="E1652">
        <v>65.47</v>
      </c>
      <c r="F1652">
        <v>32.1</v>
      </c>
      <c r="G1652">
        <v>3</v>
      </c>
      <c r="H1652">
        <f t="shared" si="25"/>
        <v>54735.250000000029</v>
      </c>
      <c r="I1652" t="str">
        <f>IF(Sheet1[[#This Row],[Month_Revenue]] &lt; AVERAGE(Sheet1[Month_Revenue]), "Off-Peak", "Peak")</f>
        <v>Off-Peak</v>
      </c>
      <c r="J1652">
        <f xml:space="preserve"> IF(Sheet1[[#This Row],[Ad Spend]] &gt; 0, (Sheet1[[#This Row],[Profit]] / Sheet1[[#This Row],[Ad Spend]]), 0)</f>
        <v>1.0395638629283488</v>
      </c>
      <c r="K1652">
        <f>Sheet1[[#This Row],[Revenue]]-Sheet1[[#This Row],[Ad Spend]]</f>
        <v>33.369999999999997</v>
      </c>
      <c r="L1652" s="2" t="s">
        <v>22</v>
      </c>
      <c r="M1652">
        <v>3</v>
      </c>
      <c r="N1652" s="2" t="s">
        <v>19</v>
      </c>
      <c r="O1652">
        <v>21.823333333333334</v>
      </c>
    </row>
    <row r="1653" spans="1:15" x14ac:dyDescent="0.3">
      <c r="A1653" s="1">
        <v>45343</v>
      </c>
      <c r="B1653" s="2" t="s">
        <v>11</v>
      </c>
      <c r="C1653" s="2" t="s">
        <v>12</v>
      </c>
      <c r="D1653" s="2" t="s">
        <v>18</v>
      </c>
      <c r="E1653">
        <v>189.81</v>
      </c>
      <c r="F1653">
        <v>45.35</v>
      </c>
      <c r="G1653">
        <v>1</v>
      </c>
      <c r="H1653">
        <f t="shared" si="25"/>
        <v>48675.899999999936</v>
      </c>
      <c r="I1653" t="str">
        <f>IF(Sheet1[[#This Row],[Month_Revenue]] &lt; AVERAGE(Sheet1[Month_Revenue]), "Off-Peak", "Peak")</f>
        <v>Off-Peak</v>
      </c>
      <c r="J1653">
        <f xml:space="preserve"> IF(Sheet1[[#This Row],[Ad Spend]] &gt; 0, (Sheet1[[#This Row],[Profit]] / Sheet1[[#This Row],[Ad Spend]]), 0)</f>
        <v>3.1854465270121279</v>
      </c>
      <c r="K1653">
        <f>Sheet1[[#This Row],[Revenue]]-Sheet1[[#This Row],[Ad Spend]]</f>
        <v>144.46</v>
      </c>
      <c r="L1653" s="2" t="s">
        <v>22</v>
      </c>
      <c r="M1653">
        <v>2</v>
      </c>
      <c r="N1653" s="2" t="s">
        <v>15</v>
      </c>
      <c r="O1653">
        <v>189.81</v>
      </c>
    </row>
    <row r="1654" spans="1:15" x14ac:dyDescent="0.3">
      <c r="A1654" s="1">
        <v>45347</v>
      </c>
      <c r="B1654" s="2" t="s">
        <v>23</v>
      </c>
      <c r="C1654" s="2" t="s">
        <v>17</v>
      </c>
      <c r="D1654" s="2" t="s">
        <v>18</v>
      </c>
      <c r="E1654">
        <v>26.14</v>
      </c>
      <c r="F1654">
        <v>33.659999999999997</v>
      </c>
      <c r="G1654">
        <v>3</v>
      </c>
      <c r="H1654">
        <f t="shared" si="25"/>
        <v>48675.899999999936</v>
      </c>
      <c r="I1654" t="str">
        <f>IF(Sheet1[[#This Row],[Month_Revenue]] &lt; AVERAGE(Sheet1[Month_Revenue]), "Off-Peak", "Peak")</f>
        <v>Off-Peak</v>
      </c>
      <c r="J1654">
        <f xml:space="preserve"> IF(Sheet1[[#This Row],[Ad Spend]] &gt; 0, (Sheet1[[#This Row],[Profit]] / Sheet1[[#This Row],[Ad Spend]]), 0)</f>
        <v>-0.22341057635175274</v>
      </c>
      <c r="K1654">
        <f>Sheet1[[#This Row],[Revenue]]-Sheet1[[#This Row],[Ad Spend]]</f>
        <v>-7.519999999999996</v>
      </c>
      <c r="L1654" s="2" t="s">
        <v>14</v>
      </c>
      <c r="M1654">
        <v>2</v>
      </c>
      <c r="N1654" s="2" t="s">
        <v>15</v>
      </c>
      <c r="O1654">
        <v>8.7133333333333329</v>
      </c>
    </row>
    <row r="1655" spans="1:15" x14ac:dyDescent="0.3">
      <c r="A1655" s="1">
        <v>45324</v>
      </c>
      <c r="B1655" s="2" t="s">
        <v>24</v>
      </c>
      <c r="C1655" s="2" t="s">
        <v>17</v>
      </c>
      <c r="D1655" s="2" t="s">
        <v>13</v>
      </c>
      <c r="E1655">
        <v>62.63</v>
      </c>
      <c r="F1655">
        <v>29.1</v>
      </c>
      <c r="G1655">
        <v>3</v>
      </c>
      <c r="H1655">
        <f t="shared" si="25"/>
        <v>48675.899999999936</v>
      </c>
      <c r="I1655" t="str">
        <f>IF(Sheet1[[#This Row],[Month_Revenue]] &lt; AVERAGE(Sheet1[Month_Revenue]), "Off-Peak", "Peak")</f>
        <v>Off-Peak</v>
      </c>
      <c r="J1655">
        <f xml:space="preserve"> IF(Sheet1[[#This Row],[Ad Spend]] &gt; 0, (Sheet1[[#This Row],[Profit]] / Sheet1[[#This Row],[Ad Spend]]), 0)</f>
        <v>1.1522336769759449</v>
      </c>
      <c r="K1655">
        <f>Sheet1[[#This Row],[Revenue]]-Sheet1[[#This Row],[Ad Spend]]</f>
        <v>33.53</v>
      </c>
      <c r="L1655" s="2" t="s">
        <v>14</v>
      </c>
      <c r="M1655">
        <v>2</v>
      </c>
      <c r="N1655" s="2" t="s">
        <v>15</v>
      </c>
      <c r="O1655">
        <v>20.876666666666669</v>
      </c>
    </row>
    <row r="1656" spans="1:15" x14ac:dyDescent="0.3">
      <c r="A1656" s="1">
        <v>45373</v>
      </c>
      <c r="B1656" s="2" t="s">
        <v>24</v>
      </c>
      <c r="C1656" s="2" t="s">
        <v>21</v>
      </c>
      <c r="D1656" s="2" t="s">
        <v>18</v>
      </c>
      <c r="E1656">
        <v>29.64</v>
      </c>
      <c r="F1656">
        <v>1.1599999999999999</v>
      </c>
      <c r="G1656">
        <v>0</v>
      </c>
      <c r="H1656">
        <f t="shared" si="25"/>
        <v>54735.250000000029</v>
      </c>
      <c r="I1656" t="str">
        <f>IF(Sheet1[[#This Row],[Month_Revenue]] &lt; AVERAGE(Sheet1[Month_Revenue]), "Off-Peak", "Peak")</f>
        <v>Off-Peak</v>
      </c>
      <c r="J1656">
        <f xml:space="preserve"> IF(Sheet1[[#This Row],[Ad Spend]] &gt; 0, (Sheet1[[#This Row],[Profit]] / Sheet1[[#This Row],[Ad Spend]]), 0)</f>
        <v>24.551724137931036</v>
      </c>
      <c r="K1656">
        <f>Sheet1[[#This Row],[Revenue]]-Sheet1[[#This Row],[Ad Spend]]</f>
        <v>28.48</v>
      </c>
      <c r="L1656" s="2" t="s">
        <v>14</v>
      </c>
      <c r="M1656">
        <v>3</v>
      </c>
      <c r="N1656" s="2" t="s">
        <v>19</v>
      </c>
      <c r="O1656">
        <v>0</v>
      </c>
    </row>
    <row r="1657" spans="1:15" x14ac:dyDescent="0.3">
      <c r="A1657" s="1">
        <v>45412</v>
      </c>
      <c r="B1657" s="2" t="s">
        <v>23</v>
      </c>
      <c r="C1657" s="2" t="s">
        <v>21</v>
      </c>
      <c r="D1657" s="2" t="s">
        <v>13</v>
      </c>
      <c r="E1657">
        <v>174.42</v>
      </c>
      <c r="F1657">
        <v>27.95</v>
      </c>
      <c r="G1657">
        <v>1</v>
      </c>
      <c r="H1657">
        <f t="shared" si="25"/>
        <v>58562.910000000018</v>
      </c>
      <c r="I1657" t="str">
        <f>IF(Sheet1[[#This Row],[Month_Revenue]] &lt; AVERAGE(Sheet1[Month_Revenue]), "Off-Peak", "Peak")</f>
        <v>Peak</v>
      </c>
      <c r="J1657">
        <f xml:space="preserve"> IF(Sheet1[[#This Row],[Ad Spend]] &gt; 0, (Sheet1[[#This Row],[Profit]] / Sheet1[[#This Row],[Ad Spend]]), 0)</f>
        <v>5.2404293381037572</v>
      </c>
      <c r="K1657">
        <f>Sheet1[[#This Row],[Revenue]]-Sheet1[[#This Row],[Ad Spend]]</f>
        <v>146.47</v>
      </c>
      <c r="L1657" s="2" t="s">
        <v>22</v>
      </c>
      <c r="M1657">
        <v>4</v>
      </c>
      <c r="N1657" s="2" t="s">
        <v>19</v>
      </c>
      <c r="O1657">
        <v>174.42</v>
      </c>
    </row>
    <row r="1658" spans="1:15" x14ac:dyDescent="0.3">
      <c r="A1658" s="1">
        <v>45297</v>
      </c>
      <c r="B1658" s="2" t="s">
        <v>16</v>
      </c>
      <c r="C1658" s="2" t="s">
        <v>12</v>
      </c>
      <c r="D1658" s="2" t="s">
        <v>13</v>
      </c>
      <c r="E1658">
        <v>135.24</v>
      </c>
      <c r="F1658">
        <v>14.69</v>
      </c>
      <c r="G1658">
        <v>3</v>
      </c>
      <c r="H1658">
        <f t="shared" si="25"/>
        <v>61207.979999999989</v>
      </c>
      <c r="I1658" t="str">
        <f>IF(Sheet1[[#This Row],[Month_Revenue]] &lt; AVERAGE(Sheet1[Month_Revenue]), "Off-Peak", "Peak")</f>
        <v>Peak</v>
      </c>
      <c r="J1658">
        <f xml:space="preserve"> IF(Sheet1[[#This Row],[Ad Spend]] &gt; 0, (Sheet1[[#This Row],[Profit]] / Sheet1[[#This Row],[Ad Spend]]), 0)</f>
        <v>8.2062627637848884</v>
      </c>
      <c r="K1658">
        <f>Sheet1[[#This Row],[Revenue]]-Sheet1[[#This Row],[Ad Spend]]</f>
        <v>120.55000000000001</v>
      </c>
      <c r="L1658" s="2" t="s">
        <v>22</v>
      </c>
      <c r="M1658">
        <v>1</v>
      </c>
      <c r="N1658" s="2" t="s">
        <v>15</v>
      </c>
      <c r="O1658">
        <v>45.080000000000005</v>
      </c>
    </row>
    <row r="1659" spans="1:15" x14ac:dyDescent="0.3">
      <c r="A1659" s="1">
        <v>45370</v>
      </c>
      <c r="B1659" s="2" t="s">
        <v>24</v>
      </c>
      <c r="C1659" s="2" t="s">
        <v>12</v>
      </c>
      <c r="D1659" s="2" t="s">
        <v>13</v>
      </c>
      <c r="E1659">
        <v>148.52000000000001</v>
      </c>
      <c r="F1659">
        <v>41.12</v>
      </c>
      <c r="G1659">
        <v>0</v>
      </c>
      <c r="H1659">
        <f t="shared" si="25"/>
        <v>54735.250000000029</v>
      </c>
      <c r="I1659" t="str">
        <f>IF(Sheet1[[#This Row],[Month_Revenue]] &lt; AVERAGE(Sheet1[Month_Revenue]), "Off-Peak", "Peak")</f>
        <v>Off-Peak</v>
      </c>
      <c r="J1659">
        <f xml:space="preserve"> IF(Sheet1[[#This Row],[Ad Spend]] &gt; 0, (Sheet1[[#This Row],[Profit]] / Sheet1[[#This Row],[Ad Spend]]), 0)</f>
        <v>2.6118677042801561</v>
      </c>
      <c r="K1659">
        <f>Sheet1[[#This Row],[Revenue]]-Sheet1[[#This Row],[Ad Spend]]</f>
        <v>107.4</v>
      </c>
      <c r="L1659" s="2" t="s">
        <v>14</v>
      </c>
      <c r="M1659">
        <v>3</v>
      </c>
      <c r="N1659" s="2" t="s">
        <v>19</v>
      </c>
      <c r="O1659">
        <v>0</v>
      </c>
    </row>
    <row r="1660" spans="1:15" x14ac:dyDescent="0.3">
      <c r="A1660" s="1">
        <v>45340</v>
      </c>
      <c r="B1660" s="2" t="s">
        <v>16</v>
      </c>
      <c r="C1660" s="2" t="s">
        <v>21</v>
      </c>
      <c r="D1660" s="2" t="s">
        <v>13</v>
      </c>
      <c r="E1660">
        <v>194.13</v>
      </c>
      <c r="F1660">
        <v>43.93</v>
      </c>
      <c r="G1660">
        <v>1</v>
      </c>
      <c r="H1660">
        <f t="shared" si="25"/>
        <v>48675.899999999936</v>
      </c>
      <c r="I1660" t="str">
        <f>IF(Sheet1[[#This Row],[Month_Revenue]] &lt; AVERAGE(Sheet1[Month_Revenue]), "Off-Peak", "Peak")</f>
        <v>Off-Peak</v>
      </c>
      <c r="J1660">
        <f xml:space="preserve"> IF(Sheet1[[#This Row],[Ad Spend]] &gt; 0, (Sheet1[[#This Row],[Profit]] / Sheet1[[#This Row],[Ad Spend]]), 0)</f>
        <v>3.4190758024129293</v>
      </c>
      <c r="K1660">
        <f>Sheet1[[#This Row],[Revenue]]-Sheet1[[#This Row],[Ad Spend]]</f>
        <v>150.19999999999999</v>
      </c>
      <c r="L1660" s="2" t="s">
        <v>22</v>
      </c>
      <c r="M1660">
        <v>2</v>
      </c>
      <c r="N1660" s="2" t="s">
        <v>15</v>
      </c>
      <c r="O1660">
        <v>194.13</v>
      </c>
    </row>
    <row r="1661" spans="1:15" x14ac:dyDescent="0.3">
      <c r="A1661" s="1">
        <v>45342</v>
      </c>
      <c r="B1661" s="2" t="s">
        <v>16</v>
      </c>
      <c r="C1661" s="2" t="s">
        <v>21</v>
      </c>
      <c r="D1661" s="2" t="s">
        <v>18</v>
      </c>
      <c r="E1661">
        <v>99.23</v>
      </c>
      <c r="F1661">
        <v>12.82</v>
      </c>
      <c r="G1661">
        <v>0</v>
      </c>
      <c r="H1661">
        <f t="shared" si="25"/>
        <v>48675.899999999936</v>
      </c>
      <c r="I1661" t="str">
        <f>IF(Sheet1[[#This Row],[Month_Revenue]] &lt; AVERAGE(Sheet1[Month_Revenue]), "Off-Peak", "Peak")</f>
        <v>Off-Peak</v>
      </c>
      <c r="J1661">
        <f xml:space="preserve"> IF(Sheet1[[#This Row],[Ad Spend]] &gt; 0, (Sheet1[[#This Row],[Profit]] / Sheet1[[#This Row],[Ad Spend]]), 0)</f>
        <v>6.7402496099843994</v>
      </c>
      <c r="K1661">
        <f>Sheet1[[#This Row],[Revenue]]-Sheet1[[#This Row],[Ad Spend]]</f>
        <v>86.41</v>
      </c>
      <c r="L1661" s="2" t="s">
        <v>22</v>
      </c>
      <c r="M1661">
        <v>2</v>
      </c>
      <c r="N1661" s="2" t="s">
        <v>15</v>
      </c>
      <c r="O1661">
        <v>0</v>
      </c>
    </row>
    <row r="1662" spans="1:15" x14ac:dyDescent="0.3">
      <c r="A1662" s="1">
        <v>45393</v>
      </c>
      <c r="B1662" s="2" t="s">
        <v>11</v>
      </c>
      <c r="C1662" s="2" t="s">
        <v>17</v>
      </c>
      <c r="D1662" s="2" t="s">
        <v>18</v>
      </c>
      <c r="E1662">
        <v>49.89</v>
      </c>
      <c r="F1662">
        <v>39.15</v>
      </c>
      <c r="G1662">
        <v>1</v>
      </c>
      <c r="H1662">
        <f t="shared" si="25"/>
        <v>58562.910000000018</v>
      </c>
      <c r="I1662" t="str">
        <f>IF(Sheet1[[#This Row],[Month_Revenue]] &lt; AVERAGE(Sheet1[Month_Revenue]), "Off-Peak", "Peak")</f>
        <v>Peak</v>
      </c>
      <c r="J1662">
        <f xml:space="preserve"> IF(Sheet1[[#This Row],[Ad Spend]] &gt; 0, (Sheet1[[#This Row],[Profit]] / Sheet1[[#This Row],[Ad Spend]]), 0)</f>
        <v>0.27432950191570887</v>
      </c>
      <c r="K1662">
        <f>Sheet1[[#This Row],[Revenue]]-Sheet1[[#This Row],[Ad Spend]]</f>
        <v>10.740000000000002</v>
      </c>
      <c r="L1662" s="2" t="s">
        <v>14</v>
      </c>
      <c r="M1662">
        <v>4</v>
      </c>
      <c r="N1662" s="2" t="s">
        <v>19</v>
      </c>
      <c r="O1662">
        <v>49.89</v>
      </c>
    </row>
    <row r="1663" spans="1:15" x14ac:dyDescent="0.3">
      <c r="A1663" s="1">
        <v>45370</v>
      </c>
      <c r="B1663" s="2" t="s">
        <v>16</v>
      </c>
      <c r="C1663" s="2" t="s">
        <v>12</v>
      </c>
      <c r="D1663" s="2" t="s">
        <v>18</v>
      </c>
      <c r="E1663">
        <v>102.09</v>
      </c>
      <c r="F1663">
        <v>29.36</v>
      </c>
      <c r="G1663">
        <v>0</v>
      </c>
      <c r="H1663">
        <f t="shared" si="25"/>
        <v>54735.250000000029</v>
      </c>
      <c r="I1663" t="str">
        <f>IF(Sheet1[[#This Row],[Month_Revenue]] &lt; AVERAGE(Sheet1[Month_Revenue]), "Off-Peak", "Peak")</f>
        <v>Off-Peak</v>
      </c>
      <c r="J1663">
        <f xml:space="preserve"> IF(Sheet1[[#This Row],[Ad Spend]] &gt; 0, (Sheet1[[#This Row],[Profit]] / Sheet1[[#This Row],[Ad Spend]]), 0)</f>
        <v>2.4771798365122617</v>
      </c>
      <c r="K1663">
        <f>Sheet1[[#This Row],[Revenue]]-Sheet1[[#This Row],[Ad Spend]]</f>
        <v>72.73</v>
      </c>
      <c r="L1663" s="2" t="s">
        <v>22</v>
      </c>
      <c r="M1663">
        <v>3</v>
      </c>
      <c r="N1663" s="2" t="s">
        <v>19</v>
      </c>
      <c r="O1663">
        <v>0</v>
      </c>
    </row>
    <row r="1664" spans="1:15" x14ac:dyDescent="0.3">
      <c r="A1664" s="1">
        <v>45400</v>
      </c>
      <c r="B1664" s="2" t="s">
        <v>24</v>
      </c>
      <c r="C1664" s="2" t="s">
        <v>21</v>
      </c>
      <c r="D1664" s="2" t="s">
        <v>18</v>
      </c>
      <c r="E1664">
        <v>136.16999999999999</v>
      </c>
      <c r="F1664">
        <v>16.48</v>
      </c>
      <c r="G1664">
        <v>0</v>
      </c>
      <c r="H1664">
        <f t="shared" si="25"/>
        <v>58562.910000000018</v>
      </c>
      <c r="I1664" t="str">
        <f>IF(Sheet1[[#This Row],[Month_Revenue]] &lt; AVERAGE(Sheet1[Month_Revenue]), "Off-Peak", "Peak")</f>
        <v>Peak</v>
      </c>
      <c r="J1664">
        <f xml:space="preserve"> IF(Sheet1[[#This Row],[Ad Spend]] &gt; 0, (Sheet1[[#This Row],[Profit]] / Sheet1[[#This Row],[Ad Spend]]), 0)</f>
        <v>7.2627427184466011</v>
      </c>
      <c r="K1664">
        <f>Sheet1[[#This Row],[Revenue]]-Sheet1[[#This Row],[Ad Spend]]</f>
        <v>119.68999999999998</v>
      </c>
      <c r="L1664" s="2" t="s">
        <v>22</v>
      </c>
      <c r="M1664">
        <v>4</v>
      </c>
      <c r="N1664" s="2" t="s">
        <v>19</v>
      </c>
      <c r="O1664">
        <v>0</v>
      </c>
    </row>
    <row r="1665" spans="1:15" x14ac:dyDescent="0.3">
      <c r="A1665" s="1">
        <v>45313</v>
      </c>
      <c r="B1665" s="2" t="s">
        <v>16</v>
      </c>
      <c r="C1665" s="2" t="s">
        <v>21</v>
      </c>
      <c r="D1665" s="2" t="s">
        <v>18</v>
      </c>
      <c r="E1665">
        <v>174.36</v>
      </c>
      <c r="F1665">
        <v>38.21</v>
      </c>
      <c r="G1665">
        <v>2</v>
      </c>
      <c r="H1665">
        <f t="shared" si="25"/>
        <v>61207.979999999989</v>
      </c>
      <c r="I1665" t="str">
        <f>IF(Sheet1[[#This Row],[Month_Revenue]] &lt; AVERAGE(Sheet1[Month_Revenue]), "Off-Peak", "Peak")</f>
        <v>Peak</v>
      </c>
      <c r="J1665">
        <f xml:space="preserve"> IF(Sheet1[[#This Row],[Ad Spend]] &gt; 0, (Sheet1[[#This Row],[Profit]] / Sheet1[[#This Row],[Ad Spend]]), 0)</f>
        <v>3.563203349908401</v>
      </c>
      <c r="K1665">
        <f>Sheet1[[#This Row],[Revenue]]-Sheet1[[#This Row],[Ad Spend]]</f>
        <v>136.15</v>
      </c>
      <c r="L1665" s="2" t="s">
        <v>22</v>
      </c>
      <c r="M1665">
        <v>1</v>
      </c>
      <c r="N1665" s="2" t="s">
        <v>15</v>
      </c>
      <c r="O1665">
        <v>87.18</v>
      </c>
    </row>
    <row r="1666" spans="1:15" x14ac:dyDescent="0.3">
      <c r="A1666" s="1">
        <v>45341</v>
      </c>
      <c r="B1666" s="2" t="s">
        <v>20</v>
      </c>
      <c r="C1666" s="2" t="s">
        <v>21</v>
      </c>
      <c r="D1666" s="2" t="s">
        <v>18</v>
      </c>
      <c r="E1666">
        <v>185.44</v>
      </c>
      <c r="F1666">
        <v>4.1399999999999997</v>
      </c>
      <c r="G1666">
        <v>2</v>
      </c>
      <c r="H1666">
        <f t="shared" ref="H1666:H1729" si="26">SUMIFS($E$2:$E$2001, $M$2:$M$2001, M1666)</f>
        <v>48675.899999999936</v>
      </c>
      <c r="I1666" t="str">
        <f>IF(Sheet1[[#This Row],[Month_Revenue]] &lt; AVERAGE(Sheet1[Month_Revenue]), "Off-Peak", "Peak")</f>
        <v>Off-Peak</v>
      </c>
      <c r="J1666">
        <f xml:space="preserve"> IF(Sheet1[[#This Row],[Ad Spend]] &gt; 0, (Sheet1[[#This Row],[Profit]] / Sheet1[[#This Row],[Ad Spend]]), 0)</f>
        <v>43.792270531400973</v>
      </c>
      <c r="K1666">
        <f>Sheet1[[#This Row],[Revenue]]-Sheet1[[#This Row],[Ad Spend]]</f>
        <v>181.3</v>
      </c>
      <c r="L1666" s="2" t="s">
        <v>14</v>
      </c>
      <c r="M1666">
        <v>2</v>
      </c>
      <c r="N1666" s="2" t="s">
        <v>15</v>
      </c>
      <c r="O1666">
        <v>92.72</v>
      </c>
    </row>
    <row r="1667" spans="1:15" x14ac:dyDescent="0.3">
      <c r="A1667" s="1">
        <v>45340</v>
      </c>
      <c r="B1667" s="2" t="s">
        <v>24</v>
      </c>
      <c r="C1667" s="2" t="s">
        <v>17</v>
      </c>
      <c r="D1667" s="2" t="s">
        <v>18</v>
      </c>
      <c r="E1667">
        <v>146.22999999999999</v>
      </c>
      <c r="F1667">
        <v>44.29</v>
      </c>
      <c r="G1667">
        <v>1</v>
      </c>
      <c r="H1667">
        <f t="shared" si="26"/>
        <v>48675.899999999936</v>
      </c>
      <c r="I1667" t="str">
        <f>IF(Sheet1[[#This Row],[Month_Revenue]] &lt; AVERAGE(Sheet1[Month_Revenue]), "Off-Peak", "Peak")</f>
        <v>Off-Peak</v>
      </c>
      <c r="J1667">
        <f xml:space="preserve"> IF(Sheet1[[#This Row],[Ad Spend]] &gt; 0, (Sheet1[[#This Row],[Profit]] / Sheet1[[#This Row],[Ad Spend]]), 0)</f>
        <v>2.3016482275908783</v>
      </c>
      <c r="K1667">
        <f>Sheet1[[#This Row],[Revenue]]-Sheet1[[#This Row],[Ad Spend]]</f>
        <v>101.94</v>
      </c>
      <c r="L1667" s="2" t="s">
        <v>22</v>
      </c>
      <c r="M1667">
        <v>2</v>
      </c>
      <c r="N1667" s="2" t="s">
        <v>15</v>
      </c>
      <c r="O1667">
        <v>146.22999999999999</v>
      </c>
    </row>
    <row r="1668" spans="1:15" x14ac:dyDescent="0.3">
      <c r="A1668" s="1">
        <v>45300</v>
      </c>
      <c r="B1668" s="2" t="s">
        <v>20</v>
      </c>
      <c r="C1668" s="2" t="s">
        <v>17</v>
      </c>
      <c r="D1668" s="2" t="s">
        <v>18</v>
      </c>
      <c r="E1668">
        <v>94.41</v>
      </c>
      <c r="F1668">
        <v>49.61</v>
      </c>
      <c r="G1668">
        <v>2</v>
      </c>
      <c r="H1668">
        <f t="shared" si="26"/>
        <v>61207.979999999989</v>
      </c>
      <c r="I1668" t="str">
        <f>IF(Sheet1[[#This Row],[Month_Revenue]] &lt; AVERAGE(Sheet1[Month_Revenue]), "Off-Peak", "Peak")</f>
        <v>Peak</v>
      </c>
      <c r="J1668">
        <f xml:space="preserve"> IF(Sheet1[[#This Row],[Ad Spend]] &gt; 0, (Sheet1[[#This Row],[Profit]] / Sheet1[[#This Row],[Ad Spend]]), 0)</f>
        <v>0.90304374118121344</v>
      </c>
      <c r="K1668">
        <f>Sheet1[[#This Row],[Revenue]]-Sheet1[[#This Row],[Ad Spend]]</f>
        <v>44.8</v>
      </c>
      <c r="L1668" s="2" t="s">
        <v>14</v>
      </c>
      <c r="M1668">
        <v>1</v>
      </c>
      <c r="N1668" s="2" t="s">
        <v>15</v>
      </c>
      <c r="O1668">
        <v>47.204999999999998</v>
      </c>
    </row>
    <row r="1669" spans="1:15" x14ac:dyDescent="0.3">
      <c r="A1669" s="1">
        <v>45380</v>
      </c>
      <c r="B1669" s="2" t="s">
        <v>16</v>
      </c>
      <c r="C1669" s="2" t="s">
        <v>21</v>
      </c>
      <c r="D1669" s="2" t="s">
        <v>18</v>
      </c>
      <c r="E1669">
        <v>173.39</v>
      </c>
      <c r="F1669">
        <v>5.83</v>
      </c>
      <c r="G1669">
        <v>0</v>
      </c>
      <c r="H1669">
        <f t="shared" si="26"/>
        <v>54735.250000000029</v>
      </c>
      <c r="I1669" t="str">
        <f>IF(Sheet1[[#This Row],[Month_Revenue]] &lt; AVERAGE(Sheet1[Month_Revenue]), "Off-Peak", "Peak")</f>
        <v>Off-Peak</v>
      </c>
      <c r="J1669">
        <f xml:space="preserve"> IF(Sheet1[[#This Row],[Ad Spend]] &gt; 0, (Sheet1[[#This Row],[Profit]] / Sheet1[[#This Row],[Ad Spend]]), 0)</f>
        <v>28.740994854202398</v>
      </c>
      <c r="K1669">
        <f>Sheet1[[#This Row],[Revenue]]-Sheet1[[#This Row],[Ad Spend]]</f>
        <v>167.55999999999997</v>
      </c>
      <c r="L1669" s="2" t="s">
        <v>22</v>
      </c>
      <c r="M1669">
        <v>3</v>
      </c>
      <c r="N1669" s="2" t="s">
        <v>19</v>
      </c>
      <c r="O1669">
        <v>0</v>
      </c>
    </row>
    <row r="1670" spans="1:15" x14ac:dyDescent="0.3">
      <c r="A1670" s="1">
        <v>45321</v>
      </c>
      <c r="B1670" s="2" t="s">
        <v>24</v>
      </c>
      <c r="C1670" s="2" t="s">
        <v>12</v>
      </c>
      <c r="D1670" s="2" t="s">
        <v>18</v>
      </c>
      <c r="E1670">
        <v>93.13</v>
      </c>
      <c r="F1670">
        <v>18.32</v>
      </c>
      <c r="G1670">
        <v>1</v>
      </c>
      <c r="H1670">
        <f t="shared" si="26"/>
        <v>61207.979999999989</v>
      </c>
      <c r="I1670" t="str">
        <f>IF(Sheet1[[#This Row],[Month_Revenue]] &lt; AVERAGE(Sheet1[Month_Revenue]), "Off-Peak", "Peak")</f>
        <v>Peak</v>
      </c>
      <c r="J1670">
        <f xml:space="preserve"> IF(Sheet1[[#This Row],[Ad Spend]] &gt; 0, (Sheet1[[#This Row],[Profit]] / Sheet1[[#This Row],[Ad Spend]]), 0)</f>
        <v>4.0835152838427948</v>
      </c>
      <c r="K1670">
        <f>Sheet1[[#This Row],[Revenue]]-Sheet1[[#This Row],[Ad Spend]]</f>
        <v>74.81</v>
      </c>
      <c r="L1670" s="2" t="s">
        <v>14</v>
      </c>
      <c r="M1670">
        <v>1</v>
      </c>
      <c r="N1670" s="2" t="s">
        <v>15</v>
      </c>
      <c r="O1670">
        <v>93.13</v>
      </c>
    </row>
    <row r="1671" spans="1:15" x14ac:dyDescent="0.3">
      <c r="A1671" s="1">
        <v>45364</v>
      </c>
      <c r="B1671" s="2" t="s">
        <v>16</v>
      </c>
      <c r="C1671" s="2" t="s">
        <v>17</v>
      </c>
      <c r="D1671" s="2" t="s">
        <v>18</v>
      </c>
      <c r="E1671">
        <v>191.94</v>
      </c>
      <c r="F1671">
        <v>22.46</v>
      </c>
      <c r="G1671">
        <v>1</v>
      </c>
      <c r="H1671">
        <f t="shared" si="26"/>
        <v>54735.250000000029</v>
      </c>
      <c r="I1671" t="str">
        <f>IF(Sheet1[[#This Row],[Month_Revenue]] &lt; AVERAGE(Sheet1[Month_Revenue]), "Off-Peak", "Peak")</f>
        <v>Off-Peak</v>
      </c>
      <c r="J1671">
        <f xml:space="preserve"> IF(Sheet1[[#This Row],[Ad Spend]] &gt; 0, (Sheet1[[#This Row],[Profit]] / Sheet1[[#This Row],[Ad Spend]]), 0)</f>
        <v>7.5458593054318781</v>
      </c>
      <c r="K1671">
        <f>Sheet1[[#This Row],[Revenue]]-Sheet1[[#This Row],[Ad Spend]]</f>
        <v>169.48</v>
      </c>
      <c r="L1671" s="2" t="s">
        <v>14</v>
      </c>
      <c r="M1671">
        <v>3</v>
      </c>
      <c r="N1671" s="2" t="s">
        <v>19</v>
      </c>
      <c r="O1671">
        <v>191.94</v>
      </c>
    </row>
    <row r="1672" spans="1:15" x14ac:dyDescent="0.3">
      <c r="A1672" s="1">
        <v>45390</v>
      </c>
      <c r="B1672" s="2" t="s">
        <v>16</v>
      </c>
      <c r="C1672" s="2" t="s">
        <v>17</v>
      </c>
      <c r="D1672" s="2" t="s">
        <v>13</v>
      </c>
      <c r="E1672">
        <v>119.57</v>
      </c>
      <c r="F1672">
        <v>48.56</v>
      </c>
      <c r="G1672">
        <v>1</v>
      </c>
      <c r="H1672">
        <f t="shared" si="26"/>
        <v>58562.910000000018</v>
      </c>
      <c r="I1672" t="str">
        <f>IF(Sheet1[[#This Row],[Month_Revenue]] &lt; AVERAGE(Sheet1[Month_Revenue]), "Off-Peak", "Peak")</f>
        <v>Peak</v>
      </c>
      <c r="J1672">
        <f xml:space="preserve"> IF(Sheet1[[#This Row],[Ad Spend]] &gt; 0, (Sheet1[[#This Row],[Profit]] / Sheet1[[#This Row],[Ad Spend]]), 0)</f>
        <v>1.462314662273476</v>
      </c>
      <c r="K1672">
        <f>Sheet1[[#This Row],[Revenue]]-Sheet1[[#This Row],[Ad Spend]]</f>
        <v>71.009999999999991</v>
      </c>
      <c r="L1672" s="2" t="s">
        <v>14</v>
      </c>
      <c r="M1672">
        <v>4</v>
      </c>
      <c r="N1672" s="2" t="s">
        <v>19</v>
      </c>
      <c r="O1672">
        <v>119.57</v>
      </c>
    </row>
    <row r="1673" spans="1:15" x14ac:dyDescent="0.3">
      <c r="A1673" s="1">
        <v>45318</v>
      </c>
      <c r="B1673" s="2" t="s">
        <v>20</v>
      </c>
      <c r="C1673" s="2" t="s">
        <v>21</v>
      </c>
      <c r="D1673" s="2" t="s">
        <v>18</v>
      </c>
      <c r="E1673">
        <v>164.76</v>
      </c>
      <c r="F1673">
        <v>47.42</v>
      </c>
      <c r="G1673">
        <v>0</v>
      </c>
      <c r="H1673">
        <f t="shared" si="26"/>
        <v>61207.979999999989</v>
      </c>
      <c r="I1673" t="str">
        <f>IF(Sheet1[[#This Row],[Month_Revenue]] &lt; AVERAGE(Sheet1[Month_Revenue]), "Off-Peak", "Peak")</f>
        <v>Peak</v>
      </c>
      <c r="J1673">
        <f xml:space="preserve"> IF(Sheet1[[#This Row],[Ad Spend]] &gt; 0, (Sheet1[[#This Row],[Profit]] / Sheet1[[#This Row],[Ad Spend]]), 0)</f>
        <v>2.474483340362716</v>
      </c>
      <c r="K1673">
        <f>Sheet1[[#This Row],[Revenue]]-Sheet1[[#This Row],[Ad Spend]]</f>
        <v>117.33999999999999</v>
      </c>
      <c r="L1673" s="2" t="s">
        <v>22</v>
      </c>
      <c r="M1673">
        <v>1</v>
      </c>
      <c r="N1673" s="2" t="s">
        <v>15</v>
      </c>
      <c r="O1673">
        <v>0</v>
      </c>
    </row>
    <row r="1674" spans="1:15" x14ac:dyDescent="0.3">
      <c r="A1674" s="1">
        <v>45389</v>
      </c>
      <c r="B1674" s="2" t="s">
        <v>11</v>
      </c>
      <c r="C1674" s="2" t="s">
        <v>21</v>
      </c>
      <c r="D1674" s="2" t="s">
        <v>18</v>
      </c>
      <c r="E1674">
        <v>194.05</v>
      </c>
      <c r="F1674">
        <v>19.45</v>
      </c>
      <c r="G1674">
        <v>2</v>
      </c>
      <c r="H1674">
        <f t="shared" si="26"/>
        <v>58562.910000000018</v>
      </c>
      <c r="I1674" t="str">
        <f>IF(Sheet1[[#This Row],[Month_Revenue]] &lt; AVERAGE(Sheet1[Month_Revenue]), "Off-Peak", "Peak")</f>
        <v>Peak</v>
      </c>
      <c r="J1674">
        <f xml:space="preserve"> IF(Sheet1[[#This Row],[Ad Spend]] &gt; 0, (Sheet1[[#This Row],[Profit]] / Sheet1[[#This Row],[Ad Spend]]), 0)</f>
        <v>8.9768637532133688</v>
      </c>
      <c r="K1674">
        <f>Sheet1[[#This Row],[Revenue]]-Sheet1[[#This Row],[Ad Spend]]</f>
        <v>174.60000000000002</v>
      </c>
      <c r="L1674" s="2" t="s">
        <v>22</v>
      </c>
      <c r="M1674">
        <v>4</v>
      </c>
      <c r="N1674" s="2" t="s">
        <v>19</v>
      </c>
      <c r="O1674">
        <v>97.025000000000006</v>
      </c>
    </row>
    <row r="1675" spans="1:15" x14ac:dyDescent="0.3">
      <c r="A1675" s="1">
        <v>45294</v>
      </c>
      <c r="B1675" s="2" t="s">
        <v>20</v>
      </c>
      <c r="C1675" s="2" t="s">
        <v>12</v>
      </c>
      <c r="D1675" s="2" t="s">
        <v>18</v>
      </c>
      <c r="E1675">
        <v>152.47</v>
      </c>
      <c r="F1675">
        <v>28.72</v>
      </c>
      <c r="G1675">
        <v>2</v>
      </c>
      <c r="H1675">
        <f t="shared" si="26"/>
        <v>61207.979999999989</v>
      </c>
      <c r="I1675" t="str">
        <f>IF(Sheet1[[#This Row],[Month_Revenue]] &lt; AVERAGE(Sheet1[Month_Revenue]), "Off-Peak", "Peak")</f>
        <v>Peak</v>
      </c>
      <c r="J1675">
        <f xml:space="preserve"> IF(Sheet1[[#This Row],[Ad Spend]] &gt; 0, (Sheet1[[#This Row],[Profit]] / Sheet1[[#This Row],[Ad Spend]]), 0)</f>
        <v>4.3088440111420612</v>
      </c>
      <c r="K1675">
        <f>Sheet1[[#This Row],[Revenue]]-Sheet1[[#This Row],[Ad Spend]]</f>
        <v>123.75</v>
      </c>
      <c r="L1675" s="2" t="s">
        <v>22</v>
      </c>
      <c r="M1675">
        <v>1</v>
      </c>
      <c r="N1675" s="2" t="s">
        <v>15</v>
      </c>
      <c r="O1675">
        <v>76.234999999999999</v>
      </c>
    </row>
    <row r="1676" spans="1:15" x14ac:dyDescent="0.3">
      <c r="A1676" s="1">
        <v>45337</v>
      </c>
      <c r="B1676" s="2" t="s">
        <v>23</v>
      </c>
      <c r="C1676" s="2" t="s">
        <v>12</v>
      </c>
      <c r="D1676" s="2" t="s">
        <v>18</v>
      </c>
      <c r="E1676">
        <v>71.5</v>
      </c>
      <c r="F1676">
        <v>47.87</v>
      </c>
      <c r="G1676">
        <v>3</v>
      </c>
      <c r="H1676">
        <f t="shared" si="26"/>
        <v>48675.899999999936</v>
      </c>
      <c r="I1676" t="str">
        <f>IF(Sheet1[[#This Row],[Month_Revenue]] &lt; AVERAGE(Sheet1[Month_Revenue]), "Off-Peak", "Peak")</f>
        <v>Off-Peak</v>
      </c>
      <c r="J1676">
        <f xml:space="preserve"> IF(Sheet1[[#This Row],[Ad Spend]] &gt; 0, (Sheet1[[#This Row],[Profit]] / Sheet1[[#This Row],[Ad Spend]]), 0)</f>
        <v>0.4936285773971173</v>
      </c>
      <c r="K1676">
        <f>Sheet1[[#This Row],[Revenue]]-Sheet1[[#This Row],[Ad Spend]]</f>
        <v>23.630000000000003</v>
      </c>
      <c r="L1676" s="2" t="s">
        <v>22</v>
      </c>
      <c r="M1676">
        <v>2</v>
      </c>
      <c r="N1676" s="2" t="s">
        <v>15</v>
      </c>
      <c r="O1676">
        <v>23.833333333333332</v>
      </c>
    </row>
    <row r="1677" spans="1:15" x14ac:dyDescent="0.3">
      <c r="A1677" s="1">
        <v>45406</v>
      </c>
      <c r="B1677" s="2" t="s">
        <v>20</v>
      </c>
      <c r="C1677" s="2" t="s">
        <v>17</v>
      </c>
      <c r="D1677" s="2" t="s">
        <v>13</v>
      </c>
      <c r="E1677">
        <v>82.72</v>
      </c>
      <c r="F1677">
        <v>28.14</v>
      </c>
      <c r="G1677">
        <v>0</v>
      </c>
      <c r="H1677">
        <f t="shared" si="26"/>
        <v>58562.910000000018</v>
      </c>
      <c r="I1677" t="str">
        <f>IF(Sheet1[[#This Row],[Month_Revenue]] &lt; AVERAGE(Sheet1[Month_Revenue]), "Off-Peak", "Peak")</f>
        <v>Peak</v>
      </c>
      <c r="J1677">
        <f xml:space="preserve"> IF(Sheet1[[#This Row],[Ad Spend]] &gt; 0, (Sheet1[[#This Row],[Profit]] / Sheet1[[#This Row],[Ad Spend]]), 0)</f>
        <v>1.9395877754086708</v>
      </c>
      <c r="K1677">
        <f>Sheet1[[#This Row],[Revenue]]-Sheet1[[#This Row],[Ad Spend]]</f>
        <v>54.58</v>
      </c>
      <c r="L1677" s="2" t="s">
        <v>22</v>
      </c>
      <c r="M1677">
        <v>4</v>
      </c>
      <c r="N1677" s="2" t="s">
        <v>19</v>
      </c>
      <c r="O1677">
        <v>0</v>
      </c>
    </row>
    <row r="1678" spans="1:15" x14ac:dyDescent="0.3">
      <c r="A1678" s="1">
        <v>45340</v>
      </c>
      <c r="B1678" s="2" t="s">
        <v>16</v>
      </c>
      <c r="C1678" s="2" t="s">
        <v>12</v>
      </c>
      <c r="D1678" s="2" t="s">
        <v>13</v>
      </c>
      <c r="E1678">
        <v>46.11</v>
      </c>
      <c r="F1678">
        <v>49.88</v>
      </c>
      <c r="G1678">
        <v>3</v>
      </c>
      <c r="H1678">
        <f t="shared" si="26"/>
        <v>48675.899999999936</v>
      </c>
      <c r="I1678" t="str">
        <f>IF(Sheet1[[#This Row],[Month_Revenue]] &lt; AVERAGE(Sheet1[Month_Revenue]), "Off-Peak", "Peak")</f>
        <v>Off-Peak</v>
      </c>
      <c r="J1678">
        <f xml:space="preserve"> IF(Sheet1[[#This Row],[Ad Spend]] &gt; 0, (Sheet1[[#This Row],[Profit]] / Sheet1[[#This Row],[Ad Spend]]), 0)</f>
        <v>-7.5581395348837274E-2</v>
      </c>
      <c r="K1678">
        <f>Sheet1[[#This Row],[Revenue]]-Sheet1[[#This Row],[Ad Spend]]</f>
        <v>-3.7700000000000031</v>
      </c>
      <c r="L1678" s="2" t="s">
        <v>22</v>
      </c>
      <c r="M1678">
        <v>2</v>
      </c>
      <c r="N1678" s="2" t="s">
        <v>15</v>
      </c>
      <c r="O1678">
        <v>15.37</v>
      </c>
    </row>
    <row r="1679" spans="1:15" x14ac:dyDescent="0.3">
      <c r="A1679" s="1">
        <v>45337</v>
      </c>
      <c r="B1679" s="2" t="s">
        <v>16</v>
      </c>
      <c r="C1679" s="2" t="s">
        <v>17</v>
      </c>
      <c r="D1679" s="2" t="s">
        <v>13</v>
      </c>
      <c r="E1679">
        <v>189.83</v>
      </c>
      <c r="F1679">
        <v>36.35</v>
      </c>
      <c r="G1679">
        <v>2</v>
      </c>
      <c r="H1679">
        <f t="shared" si="26"/>
        <v>48675.899999999936</v>
      </c>
      <c r="I1679" t="str">
        <f>IF(Sheet1[[#This Row],[Month_Revenue]] &lt; AVERAGE(Sheet1[Month_Revenue]), "Off-Peak", "Peak")</f>
        <v>Off-Peak</v>
      </c>
      <c r="J1679">
        <f xml:space="preserve"> IF(Sheet1[[#This Row],[Ad Spend]] &gt; 0, (Sheet1[[#This Row],[Profit]] / Sheet1[[#This Row],[Ad Spend]]), 0)</f>
        <v>4.2222833562585977</v>
      </c>
      <c r="K1679">
        <f>Sheet1[[#This Row],[Revenue]]-Sheet1[[#This Row],[Ad Spend]]</f>
        <v>153.48000000000002</v>
      </c>
      <c r="L1679" s="2" t="s">
        <v>14</v>
      </c>
      <c r="M1679">
        <v>2</v>
      </c>
      <c r="N1679" s="2" t="s">
        <v>15</v>
      </c>
      <c r="O1679">
        <v>94.915000000000006</v>
      </c>
    </row>
    <row r="1680" spans="1:15" x14ac:dyDescent="0.3">
      <c r="A1680" s="1">
        <v>45342</v>
      </c>
      <c r="B1680" s="2" t="s">
        <v>11</v>
      </c>
      <c r="C1680" s="2" t="s">
        <v>21</v>
      </c>
      <c r="D1680" s="2" t="s">
        <v>18</v>
      </c>
      <c r="E1680">
        <v>52.99</v>
      </c>
      <c r="F1680">
        <v>24.84</v>
      </c>
      <c r="G1680">
        <v>1</v>
      </c>
      <c r="H1680">
        <f t="shared" si="26"/>
        <v>48675.899999999936</v>
      </c>
      <c r="I1680" t="str">
        <f>IF(Sheet1[[#This Row],[Month_Revenue]] &lt; AVERAGE(Sheet1[Month_Revenue]), "Off-Peak", "Peak")</f>
        <v>Off-Peak</v>
      </c>
      <c r="J1680">
        <f xml:space="preserve"> IF(Sheet1[[#This Row],[Ad Spend]] &gt; 0, (Sheet1[[#This Row],[Profit]] / Sheet1[[#This Row],[Ad Spend]]), 0)</f>
        <v>1.1332528180354269</v>
      </c>
      <c r="K1680">
        <f>Sheet1[[#This Row],[Revenue]]-Sheet1[[#This Row],[Ad Spend]]</f>
        <v>28.150000000000002</v>
      </c>
      <c r="L1680" s="2" t="s">
        <v>14</v>
      </c>
      <c r="M1680">
        <v>2</v>
      </c>
      <c r="N1680" s="2" t="s">
        <v>15</v>
      </c>
      <c r="O1680">
        <v>52.99</v>
      </c>
    </row>
    <row r="1681" spans="1:15" x14ac:dyDescent="0.3">
      <c r="A1681" s="1">
        <v>45304</v>
      </c>
      <c r="B1681" s="2" t="s">
        <v>16</v>
      </c>
      <c r="C1681" s="2" t="s">
        <v>12</v>
      </c>
      <c r="D1681" s="2" t="s">
        <v>18</v>
      </c>
      <c r="E1681">
        <v>61.76</v>
      </c>
      <c r="F1681">
        <v>1.42</v>
      </c>
      <c r="G1681">
        <v>2</v>
      </c>
      <c r="H1681">
        <f t="shared" si="26"/>
        <v>61207.979999999989</v>
      </c>
      <c r="I1681" t="str">
        <f>IF(Sheet1[[#This Row],[Month_Revenue]] &lt; AVERAGE(Sheet1[Month_Revenue]), "Off-Peak", "Peak")</f>
        <v>Peak</v>
      </c>
      <c r="J1681">
        <f xml:space="preserve"> IF(Sheet1[[#This Row],[Ad Spend]] &gt; 0, (Sheet1[[#This Row],[Profit]] / Sheet1[[#This Row],[Ad Spend]]), 0)</f>
        <v>42.492957746478872</v>
      </c>
      <c r="K1681">
        <f>Sheet1[[#This Row],[Revenue]]-Sheet1[[#This Row],[Ad Spend]]</f>
        <v>60.339999999999996</v>
      </c>
      <c r="L1681" s="2" t="s">
        <v>22</v>
      </c>
      <c r="M1681">
        <v>1</v>
      </c>
      <c r="N1681" s="2" t="s">
        <v>15</v>
      </c>
      <c r="O1681">
        <v>30.88</v>
      </c>
    </row>
    <row r="1682" spans="1:15" x14ac:dyDescent="0.3">
      <c r="A1682" s="1">
        <v>45311</v>
      </c>
      <c r="B1682" s="2" t="s">
        <v>20</v>
      </c>
      <c r="C1682" s="2" t="s">
        <v>17</v>
      </c>
      <c r="D1682" s="2" t="s">
        <v>13</v>
      </c>
      <c r="E1682">
        <v>138.99</v>
      </c>
      <c r="F1682">
        <v>13.3</v>
      </c>
      <c r="G1682">
        <v>3</v>
      </c>
      <c r="H1682">
        <f t="shared" si="26"/>
        <v>61207.979999999989</v>
      </c>
      <c r="I1682" t="str">
        <f>IF(Sheet1[[#This Row],[Month_Revenue]] &lt; AVERAGE(Sheet1[Month_Revenue]), "Off-Peak", "Peak")</f>
        <v>Peak</v>
      </c>
      <c r="J1682">
        <f xml:space="preserve"> IF(Sheet1[[#This Row],[Ad Spend]] &gt; 0, (Sheet1[[#This Row],[Profit]] / Sheet1[[#This Row],[Ad Spend]]), 0)</f>
        <v>9.450375939849625</v>
      </c>
      <c r="K1682">
        <f>Sheet1[[#This Row],[Revenue]]-Sheet1[[#This Row],[Ad Spend]]</f>
        <v>125.69000000000001</v>
      </c>
      <c r="L1682" s="2" t="s">
        <v>22</v>
      </c>
      <c r="M1682">
        <v>1</v>
      </c>
      <c r="N1682" s="2" t="s">
        <v>15</v>
      </c>
      <c r="O1682">
        <v>46.330000000000005</v>
      </c>
    </row>
    <row r="1683" spans="1:15" x14ac:dyDescent="0.3">
      <c r="A1683" s="1">
        <v>45314</v>
      </c>
      <c r="B1683" s="2" t="s">
        <v>24</v>
      </c>
      <c r="C1683" s="2" t="s">
        <v>17</v>
      </c>
      <c r="D1683" s="2" t="s">
        <v>18</v>
      </c>
      <c r="E1683">
        <v>165.28</v>
      </c>
      <c r="F1683">
        <v>43.39</v>
      </c>
      <c r="G1683">
        <v>1</v>
      </c>
      <c r="H1683">
        <f t="shared" si="26"/>
        <v>61207.979999999989</v>
      </c>
      <c r="I1683" t="str">
        <f>IF(Sheet1[[#This Row],[Month_Revenue]] &lt; AVERAGE(Sheet1[Month_Revenue]), "Off-Peak", "Peak")</f>
        <v>Peak</v>
      </c>
      <c r="J1683">
        <f xml:space="preserve"> IF(Sheet1[[#This Row],[Ad Spend]] &gt; 0, (Sheet1[[#This Row],[Profit]] / Sheet1[[#This Row],[Ad Spend]]), 0)</f>
        <v>2.8091726204194516</v>
      </c>
      <c r="K1683">
        <f>Sheet1[[#This Row],[Revenue]]-Sheet1[[#This Row],[Ad Spend]]</f>
        <v>121.89</v>
      </c>
      <c r="L1683" s="2" t="s">
        <v>14</v>
      </c>
      <c r="M1683">
        <v>1</v>
      </c>
      <c r="N1683" s="2" t="s">
        <v>15</v>
      </c>
      <c r="O1683">
        <v>165.28</v>
      </c>
    </row>
    <row r="1684" spans="1:15" x14ac:dyDescent="0.3">
      <c r="A1684" s="1">
        <v>45380</v>
      </c>
      <c r="B1684" s="2" t="s">
        <v>16</v>
      </c>
      <c r="C1684" s="2" t="s">
        <v>17</v>
      </c>
      <c r="D1684" s="2" t="s">
        <v>18</v>
      </c>
      <c r="E1684">
        <v>186.88</v>
      </c>
      <c r="F1684">
        <v>18.809999999999999</v>
      </c>
      <c r="G1684">
        <v>0</v>
      </c>
      <c r="H1684">
        <f t="shared" si="26"/>
        <v>54735.250000000029</v>
      </c>
      <c r="I1684" t="str">
        <f>IF(Sheet1[[#This Row],[Month_Revenue]] &lt; AVERAGE(Sheet1[Month_Revenue]), "Off-Peak", "Peak")</f>
        <v>Off-Peak</v>
      </c>
      <c r="J1684">
        <f xml:space="preserve"> IF(Sheet1[[#This Row],[Ad Spend]] &gt; 0, (Sheet1[[#This Row],[Profit]] / Sheet1[[#This Row],[Ad Spend]]), 0)</f>
        <v>8.9351408825093035</v>
      </c>
      <c r="K1684">
        <f>Sheet1[[#This Row],[Revenue]]-Sheet1[[#This Row],[Ad Spend]]</f>
        <v>168.07</v>
      </c>
      <c r="L1684" s="2" t="s">
        <v>14</v>
      </c>
      <c r="M1684">
        <v>3</v>
      </c>
      <c r="N1684" s="2" t="s">
        <v>19</v>
      </c>
      <c r="O1684">
        <v>0</v>
      </c>
    </row>
    <row r="1685" spans="1:15" x14ac:dyDescent="0.3">
      <c r="A1685" s="1">
        <v>45383</v>
      </c>
      <c r="B1685" s="2" t="s">
        <v>24</v>
      </c>
      <c r="C1685" s="2" t="s">
        <v>21</v>
      </c>
      <c r="D1685" s="2" t="s">
        <v>13</v>
      </c>
      <c r="E1685">
        <v>57.25</v>
      </c>
      <c r="F1685">
        <v>25.63</v>
      </c>
      <c r="G1685">
        <v>1</v>
      </c>
      <c r="H1685">
        <f t="shared" si="26"/>
        <v>58562.910000000018</v>
      </c>
      <c r="I1685" t="str">
        <f>IF(Sheet1[[#This Row],[Month_Revenue]] &lt; AVERAGE(Sheet1[Month_Revenue]), "Off-Peak", "Peak")</f>
        <v>Peak</v>
      </c>
      <c r="J1685">
        <f xml:space="preserve"> IF(Sheet1[[#This Row],[Ad Spend]] &gt; 0, (Sheet1[[#This Row],[Profit]] / Sheet1[[#This Row],[Ad Spend]]), 0)</f>
        <v>1.2337104955130707</v>
      </c>
      <c r="K1685">
        <f>Sheet1[[#This Row],[Revenue]]-Sheet1[[#This Row],[Ad Spend]]</f>
        <v>31.62</v>
      </c>
      <c r="L1685" s="2" t="s">
        <v>14</v>
      </c>
      <c r="M1685">
        <v>4</v>
      </c>
      <c r="N1685" s="2" t="s">
        <v>19</v>
      </c>
      <c r="O1685">
        <v>57.25</v>
      </c>
    </row>
    <row r="1686" spans="1:15" x14ac:dyDescent="0.3">
      <c r="A1686" s="1">
        <v>45340</v>
      </c>
      <c r="B1686" s="2" t="s">
        <v>16</v>
      </c>
      <c r="C1686" s="2" t="s">
        <v>21</v>
      </c>
      <c r="D1686" s="2" t="s">
        <v>18</v>
      </c>
      <c r="E1686">
        <v>140.76</v>
      </c>
      <c r="F1686">
        <v>33.04</v>
      </c>
      <c r="G1686">
        <v>1</v>
      </c>
      <c r="H1686">
        <f t="shared" si="26"/>
        <v>48675.899999999936</v>
      </c>
      <c r="I1686" t="str">
        <f>IF(Sheet1[[#This Row],[Month_Revenue]] &lt; AVERAGE(Sheet1[Month_Revenue]), "Off-Peak", "Peak")</f>
        <v>Off-Peak</v>
      </c>
      <c r="J1686">
        <f xml:space="preserve"> IF(Sheet1[[#This Row],[Ad Spend]] &gt; 0, (Sheet1[[#This Row],[Profit]] / Sheet1[[#This Row],[Ad Spend]]), 0)</f>
        <v>3.2602905569007263</v>
      </c>
      <c r="K1686">
        <f>Sheet1[[#This Row],[Revenue]]-Sheet1[[#This Row],[Ad Spend]]</f>
        <v>107.72</v>
      </c>
      <c r="L1686" s="2" t="s">
        <v>14</v>
      </c>
      <c r="M1686">
        <v>2</v>
      </c>
      <c r="N1686" s="2" t="s">
        <v>15</v>
      </c>
      <c r="O1686">
        <v>140.76</v>
      </c>
    </row>
    <row r="1687" spans="1:15" x14ac:dyDescent="0.3">
      <c r="A1687" s="1">
        <v>45320</v>
      </c>
      <c r="B1687" s="2" t="s">
        <v>11</v>
      </c>
      <c r="C1687" s="2" t="s">
        <v>12</v>
      </c>
      <c r="D1687" s="2" t="s">
        <v>18</v>
      </c>
      <c r="E1687">
        <v>23.18</v>
      </c>
      <c r="F1687">
        <v>49.24</v>
      </c>
      <c r="G1687">
        <v>0</v>
      </c>
      <c r="H1687">
        <f t="shared" si="26"/>
        <v>61207.979999999989</v>
      </c>
      <c r="I1687" t="str">
        <f>IF(Sheet1[[#This Row],[Month_Revenue]] &lt; AVERAGE(Sheet1[Month_Revenue]), "Off-Peak", "Peak")</f>
        <v>Peak</v>
      </c>
      <c r="J1687">
        <f xml:space="preserve"> IF(Sheet1[[#This Row],[Ad Spend]] &gt; 0, (Sheet1[[#This Row],[Profit]] / Sheet1[[#This Row],[Ad Spend]]), 0)</f>
        <v>-0.52924451665312755</v>
      </c>
      <c r="K1687">
        <f>Sheet1[[#This Row],[Revenue]]-Sheet1[[#This Row],[Ad Spend]]</f>
        <v>-26.060000000000002</v>
      </c>
      <c r="L1687" s="2" t="s">
        <v>14</v>
      </c>
      <c r="M1687">
        <v>1</v>
      </c>
      <c r="N1687" s="2" t="s">
        <v>15</v>
      </c>
      <c r="O1687">
        <v>0</v>
      </c>
    </row>
    <row r="1688" spans="1:15" x14ac:dyDescent="0.3">
      <c r="A1688" s="1">
        <v>45300</v>
      </c>
      <c r="B1688" s="2" t="s">
        <v>23</v>
      </c>
      <c r="C1688" s="2" t="s">
        <v>12</v>
      </c>
      <c r="D1688" s="2" t="s">
        <v>13</v>
      </c>
      <c r="E1688">
        <v>198.28</v>
      </c>
      <c r="F1688">
        <v>29.52</v>
      </c>
      <c r="G1688">
        <v>1</v>
      </c>
      <c r="H1688">
        <f t="shared" si="26"/>
        <v>61207.979999999989</v>
      </c>
      <c r="I1688" t="str">
        <f>IF(Sheet1[[#This Row],[Month_Revenue]] &lt; AVERAGE(Sheet1[Month_Revenue]), "Off-Peak", "Peak")</f>
        <v>Peak</v>
      </c>
      <c r="J1688">
        <f xml:space="preserve"> IF(Sheet1[[#This Row],[Ad Spend]] &gt; 0, (Sheet1[[#This Row],[Profit]] / Sheet1[[#This Row],[Ad Spend]]), 0)</f>
        <v>5.7168021680216796</v>
      </c>
      <c r="K1688">
        <f>Sheet1[[#This Row],[Revenue]]-Sheet1[[#This Row],[Ad Spend]]</f>
        <v>168.76</v>
      </c>
      <c r="L1688" s="2" t="s">
        <v>14</v>
      </c>
      <c r="M1688">
        <v>1</v>
      </c>
      <c r="N1688" s="2" t="s">
        <v>15</v>
      </c>
      <c r="O1688">
        <v>198.28</v>
      </c>
    </row>
    <row r="1689" spans="1:15" x14ac:dyDescent="0.3">
      <c r="A1689" s="1">
        <v>45302</v>
      </c>
      <c r="B1689" s="2" t="s">
        <v>23</v>
      </c>
      <c r="C1689" s="2" t="s">
        <v>17</v>
      </c>
      <c r="D1689" s="2" t="s">
        <v>18</v>
      </c>
      <c r="E1689">
        <v>47.13</v>
      </c>
      <c r="F1689">
        <v>32.549999999999997</v>
      </c>
      <c r="G1689">
        <v>2</v>
      </c>
      <c r="H1689">
        <f t="shared" si="26"/>
        <v>61207.979999999989</v>
      </c>
      <c r="I1689" t="str">
        <f>IF(Sheet1[[#This Row],[Month_Revenue]] &lt; AVERAGE(Sheet1[Month_Revenue]), "Off-Peak", "Peak")</f>
        <v>Peak</v>
      </c>
      <c r="J1689">
        <f xml:space="preserve"> IF(Sheet1[[#This Row],[Ad Spend]] &gt; 0, (Sheet1[[#This Row],[Profit]] / Sheet1[[#This Row],[Ad Spend]]), 0)</f>
        <v>0.44792626728110618</v>
      </c>
      <c r="K1689">
        <f>Sheet1[[#This Row],[Revenue]]-Sheet1[[#This Row],[Ad Spend]]</f>
        <v>14.580000000000005</v>
      </c>
      <c r="L1689" s="2" t="s">
        <v>22</v>
      </c>
      <c r="M1689">
        <v>1</v>
      </c>
      <c r="N1689" s="2" t="s">
        <v>15</v>
      </c>
      <c r="O1689">
        <v>23.565000000000001</v>
      </c>
    </row>
    <row r="1690" spans="1:15" x14ac:dyDescent="0.3">
      <c r="A1690" s="1">
        <v>45328</v>
      </c>
      <c r="B1690" s="2" t="s">
        <v>20</v>
      </c>
      <c r="C1690" s="2" t="s">
        <v>21</v>
      </c>
      <c r="D1690" s="2" t="s">
        <v>13</v>
      </c>
      <c r="E1690">
        <v>164.07</v>
      </c>
      <c r="F1690">
        <v>17.190000000000001</v>
      </c>
      <c r="G1690">
        <v>0</v>
      </c>
      <c r="H1690">
        <f t="shared" si="26"/>
        <v>48675.899999999936</v>
      </c>
      <c r="I1690" t="str">
        <f>IF(Sheet1[[#This Row],[Month_Revenue]] &lt; AVERAGE(Sheet1[Month_Revenue]), "Off-Peak", "Peak")</f>
        <v>Off-Peak</v>
      </c>
      <c r="J1690">
        <f xml:space="preserve"> IF(Sheet1[[#This Row],[Ad Spend]] &gt; 0, (Sheet1[[#This Row],[Profit]] / Sheet1[[#This Row],[Ad Spend]]), 0)</f>
        <v>8.5445026178010455</v>
      </c>
      <c r="K1690">
        <f>Sheet1[[#This Row],[Revenue]]-Sheet1[[#This Row],[Ad Spend]]</f>
        <v>146.88</v>
      </c>
      <c r="L1690" s="2" t="s">
        <v>14</v>
      </c>
      <c r="M1690">
        <v>2</v>
      </c>
      <c r="N1690" s="2" t="s">
        <v>15</v>
      </c>
      <c r="O1690">
        <v>0</v>
      </c>
    </row>
    <row r="1691" spans="1:15" x14ac:dyDescent="0.3">
      <c r="A1691" s="1">
        <v>45313</v>
      </c>
      <c r="B1691" s="2" t="s">
        <v>20</v>
      </c>
      <c r="C1691" s="2" t="s">
        <v>17</v>
      </c>
      <c r="D1691" s="2" t="s">
        <v>13</v>
      </c>
      <c r="E1691">
        <v>43.26</v>
      </c>
      <c r="F1691">
        <v>20.13</v>
      </c>
      <c r="G1691">
        <v>3</v>
      </c>
      <c r="H1691">
        <f t="shared" si="26"/>
        <v>61207.979999999989</v>
      </c>
      <c r="I1691" t="str">
        <f>IF(Sheet1[[#This Row],[Month_Revenue]] &lt; AVERAGE(Sheet1[Month_Revenue]), "Off-Peak", "Peak")</f>
        <v>Peak</v>
      </c>
      <c r="J1691">
        <f xml:space="preserve"> IF(Sheet1[[#This Row],[Ad Spend]] &gt; 0, (Sheet1[[#This Row],[Profit]] / Sheet1[[#This Row],[Ad Spend]]), 0)</f>
        <v>1.1490312965722802</v>
      </c>
      <c r="K1691">
        <f>Sheet1[[#This Row],[Revenue]]-Sheet1[[#This Row],[Ad Spend]]</f>
        <v>23.13</v>
      </c>
      <c r="L1691" s="2" t="s">
        <v>14</v>
      </c>
      <c r="M1691">
        <v>1</v>
      </c>
      <c r="N1691" s="2" t="s">
        <v>15</v>
      </c>
      <c r="O1691">
        <v>14.42</v>
      </c>
    </row>
    <row r="1692" spans="1:15" x14ac:dyDescent="0.3">
      <c r="A1692" s="1">
        <v>45402</v>
      </c>
      <c r="B1692" s="2" t="s">
        <v>16</v>
      </c>
      <c r="C1692" s="2" t="s">
        <v>17</v>
      </c>
      <c r="D1692" s="2" t="s">
        <v>13</v>
      </c>
      <c r="E1692">
        <v>110.91</v>
      </c>
      <c r="F1692">
        <v>33.590000000000003</v>
      </c>
      <c r="G1692">
        <v>3</v>
      </c>
      <c r="H1692">
        <f t="shared" si="26"/>
        <v>58562.910000000018</v>
      </c>
      <c r="I1692" t="str">
        <f>IF(Sheet1[[#This Row],[Month_Revenue]] &lt; AVERAGE(Sheet1[Month_Revenue]), "Off-Peak", "Peak")</f>
        <v>Peak</v>
      </c>
      <c r="J1692">
        <f xml:space="preserve"> IF(Sheet1[[#This Row],[Ad Spend]] &gt; 0, (Sheet1[[#This Row],[Profit]] / Sheet1[[#This Row],[Ad Spend]]), 0)</f>
        <v>2.3018755582018455</v>
      </c>
      <c r="K1692">
        <f>Sheet1[[#This Row],[Revenue]]-Sheet1[[#This Row],[Ad Spend]]</f>
        <v>77.319999999999993</v>
      </c>
      <c r="L1692" s="2" t="s">
        <v>22</v>
      </c>
      <c r="M1692">
        <v>4</v>
      </c>
      <c r="N1692" s="2" t="s">
        <v>19</v>
      </c>
      <c r="O1692">
        <v>36.97</v>
      </c>
    </row>
    <row r="1693" spans="1:15" x14ac:dyDescent="0.3">
      <c r="A1693" s="1">
        <v>45317</v>
      </c>
      <c r="B1693" s="2" t="s">
        <v>24</v>
      </c>
      <c r="C1693" s="2" t="s">
        <v>21</v>
      </c>
      <c r="D1693" s="2" t="s">
        <v>13</v>
      </c>
      <c r="E1693">
        <v>35.32</v>
      </c>
      <c r="F1693">
        <v>49.63</v>
      </c>
      <c r="G1693">
        <v>0</v>
      </c>
      <c r="H1693">
        <f t="shared" si="26"/>
        <v>61207.979999999989</v>
      </c>
      <c r="I1693" t="str">
        <f>IF(Sheet1[[#This Row],[Month_Revenue]] &lt; AVERAGE(Sheet1[Month_Revenue]), "Off-Peak", "Peak")</f>
        <v>Peak</v>
      </c>
      <c r="J1693">
        <f xml:space="preserve"> IF(Sheet1[[#This Row],[Ad Spend]] &gt; 0, (Sheet1[[#This Row],[Profit]] / Sheet1[[#This Row],[Ad Spend]]), 0)</f>
        <v>-0.28833366915172276</v>
      </c>
      <c r="K1693">
        <f>Sheet1[[#This Row],[Revenue]]-Sheet1[[#This Row],[Ad Spend]]</f>
        <v>-14.310000000000002</v>
      </c>
      <c r="L1693" s="2" t="s">
        <v>14</v>
      </c>
      <c r="M1693">
        <v>1</v>
      </c>
      <c r="N1693" s="2" t="s">
        <v>15</v>
      </c>
      <c r="O1693">
        <v>0</v>
      </c>
    </row>
    <row r="1694" spans="1:15" x14ac:dyDescent="0.3">
      <c r="A1694" s="1">
        <v>45350</v>
      </c>
      <c r="B1694" s="2" t="s">
        <v>20</v>
      </c>
      <c r="C1694" s="2" t="s">
        <v>12</v>
      </c>
      <c r="D1694" s="2" t="s">
        <v>18</v>
      </c>
      <c r="E1694">
        <v>88.13</v>
      </c>
      <c r="F1694">
        <v>10.83</v>
      </c>
      <c r="G1694">
        <v>0</v>
      </c>
      <c r="H1694">
        <f t="shared" si="26"/>
        <v>48675.899999999936</v>
      </c>
      <c r="I1694" t="str">
        <f>IF(Sheet1[[#This Row],[Month_Revenue]] &lt; AVERAGE(Sheet1[Month_Revenue]), "Off-Peak", "Peak")</f>
        <v>Off-Peak</v>
      </c>
      <c r="J1694">
        <f xml:space="preserve"> IF(Sheet1[[#This Row],[Ad Spend]] &gt; 0, (Sheet1[[#This Row],[Profit]] / Sheet1[[#This Row],[Ad Spend]]), 0)</f>
        <v>7.1375807940904892</v>
      </c>
      <c r="K1694">
        <f>Sheet1[[#This Row],[Revenue]]-Sheet1[[#This Row],[Ad Spend]]</f>
        <v>77.3</v>
      </c>
      <c r="L1694" s="2" t="s">
        <v>22</v>
      </c>
      <c r="M1694">
        <v>2</v>
      </c>
      <c r="N1694" s="2" t="s">
        <v>15</v>
      </c>
      <c r="O1694">
        <v>0</v>
      </c>
    </row>
    <row r="1695" spans="1:15" x14ac:dyDescent="0.3">
      <c r="A1695" s="1">
        <v>45311</v>
      </c>
      <c r="B1695" s="2" t="s">
        <v>20</v>
      </c>
      <c r="C1695" s="2" t="s">
        <v>12</v>
      </c>
      <c r="D1695" s="2" t="s">
        <v>18</v>
      </c>
      <c r="E1695">
        <v>126.85</v>
      </c>
      <c r="F1695">
        <v>24.83</v>
      </c>
      <c r="G1695">
        <v>3</v>
      </c>
      <c r="H1695">
        <f t="shared" si="26"/>
        <v>61207.979999999989</v>
      </c>
      <c r="I1695" t="str">
        <f>IF(Sheet1[[#This Row],[Month_Revenue]] &lt; AVERAGE(Sheet1[Month_Revenue]), "Off-Peak", "Peak")</f>
        <v>Peak</v>
      </c>
      <c r="J1695">
        <f xml:space="preserve"> IF(Sheet1[[#This Row],[Ad Spend]] &gt; 0, (Sheet1[[#This Row],[Profit]] / Sheet1[[#This Row],[Ad Spend]]), 0)</f>
        <v>4.1087394281111562</v>
      </c>
      <c r="K1695">
        <f>Sheet1[[#This Row],[Revenue]]-Sheet1[[#This Row],[Ad Spend]]</f>
        <v>102.02</v>
      </c>
      <c r="L1695" s="2" t="s">
        <v>22</v>
      </c>
      <c r="M1695">
        <v>1</v>
      </c>
      <c r="N1695" s="2" t="s">
        <v>15</v>
      </c>
      <c r="O1695">
        <v>42.283333333333331</v>
      </c>
    </row>
    <row r="1696" spans="1:15" x14ac:dyDescent="0.3">
      <c r="A1696" s="1">
        <v>45326</v>
      </c>
      <c r="B1696" s="2" t="s">
        <v>24</v>
      </c>
      <c r="C1696" s="2" t="s">
        <v>21</v>
      </c>
      <c r="D1696" s="2" t="s">
        <v>13</v>
      </c>
      <c r="E1696">
        <v>45.1</v>
      </c>
      <c r="F1696">
        <v>17.48</v>
      </c>
      <c r="G1696">
        <v>2</v>
      </c>
      <c r="H1696">
        <f t="shared" si="26"/>
        <v>48675.899999999936</v>
      </c>
      <c r="I1696" t="str">
        <f>IF(Sheet1[[#This Row],[Month_Revenue]] &lt; AVERAGE(Sheet1[Month_Revenue]), "Off-Peak", "Peak")</f>
        <v>Off-Peak</v>
      </c>
      <c r="J1696">
        <f xml:space="preserve"> IF(Sheet1[[#This Row],[Ad Spend]] &gt; 0, (Sheet1[[#This Row],[Profit]] / Sheet1[[#This Row],[Ad Spend]]), 0)</f>
        <v>1.5800915331807781</v>
      </c>
      <c r="K1696">
        <f>Sheet1[[#This Row],[Revenue]]-Sheet1[[#This Row],[Ad Spend]]</f>
        <v>27.62</v>
      </c>
      <c r="L1696" s="2" t="s">
        <v>14</v>
      </c>
      <c r="M1696">
        <v>2</v>
      </c>
      <c r="N1696" s="2" t="s">
        <v>15</v>
      </c>
      <c r="O1696">
        <v>22.55</v>
      </c>
    </row>
    <row r="1697" spans="1:15" x14ac:dyDescent="0.3">
      <c r="A1697" s="1">
        <v>45307</v>
      </c>
      <c r="B1697" s="2" t="s">
        <v>16</v>
      </c>
      <c r="C1697" s="2" t="s">
        <v>12</v>
      </c>
      <c r="D1697" s="2" t="s">
        <v>13</v>
      </c>
      <c r="E1697">
        <v>38.630000000000003</v>
      </c>
      <c r="F1697">
        <v>34.39</v>
      </c>
      <c r="G1697">
        <v>2</v>
      </c>
      <c r="H1697">
        <f t="shared" si="26"/>
        <v>61207.979999999989</v>
      </c>
      <c r="I1697" t="str">
        <f>IF(Sheet1[[#This Row],[Month_Revenue]] &lt; AVERAGE(Sheet1[Month_Revenue]), "Off-Peak", "Peak")</f>
        <v>Peak</v>
      </c>
      <c r="J1697">
        <f xml:space="preserve"> IF(Sheet1[[#This Row],[Ad Spend]] &gt; 0, (Sheet1[[#This Row],[Profit]] / Sheet1[[#This Row],[Ad Spend]]), 0)</f>
        <v>0.12329165455074155</v>
      </c>
      <c r="K1697">
        <f>Sheet1[[#This Row],[Revenue]]-Sheet1[[#This Row],[Ad Spend]]</f>
        <v>4.240000000000002</v>
      </c>
      <c r="L1697" s="2" t="s">
        <v>22</v>
      </c>
      <c r="M1697">
        <v>1</v>
      </c>
      <c r="N1697" s="2" t="s">
        <v>15</v>
      </c>
      <c r="O1697">
        <v>19.315000000000001</v>
      </c>
    </row>
    <row r="1698" spans="1:15" x14ac:dyDescent="0.3">
      <c r="A1698" s="1">
        <v>45294</v>
      </c>
      <c r="B1698" s="2" t="s">
        <v>24</v>
      </c>
      <c r="C1698" s="2" t="s">
        <v>21</v>
      </c>
      <c r="D1698" s="2" t="s">
        <v>13</v>
      </c>
      <c r="E1698">
        <v>56.24</v>
      </c>
      <c r="F1698">
        <v>3.62</v>
      </c>
      <c r="G1698">
        <v>1</v>
      </c>
      <c r="H1698">
        <f t="shared" si="26"/>
        <v>61207.979999999989</v>
      </c>
      <c r="I1698" t="str">
        <f>IF(Sheet1[[#This Row],[Month_Revenue]] &lt; AVERAGE(Sheet1[Month_Revenue]), "Off-Peak", "Peak")</f>
        <v>Peak</v>
      </c>
      <c r="J1698">
        <f xml:space="preserve"> IF(Sheet1[[#This Row],[Ad Spend]] &gt; 0, (Sheet1[[#This Row],[Profit]] / Sheet1[[#This Row],[Ad Spend]]), 0)</f>
        <v>14.535911602209946</v>
      </c>
      <c r="K1698">
        <f>Sheet1[[#This Row],[Revenue]]-Sheet1[[#This Row],[Ad Spend]]</f>
        <v>52.620000000000005</v>
      </c>
      <c r="L1698" s="2" t="s">
        <v>14</v>
      </c>
      <c r="M1698">
        <v>1</v>
      </c>
      <c r="N1698" s="2" t="s">
        <v>15</v>
      </c>
      <c r="O1698">
        <v>56.24</v>
      </c>
    </row>
    <row r="1699" spans="1:15" x14ac:dyDescent="0.3">
      <c r="A1699" s="1">
        <v>45305</v>
      </c>
      <c r="B1699" s="2" t="s">
        <v>23</v>
      </c>
      <c r="C1699" s="2" t="s">
        <v>12</v>
      </c>
      <c r="D1699" s="2" t="s">
        <v>18</v>
      </c>
      <c r="E1699">
        <v>97.79</v>
      </c>
      <c r="F1699">
        <v>47.1</v>
      </c>
      <c r="G1699">
        <v>2</v>
      </c>
      <c r="H1699">
        <f t="shared" si="26"/>
        <v>61207.979999999989</v>
      </c>
      <c r="I1699" t="str">
        <f>IF(Sheet1[[#This Row],[Month_Revenue]] &lt; AVERAGE(Sheet1[Month_Revenue]), "Off-Peak", "Peak")</f>
        <v>Peak</v>
      </c>
      <c r="J1699">
        <f xml:space="preserve"> IF(Sheet1[[#This Row],[Ad Spend]] &gt; 0, (Sheet1[[#This Row],[Profit]] / Sheet1[[#This Row],[Ad Spend]]), 0)</f>
        <v>1.0762208067940553</v>
      </c>
      <c r="K1699">
        <f>Sheet1[[#This Row],[Revenue]]-Sheet1[[#This Row],[Ad Spend]]</f>
        <v>50.690000000000005</v>
      </c>
      <c r="L1699" s="2" t="s">
        <v>14</v>
      </c>
      <c r="M1699">
        <v>1</v>
      </c>
      <c r="N1699" s="2" t="s">
        <v>15</v>
      </c>
      <c r="O1699">
        <v>48.895000000000003</v>
      </c>
    </row>
    <row r="1700" spans="1:15" x14ac:dyDescent="0.3">
      <c r="A1700" s="1">
        <v>45369</v>
      </c>
      <c r="B1700" s="2" t="s">
        <v>24</v>
      </c>
      <c r="C1700" s="2" t="s">
        <v>17</v>
      </c>
      <c r="D1700" s="2" t="s">
        <v>18</v>
      </c>
      <c r="E1700">
        <v>20.329999999999998</v>
      </c>
      <c r="F1700">
        <v>20.09</v>
      </c>
      <c r="G1700">
        <v>1</v>
      </c>
      <c r="H1700">
        <f t="shared" si="26"/>
        <v>54735.250000000029</v>
      </c>
      <c r="I1700" t="str">
        <f>IF(Sheet1[[#This Row],[Month_Revenue]] &lt; AVERAGE(Sheet1[Month_Revenue]), "Off-Peak", "Peak")</f>
        <v>Off-Peak</v>
      </c>
      <c r="J1700">
        <f xml:space="preserve"> IF(Sheet1[[#This Row],[Ad Spend]] &gt; 0, (Sheet1[[#This Row],[Profit]] / Sheet1[[#This Row],[Ad Spend]]), 0)</f>
        <v>1.1946241911398628E-2</v>
      </c>
      <c r="K1700">
        <f>Sheet1[[#This Row],[Revenue]]-Sheet1[[#This Row],[Ad Spend]]</f>
        <v>0.23999999999999844</v>
      </c>
      <c r="L1700" s="2" t="s">
        <v>22</v>
      </c>
      <c r="M1700">
        <v>3</v>
      </c>
      <c r="N1700" s="2" t="s">
        <v>19</v>
      </c>
      <c r="O1700">
        <v>20.329999999999998</v>
      </c>
    </row>
    <row r="1701" spans="1:15" x14ac:dyDescent="0.3">
      <c r="A1701" s="1">
        <v>45380</v>
      </c>
      <c r="B1701" s="2" t="s">
        <v>11</v>
      </c>
      <c r="C1701" s="2" t="s">
        <v>12</v>
      </c>
      <c r="D1701" s="2" t="s">
        <v>18</v>
      </c>
      <c r="E1701">
        <v>29.25</v>
      </c>
      <c r="F1701">
        <v>22.61</v>
      </c>
      <c r="G1701">
        <v>0</v>
      </c>
      <c r="H1701">
        <f t="shared" si="26"/>
        <v>54735.250000000029</v>
      </c>
      <c r="I1701" t="str">
        <f>IF(Sheet1[[#This Row],[Month_Revenue]] &lt; AVERAGE(Sheet1[Month_Revenue]), "Off-Peak", "Peak")</f>
        <v>Off-Peak</v>
      </c>
      <c r="J1701">
        <f xml:space="preserve"> IF(Sheet1[[#This Row],[Ad Spend]] &gt; 0, (Sheet1[[#This Row],[Profit]] / Sheet1[[#This Row],[Ad Spend]]), 0)</f>
        <v>0.29367536488279528</v>
      </c>
      <c r="K1701">
        <f>Sheet1[[#This Row],[Revenue]]-Sheet1[[#This Row],[Ad Spend]]</f>
        <v>6.6400000000000006</v>
      </c>
      <c r="L1701" s="2" t="s">
        <v>14</v>
      </c>
      <c r="M1701">
        <v>3</v>
      </c>
      <c r="N1701" s="2" t="s">
        <v>19</v>
      </c>
      <c r="O1701">
        <v>0</v>
      </c>
    </row>
    <row r="1702" spans="1:15" x14ac:dyDescent="0.3">
      <c r="A1702" s="1">
        <v>45357</v>
      </c>
      <c r="B1702" s="2" t="s">
        <v>23</v>
      </c>
      <c r="C1702" s="2" t="s">
        <v>17</v>
      </c>
      <c r="D1702" s="2" t="s">
        <v>13</v>
      </c>
      <c r="E1702">
        <v>165.27</v>
      </c>
      <c r="F1702">
        <v>29.09</v>
      </c>
      <c r="G1702">
        <v>3</v>
      </c>
      <c r="H1702">
        <f t="shared" si="26"/>
        <v>54735.250000000029</v>
      </c>
      <c r="I1702" t="str">
        <f>IF(Sheet1[[#This Row],[Month_Revenue]] &lt; AVERAGE(Sheet1[Month_Revenue]), "Off-Peak", "Peak")</f>
        <v>Off-Peak</v>
      </c>
      <c r="J1702">
        <f xml:space="preserve"> IF(Sheet1[[#This Row],[Ad Spend]] &gt; 0, (Sheet1[[#This Row],[Profit]] / Sheet1[[#This Row],[Ad Spend]]), 0)</f>
        <v>4.6813337916809905</v>
      </c>
      <c r="K1702">
        <f>Sheet1[[#This Row],[Revenue]]-Sheet1[[#This Row],[Ad Spend]]</f>
        <v>136.18</v>
      </c>
      <c r="L1702" s="2" t="s">
        <v>22</v>
      </c>
      <c r="M1702">
        <v>3</v>
      </c>
      <c r="N1702" s="2" t="s">
        <v>19</v>
      </c>
      <c r="O1702">
        <v>55.09</v>
      </c>
    </row>
    <row r="1703" spans="1:15" x14ac:dyDescent="0.3">
      <c r="A1703" s="1">
        <v>45292</v>
      </c>
      <c r="B1703" s="2" t="s">
        <v>23</v>
      </c>
      <c r="C1703" s="2" t="s">
        <v>17</v>
      </c>
      <c r="D1703" s="2" t="s">
        <v>13</v>
      </c>
      <c r="E1703">
        <v>147.54</v>
      </c>
      <c r="F1703">
        <v>0.97</v>
      </c>
      <c r="G1703">
        <v>2</v>
      </c>
      <c r="H1703">
        <f t="shared" si="26"/>
        <v>61207.979999999989</v>
      </c>
      <c r="I1703" t="str">
        <f>IF(Sheet1[[#This Row],[Month_Revenue]] &lt; AVERAGE(Sheet1[Month_Revenue]), "Off-Peak", "Peak")</f>
        <v>Peak</v>
      </c>
      <c r="J1703">
        <f xml:space="preserve"> IF(Sheet1[[#This Row],[Ad Spend]] &gt; 0, (Sheet1[[#This Row],[Profit]] / Sheet1[[#This Row],[Ad Spend]]), 0)</f>
        <v>151.10309278350516</v>
      </c>
      <c r="K1703">
        <f>Sheet1[[#This Row],[Revenue]]-Sheet1[[#This Row],[Ad Spend]]</f>
        <v>146.57</v>
      </c>
      <c r="L1703" s="2" t="s">
        <v>22</v>
      </c>
      <c r="M1703">
        <v>1</v>
      </c>
      <c r="N1703" s="2" t="s">
        <v>15</v>
      </c>
      <c r="O1703">
        <v>73.77</v>
      </c>
    </row>
    <row r="1704" spans="1:15" x14ac:dyDescent="0.3">
      <c r="A1704" s="1">
        <v>45378</v>
      </c>
      <c r="B1704" s="2" t="s">
        <v>16</v>
      </c>
      <c r="C1704" s="2" t="s">
        <v>12</v>
      </c>
      <c r="D1704" s="2" t="s">
        <v>13</v>
      </c>
      <c r="E1704">
        <v>174.4</v>
      </c>
      <c r="F1704">
        <v>7.14</v>
      </c>
      <c r="G1704">
        <v>1</v>
      </c>
      <c r="H1704">
        <f t="shared" si="26"/>
        <v>54735.250000000029</v>
      </c>
      <c r="I1704" t="str">
        <f>IF(Sheet1[[#This Row],[Month_Revenue]] &lt; AVERAGE(Sheet1[Month_Revenue]), "Off-Peak", "Peak")</f>
        <v>Off-Peak</v>
      </c>
      <c r="J1704">
        <f xml:space="preserve"> IF(Sheet1[[#This Row],[Ad Spend]] &gt; 0, (Sheet1[[#This Row],[Profit]] / Sheet1[[#This Row],[Ad Spend]]), 0)</f>
        <v>23.425770308123251</v>
      </c>
      <c r="K1704">
        <f>Sheet1[[#This Row],[Revenue]]-Sheet1[[#This Row],[Ad Spend]]</f>
        <v>167.26000000000002</v>
      </c>
      <c r="L1704" s="2" t="s">
        <v>14</v>
      </c>
      <c r="M1704">
        <v>3</v>
      </c>
      <c r="N1704" s="2" t="s">
        <v>19</v>
      </c>
      <c r="O1704">
        <v>174.4</v>
      </c>
    </row>
    <row r="1705" spans="1:15" x14ac:dyDescent="0.3">
      <c r="A1705" s="1">
        <v>45305</v>
      </c>
      <c r="B1705" s="2" t="s">
        <v>23</v>
      </c>
      <c r="C1705" s="2" t="s">
        <v>21</v>
      </c>
      <c r="D1705" s="2" t="s">
        <v>18</v>
      </c>
      <c r="E1705">
        <v>161.26</v>
      </c>
      <c r="F1705">
        <v>44.58</v>
      </c>
      <c r="G1705">
        <v>2</v>
      </c>
      <c r="H1705">
        <f t="shared" si="26"/>
        <v>61207.979999999989</v>
      </c>
      <c r="I1705" t="str">
        <f>IF(Sheet1[[#This Row],[Month_Revenue]] &lt; AVERAGE(Sheet1[Month_Revenue]), "Off-Peak", "Peak")</f>
        <v>Peak</v>
      </c>
      <c r="J1705">
        <f xml:space="preserve"> IF(Sheet1[[#This Row],[Ad Spend]] &gt; 0, (Sheet1[[#This Row],[Profit]] / Sheet1[[#This Row],[Ad Spend]]), 0)</f>
        <v>2.6173171825930912</v>
      </c>
      <c r="K1705">
        <f>Sheet1[[#This Row],[Revenue]]-Sheet1[[#This Row],[Ad Spend]]</f>
        <v>116.67999999999999</v>
      </c>
      <c r="L1705" s="2" t="s">
        <v>22</v>
      </c>
      <c r="M1705">
        <v>1</v>
      </c>
      <c r="N1705" s="2" t="s">
        <v>15</v>
      </c>
      <c r="O1705">
        <v>80.63</v>
      </c>
    </row>
    <row r="1706" spans="1:15" x14ac:dyDescent="0.3">
      <c r="A1706" s="1">
        <v>45402</v>
      </c>
      <c r="B1706" s="2" t="s">
        <v>23</v>
      </c>
      <c r="C1706" s="2" t="s">
        <v>17</v>
      </c>
      <c r="D1706" s="2" t="s">
        <v>18</v>
      </c>
      <c r="E1706">
        <v>148.44</v>
      </c>
      <c r="F1706">
        <v>13.31</v>
      </c>
      <c r="G1706">
        <v>2</v>
      </c>
      <c r="H1706">
        <f t="shared" si="26"/>
        <v>58562.910000000018</v>
      </c>
      <c r="I1706" t="str">
        <f>IF(Sheet1[[#This Row],[Month_Revenue]] &lt; AVERAGE(Sheet1[Month_Revenue]), "Off-Peak", "Peak")</f>
        <v>Peak</v>
      </c>
      <c r="J1706">
        <f xml:space="preserve"> IF(Sheet1[[#This Row],[Ad Spend]] &gt; 0, (Sheet1[[#This Row],[Profit]] / Sheet1[[#This Row],[Ad Spend]]), 0)</f>
        <v>10.15251690458302</v>
      </c>
      <c r="K1706">
        <f>Sheet1[[#This Row],[Revenue]]-Sheet1[[#This Row],[Ad Spend]]</f>
        <v>135.13</v>
      </c>
      <c r="L1706" s="2" t="s">
        <v>22</v>
      </c>
      <c r="M1706">
        <v>4</v>
      </c>
      <c r="N1706" s="2" t="s">
        <v>19</v>
      </c>
      <c r="O1706">
        <v>74.22</v>
      </c>
    </row>
    <row r="1707" spans="1:15" x14ac:dyDescent="0.3">
      <c r="A1707" s="1">
        <v>45365</v>
      </c>
      <c r="B1707" s="2" t="s">
        <v>16</v>
      </c>
      <c r="C1707" s="2" t="s">
        <v>21</v>
      </c>
      <c r="D1707" s="2" t="s">
        <v>13</v>
      </c>
      <c r="E1707">
        <v>193.94</v>
      </c>
      <c r="F1707">
        <v>37.83</v>
      </c>
      <c r="G1707">
        <v>0</v>
      </c>
      <c r="H1707">
        <f t="shared" si="26"/>
        <v>54735.250000000029</v>
      </c>
      <c r="I1707" t="str">
        <f>IF(Sheet1[[#This Row],[Month_Revenue]] &lt; AVERAGE(Sheet1[Month_Revenue]), "Off-Peak", "Peak")</f>
        <v>Off-Peak</v>
      </c>
      <c r="J1707">
        <f xml:space="preserve"> IF(Sheet1[[#This Row],[Ad Spend]] &gt; 0, (Sheet1[[#This Row],[Profit]] / Sheet1[[#This Row],[Ad Spend]]), 0)</f>
        <v>4.1266190853819724</v>
      </c>
      <c r="K1707">
        <f>Sheet1[[#This Row],[Revenue]]-Sheet1[[#This Row],[Ad Spend]]</f>
        <v>156.11000000000001</v>
      </c>
      <c r="L1707" s="2" t="s">
        <v>22</v>
      </c>
      <c r="M1707">
        <v>3</v>
      </c>
      <c r="N1707" s="2" t="s">
        <v>19</v>
      </c>
      <c r="O1707">
        <v>0</v>
      </c>
    </row>
    <row r="1708" spans="1:15" x14ac:dyDescent="0.3">
      <c r="A1708" s="1">
        <v>45386</v>
      </c>
      <c r="B1708" s="2" t="s">
        <v>16</v>
      </c>
      <c r="C1708" s="2" t="s">
        <v>21</v>
      </c>
      <c r="D1708" s="2" t="s">
        <v>13</v>
      </c>
      <c r="E1708">
        <v>147.15</v>
      </c>
      <c r="F1708">
        <v>44.36</v>
      </c>
      <c r="G1708">
        <v>3</v>
      </c>
      <c r="H1708">
        <f t="shared" si="26"/>
        <v>58562.910000000018</v>
      </c>
      <c r="I1708" t="str">
        <f>IF(Sheet1[[#This Row],[Month_Revenue]] &lt; AVERAGE(Sheet1[Month_Revenue]), "Off-Peak", "Peak")</f>
        <v>Peak</v>
      </c>
      <c r="J1708">
        <f xml:space="preserve"> IF(Sheet1[[#This Row],[Ad Spend]] &gt; 0, (Sheet1[[#This Row],[Profit]] / Sheet1[[#This Row],[Ad Spend]]), 0)</f>
        <v>2.3171776375112714</v>
      </c>
      <c r="K1708">
        <f>Sheet1[[#This Row],[Revenue]]-Sheet1[[#This Row],[Ad Spend]]</f>
        <v>102.79</v>
      </c>
      <c r="L1708" s="2" t="s">
        <v>22</v>
      </c>
      <c r="M1708">
        <v>4</v>
      </c>
      <c r="N1708" s="2" t="s">
        <v>19</v>
      </c>
      <c r="O1708">
        <v>49.050000000000004</v>
      </c>
    </row>
    <row r="1709" spans="1:15" x14ac:dyDescent="0.3">
      <c r="A1709" s="1">
        <v>45312</v>
      </c>
      <c r="B1709" s="2" t="s">
        <v>11</v>
      </c>
      <c r="C1709" s="2" t="s">
        <v>17</v>
      </c>
      <c r="D1709" s="2" t="s">
        <v>13</v>
      </c>
      <c r="E1709">
        <v>141.5</v>
      </c>
      <c r="F1709">
        <v>27.12</v>
      </c>
      <c r="G1709">
        <v>0</v>
      </c>
      <c r="H1709">
        <f t="shared" si="26"/>
        <v>61207.979999999989</v>
      </c>
      <c r="I1709" t="str">
        <f>IF(Sheet1[[#This Row],[Month_Revenue]] &lt; AVERAGE(Sheet1[Month_Revenue]), "Off-Peak", "Peak")</f>
        <v>Peak</v>
      </c>
      <c r="J1709">
        <f xml:space="preserve"> IF(Sheet1[[#This Row],[Ad Spend]] &gt; 0, (Sheet1[[#This Row],[Profit]] / Sheet1[[#This Row],[Ad Spend]]), 0)</f>
        <v>4.2175516224188785</v>
      </c>
      <c r="K1709">
        <f>Sheet1[[#This Row],[Revenue]]-Sheet1[[#This Row],[Ad Spend]]</f>
        <v>114.38</v>
      </c>
      <c r="L1709" s="2" t="s">
        <v>14</v>
      </c>
      <c r="M1709">
        <v>1</v>
      </c>
      <c r="N1709" s="2" t="s">
        <v>15</v>
      </c>
      <c r="O1709">
        <v>0</v>
      </c>
    </row>
    <row r="1710" spans="1:15" x14ac:dyDescent="0.3">
      <c r="A1710" s="1">
        <v>45292</v>
      </c>
      <c r="B1710" s="2" t="s">
        <v>16</v>
      </c>
      <c r="C1710" s="2" t="s">
        <v>17</v>
      </c>
      <c r="D1710" s="2" t="s">
        <v>18</v>
      </c>
      <c r="E1710">
        <v>187.18</v>
      </c>
      <c r="F1710">
        <v>44.65</v>
      </c>
      <c r="G1710">
        <v>0</v>
      </c>
      <c r="H1710">
        <f t="shared" si="26"/>
        <v>61207.979999999989</v>
      </c>
      <c r="I1710" t="str">
        <f>IF(Sheet1[[#This Row],[Month_Revenue]] &lt; AVERAGE(Sheet1[Month_Revenue]), "Off-Peak", "Peak")</f>
        <v>Peak</v>
      </c>
      <c r="J1710">
        <f xml:space="preserve"> IF(Sheet1[[#This Row],[Ad Spend]] &gt; 0, (Sheet1[[#This Row],[Profit]] / Sheet1[[#This Row],[Ad Spend]]), 0)</f>
        <v>3.1921612541993283</v>
      </c>
      <c r="K1710">
        <f>Sheet1[[#This Row],[Revenue]]-Sheet1[[#This Row],[Ad Spend]]</f>
        <v>142.53</v>
      </c>
      <c r="L1710" s="2" t="s">
        <v>14</v>
      </c>
      <c r="M1710">
        <v>1</v>
      </c>
      <c r="N1710" s="2" t="s">
        <v>15</v>
      </c>
      <c r="O1710">
        <v>0</v>
      </c>
    </row>
    <row r="1711" spans="1:15" x14ac:dyDescent="0.3">
      <c r="A1711" s="1">
        <v>45353</v>
      </c>
      <c r="B1711" s="2" t="s">
        <v>11</v>
      </c>
      <c r="C1711" s="2" t="s">
        <v>21</v>
      </c>
      <c r="D1711" s="2" t="s">
        <v>13</v>
      </c>
      <c r="E1711">
        <v>175.19</v>
      </c>
      <c r="F1711">
        <v>25.99</v>
      </c>
      <c r="G1711">
        <v>1</v>
      </c>
      <c r="H1711">
        <f t="shared" si="26"/>
        <v>54735.250000000029</v>
      </c>
      <c r="I1711" t="str">
        <f>IF(Sheet1[[#This Row],[Month_Revenue]] &lt; AVERAGE(Sheet1[Month_Revenue]), "Off-Peak", "Peak")</f>
        <v>Off-Peak</v>
      </c>
      <c r="J1711">
        <f xml:space="preserve"> IF(Sheet1[[#This Row],[Ad Spend]] &gt; 0, (Sheet1[[#This Row],[Profit]] / Sheet1[[#This Row],[Ad Spend]]), 0)</f>
        <v>5.7406694882647171</v>
      </c>
      <c r="K1711">
        <f>Sheet1[[#This Row],[Revenue]]-Sheet1[[#This Row],[Ad Spend]]</f>
        <v>149.19999999999999</v>
      </c>
      <c r="L1711" s="2" t="s">
        <v>14</v>
      </c>
      <c r="M1711">
        <v>3</v>
      </c>
      <c r="N1711" s="2" t="s">
        <v>19</v>
      </c>
      <c r="O1711">
        <v>175.19</v>
      </c>
    </row>
    <row r="1712" spans="1:15" x14ac:dyDescent="0.3">
      <c r="A1712" s="1">
        <v>45404</v>
      </c>
      <c r="B1712" s="2" t="s">
        <v>24</v>
      </c>
      <c r="C1712" s="2" t="s">
        <v>12</v>
      </c>
      <c r="D1712" s="2" t="s">
        <v>18</v>
      </c>
      <c r="E1712">
        <v>48.99</v>
      </c>
      <c r="F1712">
        <v>27.81</v>
      </c>
      <c r="G1712">
        <v>2</v>
      </c>
      <c r="H1712">
        <f t="shared" si="26"/>
        <v>58562.910000000018</v>
      </c>
      <c r="I1712" t="str">
        <f>IF(Sheet1[[#This Row],[Month_Revenue]] &lt; AVERAGE(Sheet1[Month_Revenue]), "Off-Peak", "Peak")</f>
        <v>Peak</v>
      </c>
      <c r="J1712">
        <f xml:space="preserve"> IF(Sheet1[[#This Row],[Ad Spend]] &gt; 0, (Sheet1[[#This Row],[Profit]] / Sheet1[[#This Row],[Ad Spend]]), 0)</f>
        <v>0.7615965480043152</v>
      </c>
      <c r="K1712">
        <f>Sheet1[[#This Row],[Revenue]]-Sheet1[[#This Row],[Ad Spend]]</f>
        <v>21.180000000000003</v>
      </c>
      <c r="L1712" s="2" t="s">
        <v>22</v>
      </c>
      <c r="M1712">
        <v>4</v>
      </c>
      <c r="N1712" s="2" t="s">
        <v>19</v>
      </c>
      <c r="O1712">
        <v>24.495000000000001</v>
      </c>
    </row>
    <row r="1713" spans="1:15" x14ac:dyDescent="0.3">
      <c r="A1713" s="1">
        <v>45341</v>
      </c>
      <c r="B1713" s="2" t="s">
        <v>16</v>
      </c>
      <c r="C1713" s="2" t="s">
        <v>17</v>
      </c>
      <c r="D1713" s="2" t="s">
        <v>13</v>
      </c>
      <c r="E1713">
        <v>179.01</v>
      </c>
      <c r="F1713">
        <v>48.17</v>
      </c>
      <c r="G1713">
        <v>0</v>
      </c>
      <c r="H1713">
        <f t="shared" si="26"/>
        <v>48675.899999999936</v>
      </c>
      <c r="I1713" t="str">
        <f>IF(Sheet1[[#This Row],[Month_Revenue]] &lt; AVERAGE(Sheet1[Month_Revenue]), "Off-Peak", "Peak")</f>
        <v>Off-Peak</v>
      </c>
      <c r="J1713">
        <f xml:space="preserve"> IF(Sheet1[[#This Row],[Ad Spend]] &gt; 0, (Sheet1[[#This Row],[Profit]] / Sheet1[[#This Row],[Ad Spend]]), 0)</f>
        <v>2.7162134108366196</v>
      </c>
      <c r="K1713">
        <f>Sheet1[[#This Row],[Revenue]]-Sheet1[[#This Row],[Ad Spend]]</f>
        <v>130.83999999999997</v>
      </c>
      <c r="L1713" s="2" t="s">
        <v>22</v>
      </c>
      <c r="M1713">
        <v>2</v>
      </c>
      <c r="N1713" s="2" t="s">
        <v>15</v>
      </c>
      <c r="O1713">
        <v>0</v>
      </c>
    </row>
    <row r="1714" spans="1:15" x14ac:dyDescent="0.3">
      <c r="A1714" s="1">
        <v>45392</v>
      </c>
      <c r="B1714" s="2" t="s">
        <v>16</v>
      </c>
      <c r="C1714" s="2" t="s">
        <v>12</v>
      </c>
      <c r="D1714" s="2" t="s">
        <v>13</v>
      </c>
      <c r="E1714">
        <v>96.97</v>
      </c>
      <c r="F1714">
        <v>34.630000000000003</v>
      </c>
      <c r="G1714">
        <v>3</v>
      </c>
      <c r="H1714">
        <f t="shared" si="26"/>
        <v>58562.910000000018</v>
      </c>
      <c r="I1714" t="str">
        <f>IF(Sheet1[[#This Row],[Month_Revenue]] &lt; AVERAGE(Sheet1[Month_Revenue]), "Off-Peak", "Peak")</f>
        <v>Peak</v>
      </c>
      <c r="J1714">
        <f xml:space="preserve"> IF(Sheet1[[#This Row],[Ad Spend]] &gt; 0, (Sheet1[[#This Row],[Profit]] / Sheet1[[#This Row],[Ad Spend]]), 0)</f>
        <v>1.8001732601790352</v>
      </c>
      <c r="K1714">
        <f>Sheet1[[#This Row],[Revenue]]-Sheet1[[#This Row],[Ad Spend]]</f>
        <v>62.339999999999996</v>
      </c>
      <c r="L1714" s="2" t="s">
        <v>14</v>
      </c>
      <c r="M1714">
        <v>4</v>
      </c>
      <c r="N1714" s="2" t="s">
        <v>19</v>
      </c>
      <c r="O1714">
        <v>32.323333333333331</v>
      </c>
    </row>
    <row r="1715" spans="1:15" x14ac:dyDescent="0.3">
      <c r="A1715" s="1">
        <v>45346</v>
      </c>
      <c r="B1715" s="2" t="s">
        <v>23</v>
      </c>
      <c r="C1715" s="2" t="s">
        <v>12</v>
      </c>
      <c r="D1715" s="2" t="s">
        <v>13</v>
      </c>
      <c r="E1715">
        <v>116.95</v>
      </c>
      <c r="F1715">
        <v>24.35</v>
      </c>
      <c r="G1715">
        <v>3</v>
      </c>
      <c r="H1715">
        <f t="shared" si="26"/>
        <v>48675.899999999936</v>
      </c>
      <c r="I1715" t="str">
        <f>IF(Sheet1[[#This Row],[Month_Revenue]] &lt; AVERAGE(Sheet1[Month_Revenue]), "Off-Peak", "Peak")</f>
        <v>Off-Peak</v>
      </c>
      <c r="J1715">
        <f xml:space="preserve"> IF(Sheet1[[#This Row],[Ad Spend]] &gt; 0, (Sheet1[[#This Row],[Profit]] / Sheet1[[#This Row],[Ad Spend]]), 0)</f>
        <v>3.8028747433264884</v>
      </c>
      <c r="K1715">
        <f>Sheet1[[#This Row],[Revenue]]-Sheet1[[#This Row],[Ad Spend]]</f>
        <v>92.6</v>
      </c>
      <c r="L1715" s="2" t="s">
        <v>14</v>
      </c>
      <c r="M1715">
        <v>2</v>
      </c>
      <c r="N1715" s="2" t="s">
        <v>15</v>
      </c>
      <c r="O1715">
        <v>38.983333333333334</v>
      </c>
    </row>
    <row r="1716" spans="1:15" x14ac:dyDescent="0.3">
      <c r="A1716" s="1">
        <v>45376</v>
      </c>
      <c r="B1716" s="2" t="s">
        <v>16</v>
      </c>
      <c r="C1716" s="2" t="s">
        <v>17</v>
      </c>
      <c r="D1716" s="2" t="s">
        <v>13</v>
      </c>
      <c r="E1716">
        <v>78.069999999999993</v>
      </c>
      <c r="F1716">
        <v>18.43</v>
      </c>
      <c r="G1716">
        <v>0</v>
      </c>
      <c r="H1716">
        <f t="shared" si="26"/>
        <v>54735.250000000029</v>
      </c>
      <c r="I1716" t="str">
        <f>IF(Sheet1[[#This Row],[Month_Revenue]] &lt; AVERAGE(Sheet1[Month_Revenue]), "Off-Peak", "Peak")</f>
        <v>Off-Peak</v>
      </c>
      <c r="J1716">
        <f xml:space="preserve"> IF(Sheet1[[#This Row],[Ad Spend]] &gt; 0, (Sheet1[[#This Row],[Profit]] / Sheet1[[#This Row],[Ad Spend]]), 0)</f>
        <v>3.2360282148670643</v>
      </c>
      <c r="K1716">
        <f>Sheet1[[#This Row],[Revenue]]-Sheet1[[#This Row],[Ad Spend]]</f>
        <v>59.639999999999993</v>
      </c>
      <c r="L1716" s="2" t="s">
        <v>14</v>
      </c>
      <c r="M1716">
        <v>3</v>
      </c>
      <c r="N1716" s="2" t="s">
        <v>19</v>
      </c>
      <c r="O1716">
        <v>0</v>
      </c>
    </row>
    <row r="1717" spans="1:15" x14ac:dyDescent="0.3">
      <c r="A1717" s="1">
        <v>45341</v>
      </c>
      <c r="B1717" s="2" t="s">
        <v>23</v>
      </c>
      <c r="C1717" s="2" t="s">
        <v>17</v>
      </c>
      <c r="D1717" s="2" t="s">
        <v>18</v>
      </c>
      <c r="E1717">
        <v>55.8</v>
      </c>
      <c r="F1717">
        <v>42.55</v>
      </c>
      <c r="G1717">
        <v>2</v>
      </c>
      <c r="H1717">
        <f t="shared" si="26"/>
        <v>48675.899999999936</v>
      </c>
      <c r="I1717" t="str">
        <f>IF(Sheet1[[#This Row],[Month_Revenue]] &lt; AVERAGE(Sheet1[Month_Revenue]), "Off-Peak", "Peak")</f>
        <v>Off-Peak</v>
      </c>
      <c r="J1717">
        <f xml:space="preserve"> IF(Sheet1[[#This Row],[Ad Spend]] &gt; 0, (Sheet1[[#This Row],[Profit]] / Sheet1[[#This Row],[Ad Spend]]), 0)</f>
        <v>0.31139835487661577</v>
      </c>
      <c r="K1717">
        <f>Sheet1[[#This Row],[Revenue]]-Sheet1[[#This Row],[Ad Spend]]</f>
        <v>13.25</v>
      </c>
      <c r="L1717" s="2" t="s">
        <v>14</v>
      </c>
      <c r="M1717">
        <v>2</v>
      </c>
      <c r="N1717" s="2" t="s">
        <v>15</v>
      </c>
      <c r="O1717">
        <v>27.9</v>
      </c>
    </row>
    <row r="1718" spans="1:15" x14ac:dyDescent="0.3">
      <c r="A1718" s="1">
        <v>45306</v>
      </c>
      <c r="B1718" s="2" t="s">
        <v>16</v>
      </c>
      <c r="C1718" s="2" t="s">
        <v>12</v>
      </c>
      <c r="D1718" s="2" t="s">
        <v>13</v>
      </c>
      <c r="E1718">
        <v>87.47</v>
      </c>
      <c r="F1718">
        <v>7.79</v>
      </c>
      <c r="G1718">
        <v>2</v>
      </c>
      <c r="H1718">
        <f t="shared" si="26"/>
        <v>61207.979999999989</v>
      </c>
      <c r="I1718" t="str">
        <f>IF(Sheet1[[#This Row],[Month_Revenue]] &lt; AVERAGE(Sheet1[Month_Revenue]), "Off-Peak", "Peak")</f>
        <v>Peak</v>
      </c>
      <c r="J1718">
        <f xml:space="preserve"> IF(Sheet1[[#This Row],[Ad Spend]] &gt; 0, (Sheet1[[#This Row],[Profit]] / Sheet1[[#This Row],[Ad Spend]]), 0)</f>
        <v>10.228498074454428</v>
      </c>
      <c r="K1718">
        <f>Sheet1[[#This Row],[Revenue]]-Sheet1[[#This Row],[Ad Spend]]</f>
        <v>79.679999999999993</v>
      </c>
      <c r="L1718" s="2" t="s">
        <v>22</v>
      </c>
      <c r="M1718">
        <v>1</v>
      </c>
      <c r="N1718" s="2" t="s">
        <v>15</v>
      </c>
      <c r="O1718">
        <v>43.734999999999999</v>
      </c>
    </row>
    <row r="1719" spans="1:15" x14ac:dyDescent="0.3">
      <c r="A1719" s="1">
        <v>45396</v>
      </c>
      <c r="B1719" s="2" t="s">
        <v>23</v>
      </c>
      <c r="C1719" s="2" t="s">
        <v>17</v>
      </c>
      <c r="D1719" s="2" t="s">
        <v>18</v>
      </c>
      <c r="E1719">
        <v>175.24</v>
      </c>
      <c r="F1719">
        <v>12.01</v>
      </c>
      <c r="G1719">
        <v>2</v>
      </c>
      <c r="H1719">
        <f t="shared" si="26"/>
        <v>58562.910000000018</v>
      </c>
      <c r="I1719" t="str">
        <f>IF(Sheet1[[#This Row],[Month_Revenue]] &lt; AVERAGE(Sheet1[Month_Revenue]), "Off-Peak", "Peak")</f>
        <v>Peak</v>
      </c>
      <c r="J1719">
        <f xml:space="preserve"> IF(Sheet1[[#This Row],[Ad Spend]] &gt; 0, (Sheet1[[#This Row],[Profit]] / Sheet1[[#This Row],[Ad Spend]]), 0)</f>
        <v>13.591174021648628</v>
      </c>
      <c r="K1719">
        <f>Sheet1[[#This Row],[Revenue]]-Sheet1[[#This Row],[Ad Spend]]</f>
        <v>163.23000000000002</v>
      </c>
      <c r="L1719" s="2" t="s">
        <v>22</v>
      </c>
      <c r="M1719">
        <v>4</v>
      </c>
      <c r="N1719" s="2" t="s">
        <v>19</v>
      </c>
      <c r="O1719">
        <v>87.62</v>
      </c>
    </row>
    <row r="1720" spans="1:15" x14ac:dyDescent="0.3">
      <c r="A1720" s="1">
        <v>45400</v>
      </c>
      <c r="B1720" s="2" t="s">
        <v>16</v>
      </c>
      <c r="C1720" s="2" t="s">
        <v>21</v>
      </c>
      <c r="D1720" s="2" t="s">
        <v>18</v>
      </c>
      <c r="E1720">
        <v>128.94</v>
      </c>
      <c r="F1720">
        <v>14.97</v>
      </c>
      <c r="G1720">
        <v>0</v>
      </c>
      <c r="H1720">
        <f t="shared" si="26"/>
        <v>58562.910000000018</v>
      </c>
      <c r="I1720" t="str">
        <f>IF(Sheet1[[#This Row],[Month_Revenue]] &lt; AVERAGE(Sheet1[Month_Revenue]), "Off-Peak", "Peak")</f>
        <v>Peak</v>
      </c>
      <c r="J1720">
        <f xml:space="preserve"> IF(Sheet1[[#This Row],[Ad Spend]] &gt; 0, (Sheet1[[#This Row],[Profit]] / Sheet1[[#This Row],[Ad Spend]]), 0)</f>
        <v>7.6132264529058116</v>
      </c>
      <c r="K1720">
        <f>Sheet1[[#This Row],[Revenue]]-Sheet1[[#This Row],[Ad Spend]]</f>
        <v>113.97</v>
      </c>
      <c r="L1720" s="2" t="s">
        <v>22</v>
      </c>
      <c r="M1720">
        <v>4</v>
      </c>
      <c r="N1720" s="2" t="s">
        <v>19</v>
      </c>
      <c r="O1720">
        <v>0</v>
      </c>
    </row>
    <row r="1721" spans="1:15" x14ac:dyDescent="0.3">
      <c r="A1721" s="1">
        <v>45373</v>
      </c>
      <c r="B1721" s="2" t="s">
        <v>16</v>
      </c>
      <c r="C1721" s="2" t="s">
        <v>12</v>
      </c>
      <c r="D1721" s="2" t="s">
        <v>13</v>
      </c>
      <c r="E1721">
        <v>30.73</v>
      </c>
      <c r="F1721">
        <v>10.31</v>
      </c>
      <c r="G1721">
        <v>0</v>
      </c>
      <c r="H1721">
        <f t="shared" si="26"/>
        <v>54735.250000000029</v>
      </c>
      <c r="I1721" t="str">
        <f>IF(Sheet1[[#This Row],[Month_Revenue]] &lt; AVERAGE(Sheet1[Month_Revenue]), "Off-Peak", "Peak")</f>
        <v>Off-Peak</v>
      </c>
      <c r="J1721">
        <f xml:space="preserve"> IF(Sheet1[[#This Row],[Ad Spend]] &gt; 0, (Sheet1[[#This Row],[Profit]] / Sheet1[[#This Row],[Ad Spend]]), 0)</f>
        <v>1.9806013579049466</v>
      </c>
      <c r="K1721">
        <f>Sheet1[[#This Row],[Revenue]]-Sheet1[[#This Row],[Ad Spend]]</f>
        <v>20.420000000000002</v>
      </c>
      <c r="L1721" s="2" t="s">
        <v>22</v>
      </c>
      <c r="M1721">
        <v>3</v>
      </c>
      <c r="N1721" s="2" t="s">
        <v>19</v>
      </c>
      <c r="O1721">
        <v>0</v>
      </c>
    </row>
    <row r="1722" spans="1:15" x14ac:dyDescent="0.3">
      <c r="A1722" s="1">
        <v>45309</v>
      </c>
      <c r="B1722" s="2" t="s">
        <v>23</v>
      </c>
      <c r="C1722" s="2" t="s">
        <v>21</v>
      </c>
      <c r="D1722" s="2" t="s">
        <v>18</v>
      </c>
      <c r="E1722">
        <v>97.56</v>
      </c>
      <c r="F1722">
        <v>37.15</v>
      </c>
      <c r="G1722">
        <v>3</v>
      </c>
      <c r="H1722">
        <f t="shared" si="26"/>
        <v>61207.979999999989</v>
      </c>
      <c r="I1722" t="str">
        <f>IF(Sheet1[[#This Row],[Month_Revenue]] &lt; AVERAGE(Sheet1[Month_Revenue]), "Off-Peak", "Peak")</f>
        <v>Peak</v>
      </c>
      <c r="J1722">
        <f xml:space="preserve"> IF(Sheet1[[#This Row],[Ad Spend]] &gt; 0, (Sheet1[[#This Row],[Profit]] / Sheet1[[#This Row],[Ad Spend]]), 0)</f>
        <v>1.6261103633916556</v>
      </c>
      <c r="K1722">
        <f>Sheet1[[#This Row],[Revenue]]-Sheet1[[#This Row],[Ad Spend]]</f>
        <v>60.410000000000004</v>
      </c>
      <c r="L1722" s="2" t="s">
        <v>22</v>
      </c>
      <c r="M1722">
        <v>1</v>
      </c>
      <c r="N1722" s="2" t="s">
        <v>15</v>
      </c>
      <c r="O1722">
        <v>32.520000000000003</v>
      </c>
    </row>
    <row r="1723" spans="1:15" x14ac:dyDescent="0.3">
      <c r="A1723" s="1">
        <v>45338</v>
      </c>
      <c r="B1723" s="2" t="s">
        <v>16</v>
      </c>
      <c r="C1723" s="2" t="s">
        <v>21</v>
      </c>
      <c r="D1723" s="2" t="s">
        <v>18</v>
      </c>
      <c r="E1723">
        <v>153.01</v>
      </c>
      <c r="F1723">
        <v>3.26</v>
      </c>
      <c r="G1723">
        <v>3</v>
      </c>
      <c r="H1723">
        <f t="shared" si="26"/>
        <v>48675.899999999936</v>
      </c>
      <c r="I1723" t="str">
        <f>IF(Sheet1[[#This Row],[Month_Revenue]] &lt; AVERAGE(Sheet1[Month_Revenue]), "Off-Peak", "Peak")</f>
        <v>Off-Peak</v>
      </c>
      <c r="J1723">
        <f xml:space="preserve"> IF(Sheet1[[#This Row],[Ad Spend]] &gt; 0, (Sheet1[[#This Row],[Profit]] / Sheet1[[#This Row],[Ad Spend]]), 0)</f>
        <v>45.935582822085891</v>
      </c>
      <c r="K1723">
        <f>Sheet1[[#This Row],[Revenue]]-Sheet1[[#This Row],[Ad Spend]]</f>
        <v>149.75</v>
      </c>
      <c r="L1723" s="2" t="s">
        <v>22</v>
      </c>
      <c r="M1723">
        <v>2</v>
      </c>
      <c r="N1723" s="2" t="s">
        <v>15</v>
      </c>
      <c r="O1723">
        <v>51.00333333333333</v>
      </c>
    </row>
    <row r="1724" spans="1:15" x14ac:dyDescent="0.3">
      <c r="A1724" s="1">
        <v>45353</v>
      </c>
      <c r="B1724" s="2" t="s">
        <v>23</v>
      </c>
      <c r="C1724" s="2" t="s">
        <v>12</v>
      </c>
      <c r="D1724" s="2" t="s">
        <v>18</v>
      </c>
      <c r="E1724">
        <v>115.46</v>
      </c>
      <c r="F1724">
        <v>4.12</v>
      </c>
      <c r="G1724">
        <v>2</v>
      </c>
      <c r="H1724">
        <f t="shared" si="26"/>
        <v>54735.250000000029</v>
      </c>
      <c r="I1724" t="str">
        <f>IF(Sheet1[[#This Row],[Month_Revenue]] &lt; AVERAGE(Sheet1[Month_Revenue]), "Off-Peak", "Peak")</f>
        <v>Off-Peak</v>
      </c>
      <c r="J1724">
        <f xml:space="preserve"> IF(Sheet1[[#This Row],[Ad Spend]] &gt; 0, (Sheet1[[#This Row],[Profit]] / Sheet1[[#This Row],[Ad Spend]]), 0)</f>
        <v>27.024271844660191</v>
      </c>
      <c r="K1724">
        <f>Sheet1[[#This Row],[Revenue]]-Sheet1[[#This Row],[Ad Spend]]</f>
        <v>111.33999999999999</v>
      </c>
      <c r="L1724" s="2" t="s">
        <v>22</v>
      </c>
      <c r="M1724">
        <v>3</v>
      </c>
      <c r="N1724" s="2" t="s">
        <v>19</v>
      </c>
      <c r="O1724">
        <v>57.73</v>
      </c>
    </row>
    <row r="1725" spans="1:15" x14ac:dyDescent="0.3">
      <c r="A1725" s="1">
        <v>45380</v>
      </c>
      <c r="B1725" s="2" t="s">
        <v>11</v>
      </c>
      <c r="C1725" s="2" t="s">
        <v>17</v>
      </c>
      <c r="D1725" s="2" t="s">
        <v>13</v>
      </c>
      <c r="E1725">
        <v>124.94</v>
      </c>
      <c r="F1725">
        <v>13.25</v>
      </c>
      <c r="G1725">
        <v>0</v>
      </c>
      <c r="H1725">
        <f t="shared" si="26"/>
        <v>54735.250000000029</v>
      </c>
      <c r="I1725" t="str">
        <f>IF(Sheet1[[#This Row],[Month_Revenue]] &lt; AVERAGE(Sheet1[Month_Revenue]), "Off-Peak", "Peak")</f>
        <v>Off-Peak</v>
      </c>
      <c r="J1725">
        <f xml:space="preserve"> IF(Sheet1[[#This Row],[Ad Spend]] &gt; 0, (Sheet1[[#This Row],[Profit]] / Sheet1[[#This Row],[Ad Spend]]), 0)</f>
        <v>8.4294339622641505</v>
      </c>
      <c r="K1725">
        <f>Sheet1[[#This Row],[Revenue]]-Sheet1[[#This Row],[Ad Spend]]</f>
        <v>111.69</v>
      </c>
      <c r="L1725" s="2" t="s">
        <v>14</v>
      </c>
      <c r="M1725">
        <v>3</v>
      </c>
      <c r="N1725" s="2" t="s">
        <v>19</v>
      </c>
      <c r="O1725">
        <v>0</v>
      </c>
    </row>
    <row r="1726" spans="1:15" x14ac:dyDescent="0.3">
      <c r="A1726" s="1">
        <v>45310</v>
      </c>
      <c r="B1726" s="2" t="s">
        <v>23</v>
      </c>
      <c r="C1726" s="2" t="s">
        <v>12</v>
      </c>
      <c r="D1726" s="2" t="s">
        <v>13</v>
      </c>
      <c r="E1726">
        <v>114.37</v>
      </c>
      <c r="F1726">
        <v>46.56</v>
      </c>
      <c r="G1726">
        <v>0</v>
      </c>
      <c r="H1726">
        <f t="shared" si="26"/>
        <v>61207.979999999989</v>
      </c>
      <c r="I1726" t="str">
        <f>IF(Sheet1[[#This Row],[Month_Revenue]] &lt; AVERAGE(Sheet1[Month_Revenue]), "Off-Peak", "Peak")</f>
        <v>Peak</v>
      </c>
      <c r="J1726">
        <f xml:space="preserve"> IF(Sheet1[[#This Row],[Ad Spend]] &gt; 0, (Sheet1[[#This Row],[Profit]] / Sheet1[[#This Row],[Ad Spend]]), 0)</f>
        <v>1.4564003436426116</v>
      </c>
      <c r="K1726">
        <f>Sheet1[[#This Row],[Revenue]]-Sheet1[[#This Row],[Ad Spend]]</f>
        <v>67.81</v>
      </c>
      <c r="L1726" s="2" t="s">
        <v>14</v>
      </c>
      <c r="M1726">
        <v>1</v>
      </c>
      <c r="N1726" s="2" t="s">
        <v>15</v>
      </c>
      <c r="O1726">
        <v>0</v>
      </c>
    </row>
    <row r="1727" spans="1:15" x14ac:dyDescent="0.3">
      <c r="A1727" s="1">
        <v>45316</v>
      </c>
      <c r="B1727" s="2" t="s">
        <v>24</v>
      </c>
      <c r="C1727" s="2" t="s">
        <v>12</v>
      </c>
      <c r="D1727" s="2" t="s">
        <v>13</v>
      </c>
      <c r="E1727">
        <v>84.57</v>
      </c>
      <c r="F1727">
        <v>33.64</v>
      </c>
      <c r="G1727">
        <v>2</v>
      </c>
      <c r="H1727">
        <f t="shared" si="26"/>
        <v>61207.979999999989</v>
      </c>
      <c r="I1727" t="str">
        <f>IF(Sheet1[[#This Row],[Month_Revenue]] &lt; AVERAGE(Sheet1[Month_Revenue]), "Off-Peak", "Peak")</f>
        <v>Peak</v>
      </c>
      <c r="J1727">
        <f xml:space="preserve"> IF(Sheet1[[#This Row],[Ad Spend]] &gt; 0, (Sheet1[[#This Row],[Profit]] / Sheet1[[#This Row],[Ad Spend]]), 0)</f>
        <v>1.5139714625445895</v>
      </c>
      <c r="K1727">
        <f>Sheet1[[#This Row],[Revenue]]-Sheet1[[#This Row],[Ad Spend]]</f>
        <v>50.929999999999993</v>
      </c>
      <c r="L1727" s="2" t="s">
        <v>14</v>
      </c>
      <c r="M1727">
        <v>1</v>
      </c>
      <c r="N1727" s="2" t="s">
        <v>15</v>
      </c>
      <c r="O1727">
        <v>42.284999999999997</v>
      </c>
    </row>
    <row r="1728" spans="1:15" x14ac:dyDescent="0.3">
      <c r="A1728" s="1">
        <v>45376</v>
      </c>
      <c r="B1728" s="2" t="s">
        <v>23</v>
      </c>
      <c r="C1728" s="2" t="s">
        <v>17</v>
      </c>
      <c r="D1728" s="2" t="s">
        <v>13</v>
      </c>
      <c r="E1728">
        <v>158.32</v>
      </c>
      <c r="F1728">
        <v>42.51</v>
      </c>
      <c r="G1728">
        <v>3</v>
      </c>
      <c r="H1728">
        <f t="shared" si="26"/>
        <v>54735.250000000029</v>
      </c>
      <c r="I1728" t="str">
        <f>IF(Sheet1[[#This Row],[Month_Revenue]] &lt; AVERAGE(Sheet1[Month_Revenue]), "Off-Peak", "Peak")</f>
        <v>Off-Peak</v>
      </c>
      <c r="J1728">
        <f xml:space="preserve"> IF(Sheet1[[#This Row],[Ad Spend]] &gt; 0, (Sheet1[[#This Row],[Profit]] / Sheet1[[#This Row],[Ad Spend]]), 0)</f>
        <v>2.7243001646671372</v>
      </c>
      <c r="K1728">
        <f>Sheet1[[#This Row],[Revenue]]-Sheet1[[#This Row],[Ad Spend]]</f>
        <v>115.81</v>
      </c>
      <c r="L1728" s="2" t="s">
        <v>22</v>
      </c>
      <c r="M1728">
        <v>3</v>
      </c>
      <c r="N1728" s="2" t="s">
        <v>19</v>
      </c>
      <c r="O1728">
        <v>52.773333333333333</v>
      </c>
    </row>
    <row r="1729" spans="1:15" x14ac:dyDescent="0.3">
      <c r="A1729" s="1">
        <v>45302</v>
      </c>
      <c r="B1729" s="2" t="s">
        <v>24</v>
      </c>
      <c r="C1729" s="2" t="s">
        <v>12</v>
      </c>
      <c r="D1729" s="2" t="s">
        <v>13</v>
      </c>
      <c r="E1729">
        <v>77.010000000000005</v>
      </c>
      <c r="F1729">
        <v>23.79</v>
      </c>
      <c r="G1729">
        <v>0</v>
      </c>
      <c r="H1729">
        <f t="shared" si="26"/>
        <v>61207.979999999989</v>
      </c>
      <c r="I1729" t="str">
        <f>IF(Sheet1[[#This Row],[Month_Revenue]] &lt; AVERAGE(Sheet1[Month_Revenue]), "Off-Peak", "Peak")</f>
        <v>Peak</v>
      </c>
      <c r="J1729">
        <f xml:space="preserve"> IF(Sheet1[[#This Row],[Ad Spend]] &gt; 0, (Sheet1[[#This Row],[Profit]] / Sheet1[[#This Row],[Ad Spend]]), 0)</f>
        <v>2.2370744010088277</v>
      </c>
      <c r="K1729">
        <f>Sheet1[[#This Row],[Revenue]]-Sheet1[[#This Row],[Ad Spend]]</f>
        <v>53.220000000000006</v>
      </c>
      <c r="L1729" s="2" t="s">
        <v>22</v>
      </c>
      <c r="M1729">
        <v>1</v>
      </c>
      <c r="N1729" s="2" t="s">
        <v>15</v>
      </c>
      <c r="O1729">
        <v>0</v>
      </c>
    </row>
    <row r="1730" spans="1:15" x14ac:dyDescent="0.3">
      <c r="A1730" s="1">
        <v>45322</v>
      </c>
      <c r="B1730" s="2" t="s">
        <v>23</v>
      </c>
      <c r="C1730" s="2" t="s">
        <v>17</v>
      </c>
      <c r="D1730" s="2" t="s">
        <v>13</v>
      </c>
      <c r="E1730">
        <v>193.62</v>
      </c>
      <c r="F1730">
        <v>32.75</v>
      </c>
      <c r="G1730">
        <v>3</v>
      </c>
      <c r="H1730">
        <f t="shared" ref="H1730:H1793" si="27">SUMIFS($E$2:$E$2001, $M$2:$M$2001, M1730)</f>
        <v>61207.979999999989</v>
      </c>
      <c r="I1730" t="str">
        <f>IF(Sheet1[[#This Row],[Month_Revenue]] &lt; AVERAGE(Sheet1[Month_Revenue]), "Off-Peak", "Peak")</f>
        <v>Peak</v>
      </c>
      <c r="J1730">
        <f xml:space="preserve"> IF(Sheet1[[#This Row],[Ad Spend]] &gt; 0, (Sheet1[[#This Row],[Profit]] / Sheet1[[#This Row],[Ad Spend]]), 0)</f>
        <v>4.9120610687022905</v>
      </c>
      <c r="K1730">
        <f>Sheet1[[#This Row],[Revenue]]-Sheet1[[#This Row],[Ad Spend]]</f>
        <v>160.87</v>
      </c>
      <c r="L1730" s="2" t="s">
        <v>22</v>
      </c>
      <c r="M1730">
        <v>1</v>
      </c>
      <c r="N1730" s="2" t="s">
        <v>15</v>
      </c>
      <c r="O1730">
        <v>64.540000000000006</v>
      </c>
    </row>
    <row r="1731" spans="1:15" x14ac:dyDescent="0.3">
      <c r="A1731" s="1">
        <v>45297</v>
      </c>
      <c r="B1731" s="2" t="s">
        <v>16</v>
      </c>
      <c r="C1731" s="2" t="s">
        <v>17</v>
      </c>
      <c r="D1731" s="2" t="s">
        <v>18</v>
      </c>
      <c r="E1731">
        <v>79.680000000000007</v>
      </c>
      <c r="F1731">
        <v>38.979999999999997</v>
      </c>
      <c r="G1731">
        <v>0</v>
      </c>
      <c r="H1731">
        <f t="shared" si="27"/>
        <v>61207.979999999989</v>
      </c>
      <c r="I1731" t="str">
        <f>IF(Sheet1[[#This Row],[Month_Revenue]] &lt; AVERAGE(Sheet1[Month_Revenue]), "Off-Peak", "Peak")</f>
        <v>Peak</v>
      </c>
      <c r="J1731">
        <f xml:space="preserve"> IF(Sheet1[[#This Row],[Ad Spend]] &gt; 0, (Sheet1[[#This Row],[Profit]] / Sheet1[[#This Row],[Ad Spend]]), 0)</f>
        <v>1.0441251924063626</v>
      </c>
      <c r="K1731">
        <f>Sheet1[[#This Row],[Revenue]]-Sheet1[[#This Row],[Ad Spend]]</f>
        <v>40.70000000000001</v>
      </c>
      <c r="L1731" s="2" t="s">
        <v>14</v>
      </c>
      <c r="M1731">
        <v>1</v>
      </c>
      <c r="N1731" s="2" t="s">
        <v>15</v>
      </c>
      <c r="O1731">
        <v>0</v>
      </c>
    </row>
    <row r="1732" spans="1:15" x14ac:dyDescent="0.3">
      <c r="A1732" s="1">
        <v>45354</v>
      </c>
      <c r="B1732" s="2" t="s">
        <v>16</v>
      </c>
      <c r="C1732" s="2" t="s">
        <v>21</v>
      </c>
      <c r="D1732" s="2" t="s">
        <v>13</v>
      </c>
      <c r="E1732">
        <v>138.07</v>
      </c>
      <c r="F1732">
        <v>15.02</v>
      </c>
      <c r="G1732">
        <v>1</v>
      </c>
      <c r="H1732">
        <f t="shared" si="27"/>
        <v>54735.250000000029</v>
      </c>
      <c r="I1732" t="str">
        <f>IF(Sheet1[[#This Row],[Month_Revenue]] &lt; AVERAGE(Sheet1[Month_Revenue]), "Off-Peak", "Peak")</f>
        <v>Off-Peak</v>
      </c>
      <c r="J1732">
        <f xml:space="preserve"> IF(Sheet1[[#This Row],[Ad Spend]] &gt; 0, (Sheet1[[#This Row],[Profit]] / Sheet1[[#This Row],[Ad Spend]]), 0)</f>
        <v>8.1924101198402131</v>
      </c>
      <c r="K1732">
        <f>Sheet1[[#This Row],[Revenue]]-Sheet1[[#This Row],[Ad Spend]]</f>
        <v>123.05</v>
      </c>
      <c r="L1732" s="2" t="s">
        <v>22</v>
      </c>
      <c r="M1732">
        <v>3</v>
      </c>
      <c r="N1732" s="2" t="s">
        <v>19</v>
      </c>
      <c r="O1732">
        <v>138.07</v>
      </c>
    </row>
    <row r="1733" spans="1:15" x14ac:dyDescent="0.3">
      <c r="A1733" s="1">
        <v>45387</v>
      </c>
      <c r="B1733" s="2" t="s">
        <v>16</v>
      </c>
      <c r="C1733" s="2" t="s">
        <v>12</v>
      </c>
      <c r="D1733" s="2" t="s">
        <v>18</v>
      </c>
      <c r="E1733">
        <v>33</v>
      </c>
      <c r="F1733">
        <v>35.299999999999997</v>
      </c>
      <c r="G1733">
        <v>2</v>
      </c>
      <c r="H1733">
        <f t="shared" si="27"/>
        <v>58562.910000000018</v>
      </c>
      <c r="I1733" t="str">
        <f>IF(Sheet1[[#This Row],[Month_Revenue]] &lt; AVERAGE(Sheet1[Month_Revenue]), "Off-Peak", "Peak")</f>
        <v>Peak</v>
      </c>
      <c r="J1733">
        <f xml:space="preserve"> IF(Sheet1[[#This Row],[Ad Spend]] &gt; 0, (Sheet1[[#This Row],[Profit]] / Sheet1[[#This Row],[Ad Spend]]), 0)</f>
        <v>-6.5155807365439022E-2</v>
      </c>
      <c r="K1733">
        <f>Sheet1[[#This Row],[Revenue]]-Sheet1[[#This Row],[Ad Spend]]</f>
        <v>-2.2999999999999972</v>
      </c>
      <c r="L1733" s="2" t="s">
        <v>22</v>
      </c>
      <c r="M1733">
        <v>4</v>
      </c>
      <c r="N1733" s="2" t="s">
        <v>19</v>
      </c>
      <c r="O1733">
        <v>16.5</v>
      </c>
    </row>
    <row r="1734" spans="1:15" x14ac:dyDescent="0.3">
      <c r="A1734" s="1">
        <v>45372</v>
      </c>
      <c r="B1734" s="2" t="s">
        <v>20</v>
      </c>
      <c r="C1734" s="2" t="s">
        <v>17</v>
      </c>
      <c r="D1734" s="2" t="s">
        <v>18</v>
      </c>
      <c r="E1734">
        <v>123.49</v>
      </c>
      <c r="F1734">
        <v>25.73</v>
      </c>
      <c r="G1734">
        <v>0</v>
      </c>
      <c r="H1734">
        <f t="shared" si="27"/>
        <v>54735.250000000029</v>
      </c>
      <c r="I1734" t="str">
        <f>IF(Sheet1[[#This Row],[Month_Revenue]] &lt; AVERAGE(Sheet1[Month_Revenue]), "Off-Peak", "Peak")</f>
        <v>Off-Peak</v>
      </c>
      <c r="J1734">
        <f xml:space="preserve"> IF(Sheet1[[#This Row],[Ad Spend]] &gt; 0, (Sheet1[[#This Row],[Profit]] / Sheet1[[#This Row],[Ad Spend]]), 0)</f>
        <v>3.7994558880684024</v>
      </c>
      <c r="K1734">
        <f>Sheet1[[#This Row],[Revenue]]-Sheet1[[#This Row],[Ad Spend]]</f>
        <v>97.759999999999991</v>
      </c>
      <c r="L1734" s="2" t="s">
        <v>14</v>
      </c>
      <c r="M1734">
        <v>3</v>
      </c>
      <c r="N1734" s="2" t="s">
        <v>19</v>
      </c>
      <c r="O1734">
        <v>0</v>
      </c>
    </row>
    <row r="1735" spans="1:15" x14ac:dyDescent="0.3">
      <c r="A1735" s="1">
        <v>45393</v>
      </c>
      <c r="B1735" s="2" t="s">
        <v>23</v>
      </c>
      <c r="C1735" s="2" t="s">
        <v>21</v>
      </c>
      <c r="D1735" s="2" t="s">
        <v>18</v>
      </c>
      <c r="E1735">
        <v>100.64</v>
      </c>
      <c r="F1735">
        <v>46.32</v>
      </c>
      <c r="G1735">
        <v>3</v>
      </c>
      <c r="H1735">
        <f t="shared" si="27"/>
        <v>58562.910000000018</v>
      </c>
      <c r="I1735" t="str">
        <f>IF(Sheet1[[#This Row],[Month_Revenue]] &lt; AVERAGE(Sheet1[Month_Revenue]), "Off-Peak", "Peak")</f>
        <v>Peak</v>
      </c>
      <c r="J1735">
        <f xml:space="preserve"> IF(Sheet1[[#This Row],[Ad Spend]] &gt; 0, (Sheet1[[#This Row],[Profit]] / Sheet1[[#This Row],[Ad Spend]]), 0)</f>
        <v>1.1727115716753023</v>
      </c>
      <c r="K1735">
        <f>Sheet1[[#This Row],[Revenue]]-Sheet1[[#This Row],[Ad Spend]]</f>
        <v>54.32</v>
      </c>
      <c r="L1735" s="2" t="s">
        <v>14</v>
      </c>
      <c r="M1735">
        <v>4</v>
      </c>
      <c r="N1735" s="2" t="s">
        <v>19</v>
      </c>
      <c r="O1735">
        <v>33.546666666666667</v>
      </c>
    </row>
    <row r="1736" spans="1:15" x14ac:dyDescent="0.3">
      <c r="A1736" s="1">
        <v>45301</v>
      </c>
      <c r="B1736" s="2" t="s">
        <v>11</v>
      </c>
      <c r="C1736" s="2" t="s">
        <v>17</v>
      </c>
      <c r="D1736" s="2" t="s">
        <v>18</v>
      </c>
      <c r="E1736">
        <v>62.24</v>
      </c>
      <c r="F1736">
        <v>30.88</v>
      </c>
      <c r="G1736">
        <v>0</v>
      </c>
      <c r="H1736">
        <f t="shared" si="27"/>
        <v>61207.979999999989</v>
      </c>
      <c r="I1736" t="str">
        <f>IF(Sheet1[[#This Row],[Month_Revenue]] &lt; AVERAGE(Sheet1[Month_Revenue]), "Off-Peak", "Peak")</f>
        <v>Peak</v>
      </c>
      <c r="J1736">
        <f xml:space="preserve"> IF(Sheet1[[#This Row],[Ad Spend]] &gt; 0, (Sheet1[[#This Row],[Profit]] / Sheet1[[#This Row],[Ad Spend]]), 0)</f>
        <v>1.0155440414507773</v>
      </c>
      <c r="K1736">
        <f>Sheet1[[#This Row],[Revenue]]-Sheet1[[#This Row],[Ad Spend]]</f>
        <v>31.360000000000003</v>
      </c>
      <c r="L1736" s="2" t="s">
        <v>22</v>
      </c>
      <c r="M1736">
        <v>1</v>
      </c>
      <c r="N1736" s="2" t="s">
        <v>15</v>
      </c>
      <c r="O1736">
        <v>0</v>
      </c>
    </row>
    <row r="1737" spans="1:15" x14ac:dyDescent="0.3">
      <c r="A1737" s="1">
        <v>45300</v>
      </c>
      <c r="B1737" s="2" t="s">
        <v>16</v>
      </c>
      <c r="C1737" s="2" t="s">
        <v>21</v>
      </c>
      <c r="D1737" s="2" t="s">
        <v>13</v>
      </c>
      <c r="E1737">
        <v>135.61000000000001</v>
      </c>
      <c r="F1737">
        <v>11.1</v>
      </c>
      <c r="G1737">
        <v>2</v>
      </c>
      <c r="H1737">
        <f t="shared" si="27"/>
        <v>61207.979999999989</v>
      </c>
      <c r="I1737" t="str">
        <f>IF(Sheet1[[#This Row],[Month_Revenue]] &lt; AVERAGE(Sheet1[Month_Revenue]), "Off-Peak", "Peak")</f>
        <v>Peak</v>
      </c>
      <c r="J1737">
        <f xml:space="preserve"> IF(Sheet1[[#This Row],[Ad Spend]] &gt; 0, (Sheet1[[#This Row],[Profit]] / Sheet1[[#This Row],[Ad Spend]]), 0)</f>
        <v>11.21711711711712</v>
      </c>
      <c r="K1737">
        <f>Sheet1[[#This Row],[Revenue]]-Sheet1[[#This Row],[Ad Spend]]</f>
        <v>124.51000000000002</v>
      </c>
      <c r="L1737" s="2" t="s">
        <v>14</v>
      </c>
      <c r="M1737">
        <v>1</v>
      </c>
      <c r="N1737" s="2" t="s">
        <v>15</v>
      </c>
      <c r="O1737">
        <v>67.805000000000007</v>
      </c>
    </row>
    <row r="1738" spans="1:15" x14ac:dyDescent="0.3">
      <c r="A1738" s="1">
        <v>45388</v>
      </c>
      <c r="B1738" s="2" t="s">
        <v>11</v>
      </c>
      <c r="C1738" s="2" t="s">
        <v>12</v>
      </c>
      <c r="D1738" s="2" t="s">
        <v>13</v>
      </c>
      <c r="E1738">
        <v>197.85</v>
      </c>
      <c r="F1738">
        <v>10.67</v>
      </c>
      <c r="G1738">
        <v>3</v>
      </c>
      <c r="H1738">
        <f t="shared" si="27"/>
        <v>58562.910000000018</v>
      </c>
      <c r="I1738" t="str">
        <f>IF(Sheet1[[#This Row],[Month_Revenue]] &lt; AVERAGE(Sheet1[Month_Revenue]), "Off-Peak", "Peak")</f>
        <v>Peak</v>
      </c>
      <c r="J1738">
        <f xml:space="preserve"> IF(Sheet1[[#This Row],[Ad Spend]] &gt; 0, (Sheet1[[#This Row],[Profit]] / Sheet1[[#This Row],[Ad Spend]]), 0)</f>
        <v>17.542642924086223</v>
      </c>
      <c r="K1738">
        <f>Sheet1[[#This Row],[Revenue]]-Sheet1[[#This Row],[Ad Spend]]</f>
        <v>187.18</v>
      </c>
      <c r="L1738" s="2" t="s">
        <v>14</v>
      </c>
      <c r="M1738">
        <v>4</v>
      </c>
      <c r="N1738" s="2" t="s">
        <v>19</v>
      </c>
      <c r="O1738">
        <v>65.95</v>
      </c>
    </row>
    <row r="1739" spans="1:15" x14ac:dyDescent="0.3">
      <c r="A1739" s="1">
        <v>45410</v>
      </c>
      <c r="B1739" s="2" t="s">
        <v>11</v>
      </c>
      <c r="C1739" s="2" t="s">
        <v>17</v>
      </c>
      <c r="D1739" s="2" t="s">
        <v>13</v>
      </c>
      <c r="E1739">
        <v>65.19</v>
      </c>
      <c r="F1739">
        <v>33.520000000000003</v>
      </c>
      <c r="G1739">
        <v>0</v>
      </c>
      <c r="H1739">
        <f t="shared" si="27"/>
        <v>58562.910000000018</v>
      </c>
      <c r="I1739" t="str">
        <f>IF(Sheet1[[#This Row],[Month_Revenue]] &lt; AVERAGE(Sheet1[Month_Revenue]), "Off-Peak", "Peak")</f>
        <v>Peak</v>
      </c>
      <c r="J1739">
        <f xml:space="preserve"> IF(Sheet1[[#This Row],[Ad Spend]] &gt; 0, (Sheet1[[#This Row],[Profit]] / Sheet1[[#This Row],[Ad Spend]]), 0)</f>
        <v>0.94480906921241026</v>
      </c>
      <c r="K1739">
        <f>Sheet1[[#This Row],[Revenue]]-Sheet1[[#This Row],[Ad Spend]]</f>
        <v>31.669999999999995</v>
      </c>
      <c r="L1739" s="2" t="s">
        <v>14</v>
      </c>
      <c r="M1739">
        <v>4</v>
      </c>
      <c r="N1739" s="2" t="s">
        <v>19</v>
      </c>
      <c r="O1739">
        <v>0</v>
      </c>
    </row>
    <row r="1740" spans="1:15" x14ac:dyDescent="0.3">
      <c r="A1740" s="1">
        <v>45357</v>
      </c>
      <c r="B1740" s="2" t="s">
        <v>23</v>
      </c>
      <c r="C1740" s="2" t="s">
        <v>17</v>
      </c>
      <c r="D1740" s="2" t="s">
        <v>13</v>
      </c>
      <c r="E1740">
        <v>166.29</v>
      </c>
      <c r="F1740">
        <v>43.7</v>
      </c>
      <c r="G1740">
        <v>1</v>
      </c>
      <c r="H1740">
        <f t="shared" si="27"/>
        <v>54735.250000000029</v>
      </c>
      <c r="I1740" t="str">
        <f>IF(Sheet1[[#This Row],[Month_Revenue]] &lt; AVERAGE(Sheet1[Month_Revenue]), "Off-Peak", "Peak")</f>
        <v>Off-Peak</v>
      </c>
      <c r="J1740">
        <f xml:space="preserve"> IF(Sheet1[[#This Row],[Ad Spend]] &gt; 0, (Sheet1[[#This Row],[Profit]] / Sheet1[[#This Row],[Ad Spend]]), 0)</f>
        <v>2.8052631578947365</v>
      </c>
      <c r="K1740">
        <f>Sheet1[[#This Row],[Revenue]]-Sheet1[[#This Row],[Ad Spend]]</f>
        <v>122.58999999999999</v>
      </c>
      <c r="L1740" s="2" t="s">
        <v>14</v>
      </c>
      <c r="M1740">
        <v>3</v>
      </c>
      <c r="N1740" s="2" t="s">
        <v>19</v>
      </c>
      <c r="O1740">
        <v>166.29</v>
      </c>
    </row>
    <row r="1741" spans="1:15" x14ac:dyDescent="0.3">
      <c r="A1741" s="1">
        <v>45394</v>
      </c>
      <c r="B1741" s="2" t="s">
        <v>23</v>
      </c>
      <c r="C1741" s="2" t="s">
        <v>17</v>
      </c>
      <c r="D1741" s="2" t="s">
        <v>18</v>
      </c>
      <c r="E1741">
        <v>126.13</v>
      </c>
      <c r="F1741">
        <v>2.23</v>
      </c>
      <c r="G1741">
        <v>2</v>
      </c>
      <c r="H1741">
        <f t="shared" si="27"/>
        <v>58562.910000000018</v>
      </c>
      <c r="I1741" t="str">
        <f>IF(Sheet1[[#This Row],[Month_Revenue]] &lt; AVERAGE(Sheet1[Month_Revenue]), "Off-Peak", "Peak")</f>
        <v>Peak</v>
      </c>
      <c r="J1741">
        <f xml:space="preserve"> IF(Sheet1[[#This Row],[Ad Spend]] &gt; 0, (Sheet1[[#This Row],[Profit]] / Sheet1[[#This Row],[Ad Spend]]), 0)</f>
        <v>55.560538116591928</v>
      </c>
      <c r="K1741">
        <f>Sheet1[[#This Row],[Revenue]]-Sheet1[[#This Row],[Ad Spend]]</f>
        <v>123.89999999999999</v>
      </c>
      <c r="L1741" s="2" t="s">
        <v>14</v>
      </c>
      <c r="M1741">
        <v>4</v>
      </c>
      <c r="N1741" s="2" t="s">
        <v>19</v>
      </c>
      <c r="O1741">
        <v>63.064999999999998</v>
      </c>
    </row>
    <row r="1742" spans="1:15" x14ac:dyDescent="0.3">
      <c r="A1742" s="1">
        <v>45339</v>
      </c>
      <c r="B1742" s="2" t="s">
        <v>16</v>
      </c>
      <c r="C1742" s="2" t="s">
        <v>17</v>
      </c>
      <c r="D1742" s="2" t="s">
        <v>13</v>
      </c>
      <c r="E1742">
        <v>27.61</v>
      </c>
      <c r="F1742">
        <v>34.369999999999997</v>
      </c>
      <c r="G1742">
        <v>3</v>
      </c>
      <c r="H1742">
        <f t="shared" si="27"/>
        <v>48675.899999999936</v>
      </c>
      <c r="I1742" t="str">
        <f>IF(Sheet1[[#This Row],[Month_Revenue]] &lt; AVERAGE(Sheet1[Month_Revenue]), "Off-Peak", "Peak")</f>
        <v>Off-Peak</v>
      </c>
      <c r="J1742">
        <f xml:space="preserve"> IF(Sheet1[[#This Row],[Ad Spend]] &gt; 0, (Sheet1[[#This Row],[Profit]] / Sheet1[[#This Row],[Ad Spend]]), 0)</f>
        <v>-0.19668315391329644</v>
      </c>
      <c r="K1742">
        <f>Sheet1[[#This Row],[Revenue]]-Sheet1[[#This Row],[Ad Spend]]</f>
        <v>-6.759999999999998</v>
      </c>
      <c r="L1742" s="2" t="s">
        <v>14</v>
      </c>
      <c r="M1742">
        <v>2</v>
      </c>
      <c r="N1742" s="2" t="s">
        <v>15</v>
      </c>
      <c r="O1742">
        <v>9.2033333333333331</v>
      </c>
    </row>
    <row r="1743" spans="1:15" x14ac:dyDescent="0.3">
      <c r="A1743" s="1">
        <v>45380</v>
      </c>
      <c r="B1743" s="2" t="s">
        <v>16</v>
      </c>
      <c r="C1743" s="2" t="s">
        <v>21</v>
      </c>
      <c r="D1743" s="2" t="s">
        <v>18</v>
      </c>
      <c r="E1743">
        <v>185.84</v>
      </c>
      <c r="F1743">
        <v>40.92</v>
      </c>
      <c r="G1743">
        <v>2</v>
      </c>
      <c r="H1743">
        <f t="shared" si="27"/>
        <v>54735.250000000029</v>
      </c>
      <c r="I1743" t="str">
        <f>IF(Sheet1[[#This Row],[Month_Revenue]] &lt; AVERAGE(Sheet1[Month_Revenue]), "Off-Peak", "Peak")</f>
        <v>Off-Peak</v>
      </c>
      <c r="J1743">
        <f xml:space="preserve"> IF(Sheet1[[#This Row],[Ad Spend]] &gt; 0, (Sheet1[[#This Row],[Profit]] / Sheet1[[#This Row],[Ad Spend]]), 0)</f>
        <v>3.5415444770283484</v>
      </c>
      <c r="K1743">
        <f>Sheet1[[#This Row],[Revenue]]-Sheet1[[#This Row],[Ad Spend]]</f>
        <v>144.92000000000002</v>
      </c>
      <c r="L1743" s="2" t="s">
        <v>22</v>
      </c>
      <c r="M1743">
        <v>3</v>
      </c>
      <c r="N1743" s="2" t="s">
        <v>19</v>
      </c>
      <c r="O1743">
        <v>92.92</v>
      </c>
    </row>
    <row r="1744" spans="1:15" x14ac:dyDescent="0.3">
      <c r="A1744" s="1">
        <v>45333</v>
      </c>
      <c r="B1744" s="2" t="s">
        <v>16</v>
      </c>
      <c r="C1744" s="2" t="s">
        <v>12</v>
      </c>
      <c r="D1744" s="2" t="s">
        <v>18</v>
      </c>
      <c r="E1744">
        <v>161.78</v>
      </c>
      <c r="F1744">
        <v>47.9</v>
      </c>
      <c r="G1744">
        <v>1</v>
      </c>
      <c r="H1744">
        <f t="shared" si="27"/>
        <v>48675.899999999936</v>
      </c>
      <c r="I1744" t="str">
        <f>IF(Sheet1[[#This Row],[Month_Revenue]] &lt; AVERAGE(Sheet1[Month_Revenue]), "Off-Peak", "Peak")</f>
        <v>Off-Peak</v>
      </c>
      <c r="J1744">
        <f xml:space="preserve"> IF(Sheet1[[#This Row],[Ad Spend]] &gt; 0, (Sheet1[[#This Row],[Profit]] / Sheet1[[#This Row],[Ad Spend]]), 0)</f>
        <v>2.3774530271398748</v>
      </c>
      <c r="K1744">
        <f>Sheet1[[#This Row],[Revenue]]-Sheet1[[#This Row],[Ad Spend]]</f>
        <v>113.88</v>
      </c>
      <c r="L1744" s="2" t="s">
        <v>22</v>
      </c>
      <c r="M1744">
        <v>2</v>
      </c>
      <c r="N1744" s="2" t="s">
        <v>15</v>
      </c>
      <c r="O1744">
        <v>161.78</v>
      </c>
    </row>
    <row r="1745" spans="1:15" x14ac:dyDescent="0.3">
      <c r="A1745" s="1">
        <v>45367</v>
      </c>
      <c r="B1745" s="2" t="s">
        <v>16</v>
      </c>
      <c r="C1745" s="2" t="s">
        <v>17</v>
      </c>
      <c r="D1745" s="2" t="s">
        <v>13</v>
      </c>
      <c r="E1745">
        <v>29.95</v>
      </c>
      <c r="F1745">
        <v>46.56</v>
      </c>
      <c r="G1745">
        <v>3</v>
      </c>
      <c r="H1745">
        <f t="shared" si="27"/>
        <v>54735.250000000029</v>
      </c>
      <c r="I1745" t="str">
        <f>IF(Sheet1[[#This Row],[Month_Revenue]] &lt; AVERAGE(Sheet1[Month_Revenue]), "Off-Peak", "Peak")</f>
        <v>Off-Peak</v>
      </c>
      <c r="J1745">
        <f xml:space="preserve"> IF(Sheet1[[#This Row],[Ad Spend]] &gt; 0, (Sheet1[[#This Row],[Profit]] / Sheet1[[#This Row],[Ad Spend]]), 0)</f>
        <v>-0.3567439862542956</v>
      </c>
      <c r="K1745">
        <f>Sheet1[[#This Row],[Revenue]]-Sheet1[[#This Row],[Ad Spend]]</f>
        <v>-16.610000000000003</v>
      </c>
      <c r="L1745" s="2" t="s">
        <v>22</v>
      </c>
      <c r="M1745">
        <v>3</v>
      </c>
      <c r="N1745" s="2" t="s">
        <v>19</v>
      </c>
      <c r="O1745">
        <v>9.9833333333333325</v>
      </c>
    </row>
    <row r="1746" spans="1:15" x14ac:dyDescent="0.3">
      <c r="A1746" s="1">
        <v>45378</v>
      </c>
      <c r="B1746" s="2" t="s">
        <v>16</v>
      </c>
      <c r="C1746" s="2" t="s">
        <v>12</v>
      </c>
      <c r="D1746" s="2" t="s">
        <v>18</v>
      </c>
      <c r="E1746">
        <v>181.55</v>
      </c>
      <c r="F1746">
        <v>37.44</v>
      </c>
      <c r="G1746">
        <v>2</v>
      </c>
      <c r="H1746">
        <f t="shared" si="27"/>
        <v>54735.250000000029</v>
      </c>
      <c r="I1746" t="str">
        <f>IF(Sheet1[[#This Row],[Month_Revenue]] &lt; AVERAGE(Sheet1[Month_Revenue]), "Off-Peak", "Peak")</f>
        <v>Off-Peak</v>
      </c>
      <c r="J1746">
        <f xml:space="preserve"> IF(Sheet1[[#This Row],[Ad Spend]] &gt; 0, (Sheet1[[#This Row],[Profit]] / Sheet1[[#This Row],[Ad Spend]]), 0)</f>
        <v>3.8490918803418808</v>
      </c>
      <c r="K1746">
        <f>Sheet1[[#This Row],[Revenue]]-Sheet1[[#This Row],[Ad Spend]]</f>
        <v>144.11000000000001</v>
      </c>
      <c r="L1746" s="2" t="s">
        <v>14</v>
      </c>
      <c r="M1746">
        <v>3</v>
      </c>
      <c r="N1746" s="2" t="s">
        <v>19</v>
      </c>
      <c r="O1746">
        <v>90.775000000000006</v>
      </c>
    </row>
    <row r="1747" spans="1:15" x14ac:dyDescent="0.3">
      <c r="A1747" s="1">
        <v>45349</v>
      </c>
      <c r="B1747" s="2" t="s">
        <v>23</v>
      </c>
      <c r="C1747" s="2" t="s">
        <v>12</v>
      </c>
      <c r="D1747" s="2" t="s">
        <v>18</v>
      </c>
      <c r="E1747">
        <v>171.38</v>
      </c>
      <c r="F1747">
        <v>43.82</v>
      </c>
      <c r="G1747">
        <v>1</v>
      </c>
      <c r="H1747">
        <f t="shared" si="27"/>
        <v>48675.899999999936</v>
      </c>
      <c r="I1747" t="str">
        <f>IF(Sheet1[[#This Row],[Month_Revenue]] &lt; AVERAGE(Sheet1[Month_Revenue]), "Off-Peak", "Peak")</f>
        <v>Off-Peak</v>
      </c>
      <c r="J1747">
        <f xml:space="preserve"> IF(Sheet1[[#This Row],[Ad Spend]] &gt; 0, (Sheet1[[#This Row],[Profit]] / Sheet1[[#This Row],[Ad Spend]]), 0)</f>
        <v>2.910999543587403</v>
      </c>
      <c r="K1747">
        <f>Sheet1[[#This Row],[Revenue]]-Sheet1[[#This Row],[Ad Spend]]</f>
        <v>127.56</v>
      </c>
      <c r="L1747" s="2" t="s">
        <v>22</v>
      </c>
      <c r="M1747">
        <v>2</v>
      </c>
      <c r="N1747" s="2" t="s">
        <v>15</v>
      </c>
      <c r="O1747">
        <v>171.38</v>
      </c>
    </row>
    <row r="1748" spans="1:15" x14ac:dyDescent="0.3">
      <c r="A1748" s="1">
        <v>45410</v>
      </c>
      <c r="B1748" s="2" t="s">
        <v>20</v>
      </c>
      <c r="C1748" s="2" t="s">
        <v>12</v>
      </c>
      <c r="D1748" s="2" t="s">
        <v>18</v>
      </c>
      <c r="E1748">
        <v>83.79</v>
      </c>
      <c r="F1748">
        <v>32.69</v>
      </c>
      <c r="G1748">
        <v>0</v>
      </c>
      <c r="H1748">
        <f t="shared" si="27"/>
        <v>58562.910000000018</v>
      </c>
      <c r="I1748" t="str">
        <f>IF(Sheet1[[#This Row],[Month_Revenue]] &lt; AVERAGE(Sheet1[Month_Revenue]), "Off-Peak", "Peak")</f>
        <v>Peak</v>
      </c>
      <c r="J1748">
        <f xml:space="preserve"> IF(Sheet1[[#This Row],[Ad Spend]] &gt; 0, (Sheet1[[#This Row],[Profit]] / Sheet1[[#This Row],[Ad Spend]]), 0)</f>
        <v>1.5631691648822275</v>
      </c>
      <c r="K1748">
        <f>Sheet1[[#This Row],[Revenue]]-Sheet1[[#This Row],[Ad Spend]]</f>
        <v>51.100000000000009</v>
      </c>
      <c r="L1748" s="2" t="s">
        <v>22</v>
      </c>
      <c r="M1748">
        <v>4</v>
      </c>
      <c r="N1748" s="2" t="s">
        <v>19</v>
      </c>
      <c r="O1748">
        <v>0</v>
      </c>
    </row>
    <row r="1749" spans="1:15" x14ac:dyDescent="0.3">
      <c r="A1749" s="1">
        <v>45369</v>
      </c>
      <c r="B1749" s="2" t="s">
        <v>11</v>
      </c>
      <c r="C1749" s="2" t="s">
        <v>17</v>
      </c>
      <c r="D1749" s="2" t="s">
        <v>18</v>
      </c>
      <c r="E1749">
        <v>100.05</v>
      </c>
      <c r="F1749">
        <v>37.93</v>
      </c>
      <c r="G1749">
        <v>0</v>
      </c>
      <c r="H1749">
        <f t="shared" si="27"/>
        <v>54735.250000000029</v>
      </c>
      <c r="I1749" t="str">
        <f>IF(Sheet1[[#This Row],[Month_Revenue]] &lt; AVERAGE(Sheet1[Month_Revenue]), "Off-Peak", "Peak")</f>
        <v>Off-Peak</v>
      </c>
      <c r="J1749">
        <f xml:space="preserve"> IF(Sheet1[[#This Row],[Ad Spend]] &gt; 0, (Sheet1[[#This Row],[Profit]] / Sheet1[[#This Row],[Ad Spend]]), 0)</f>
        <v>1.6377537569206433</v>
      </c>
      <c r="K1749">
        <f>Sheet1[[#This Row],[Revenue]]-Sheet1[[#This Row],[Ad Spend]]</f>
        <v>62.12</v>
      </c>
      <c r="L1749" s="2" t="s">
        <v>14</v>
      </c>
      <c r="M1749">
        <v>3</v>
      </c>
      <c r="N1749" s="2" t="s">
        <v>19</v>
      </c>
      <c r="O1749">
        <v>0</v>
      </c>
    </row>
    <row r="1750" spans="1:15" x14ac:dyDescent="0.3">
      <c r="A1750" s="1">
        <v>45379</v>
      </c>
      <c r="B1750" s="2" t="s">
        <v>11</v>
      </c>
      <c r="C1750" s="2" t="s">
        <v>21</v>
      </c>
      <c r="D1750" s="2" t="s">
        <v>13</v>
      </c>
      <c r="E1750">
        <v>20.100000000000001</v>
      </c>
      <c r="F1750">
        <v>31.66</v>
      </c>
      <c r="G1750">
        <v>0</v>
      </c>
      <c r="H1750">
        <f t="shared" si="27"/>
        <v>54735.250000000029</v>
      </c>
      <c r="I1750" t="str">
        <f>IF(Sheet1[[#This Row],[Month_Revenue]] &lt; AVERAGE(Sheet1[Month_Revenue]), "Off-Peak", "Peak")</f>
        <v>Off-Peak</v>
      </c>
      <c r="J1750">
        <f xml:space="preserve"> IF(Sheet1[[#This Row],[Ad Spend]] &gt; 0, (Sheet1[[#This Row],[Profit]] / Sheet1[[#This Row],[Ad Spend]]), 0)</f>
        <v>-0.36512950094756785</v>
      </c>
      <c r="K1750">
        <f>Sheet1[[#This Row],[Revenue]]-Sheet1[[#This Row],[Ad Spend]]</f>
        <v>-11.559999999999999</v>
      </c>
      <c r="L1750" s="2" t="s">
        <v>22</v>
      </c>
      <c r="M1750">
        <v>3</v>
      </c>
      <c r="N1750" s="2" t="s">
        <v>19</v>
      </c>
      <c r="O1750">
        <v>0</v>
      </c>
    </row>
    <row r="1751" spans="1:15" x14ac:dyDescent="0.3">
      <c r="A1751" s="1">
        <v>45351</v>
      </c>
      <c r="B1751" s="2" t="s">
        <v>23</v>
      </c>
      <c r="C1751" s="2" t="s">
        <v>12</v>
      </c>
      <c r="D1751" s="2" t="s">
        <v>13</v>
      </c>
      <c r="E1751">
        <v>164.79</v>
      </c>
      <c r="F1751">
        <v>49.8</v>
      </c>
      <c r="G1751">
        <v>0</v>
      </c>
      <c r="H1751">
        <f t="shared" si="27"/>
        <v>48675.899999999936</v>
      </c>
      <c r="I1751" t="str">
        <f>IF(Sheet1[[#This Row],[Month_Revenue]] &lt; AVERAGE(Sheet1[Month_Revenue]), "Off-Peak", "Peak")</f>
        <v>Off-Peak</v>
      </c>
      <c r="J1751">
        <f xml:space="preserve"> IF(Sheet1[[#This Row],[Ad Spend]] &gt; 0, (Sheet1[[#This Row],[Profit]] / Sheet1[[#This Row],[Ad Spend]]), 0)</f>
        <v>2.3090361445783132</v>
      </c>
      <c r="K1751">
        <f>Sheet1[[#This Row],[Revenue]]-Sheet1[[#This Row],[Ad Spend]]</f>
        <v>114.99</v>
      </c>
      <c r="L1751" s="2" t="s">
        <v>14</v>
      </c>
      <c r="M1751">
        <v>2</v>
      </c>
      <c r="N1751" s="2" t="s">
        <v>15</v>
      </c>
      <c r="O1751">
        <v>0</v>
      </c>
    </row>
    <row r="1752" spans="1:15" x14ac:dyDescent="0.3">
      <c r="A1752" s="1">
        <v>45306</v>
      </c>
      <c r="B1752" s="2" t="s">
        <v>23</v>
      </c>
      <c r="C1752" s="2" t="s">
        <v>21</v>
      </c>
      <c r="D1752" s="2" t="s">
        <v>18</v>
      </c>
      <c r="E1752">
        <v>188.73</v>
      </c>
      <c r="F1752">
        <v>36.17</v>
      </c>
      <c r="G1752">
        <v>0</v>
      </c>
      <c r="H1752">
        <f t="shared" si="27"/>
        <v>61207.979999999989</v>
      </c>
      <c r="I1752" t="str">
        <f>IF(Sheet1[[#This Row],[Month_Revenue]] &lt; AVERAGE(Sheet1[Month_Revenue]), "Off-Peak", "Peak")</f>
        <v>Peak</v>
      </c>
      <c r="J1752">
        <f xml:space="preserve"> IF(Sheet1[[#This Row],[Ad Spend]] &gt; 0, (Sheet1[[#This Row],[Profit]] / Sheet1[[#This Row],[Ad Spend]]), 0)</f>
        <v>4.2178601050594411</v>
      </c>
      <c r="K1752">
        <f>Sheet1[[#This Row],[Revenue]]-Sheet1[[#This Row],[Ad Spend]]</f>
        <v>152.56</v>
      </c>
      <c r="L1752" s="2" t="s">
        <v>22</v>
      </c>
      <c r="M1752">
        <v>1</v>
      </c>
      <c r="N1752" s="2" t="s">
        <v>15</v>
      </c>
      <c r="O1752">
        <v>0</v>
      </c>
    </row>
    <row r="1753" spans="1:15" x14ac:dyDescent="0.3">
      <c r="A1753" s="1">
        <v>45367</v>
      </c>
      <c r="B1753" s="2" t="s">
        <v>23</v>
      </c>
      <c r="C1753" s="2" t="s">
        <v>12</v>
      </c>
      <c r="D1753" s="2" t="s">
        <v>18</v>
      </c>
      <c r="E1753">
        <v>176.65</v>
      </c>
      <c r="F1753">
        <v>8.92</v>
      </c>
      <c r="G1753">
        <v>3</v>
      </c>
      <c r="H1753">
        <f t="shared" si="27"/>
        <v>54735.250000000029</v>
      </c>
      <c r="I1753" t="str">
        <f>IF(Sheet1[[#This Row],[Month_Revenue]] &lt; AVERAGE(Sheet1[Month_Revenue]), "Off-Peak", "Peak")</f>
        <v>Off-Peak</v>
      </c>
      <c r="J1753">
        <f xml:space="preserve"> IF(Sheet1[[#This Row],[Ad Spend]] &gt; 0, (Sheet1[[#This Row],[Profit]] / Sheet1[[#This Row],[Ad Spend]]), 0)</f>
        <v>18.803811659192828</v>
      </c>
      <c r="K1753">
        <f>Sheet1[[#This Row],[Revenue]]-Sheet1[[#This Row],[Ad Spend]]</f>
        <v>167.73000000000002</v>
      </c>
      <c r="L1753" s="2" t="s">
        <v>14</v>
      </c>
      <c r="M1753">
        <v>3</v>
      </c>
      <c r="N1753" s="2" t="s">
        <v>19</v>
      </c>
      <c r="O1753">
        <v>58.883333333333333</v>
      </c>
    </row>
    <row r="1754" spans="1:15" x14ac:dyDescent="0.3">
      <c r="A1754" s="1">
        <v>45394</v>
      </c>
      <c r="B1754" s="2" t="s">
        <v>11</v>
      </c>
      <c r="C1754" s="2" t="s">
        <v>17</v>
      </c>
      <c r="D1754" s="2" t="s">
        <v>13</v>
      </c>
      <c r="E1754">
        <v>63.27</v>
      </c>
      <c r="F1754">
        <v>22.82</v>
      </c>
      <c r="G1754">
        <v>1</v>
      </c>
      <c r="H1754">
        <f t="shared" si="27"/>
        <v>58562.910000000018</v>
      </c>
      <c r="I1754" t="str">
        <f>IF(Sheet1[[#This Row],[Month_Revenue]] &lt; AVERAGE(Sheet1[Month_Revenue]), "Off-Peak", "Peak")</f>
        <v>Peak</v>
      </c>
      <c r="J1754">
        <f xml:space="preserve"> IF(Sheet1[[#This Row],[Ad Spend]] &gt; 0, (Sheet1[[#This Row],[Profit]] / Sheet1[[#This Row],[Ad Spend]]), 0)</f>
        <v>1.7725679228746714</v>
      </c>
      <c r="K1754">
        <f>Sheet1[[#This Row],[Revenue]]-Sheet1[[#This Row],[Ad Spend]]</f>
        <v>40.450000000000003</v>
      </c>
      <c r="L1754" s="2" t="s">
        <v>22</v>
      </c>
      <c r="M1754">
        <v>4</v>
      </c>
      <c r="N1754" s="2" t="s">
        <v>19</v>
      </c>
      <c r="O1754">
        <v>63.27</v>
      </c>
    </row>
    <row r="1755" spans="1:15" x14ac:dyDescent="0.3">
      <c r="A1755" s="1">
        <v>45316</v>
      </c>
      <c r="B1755" s="2" t="s">
        <v>16</v>
      </c>
      <c r="C1755" s="2" t="s">
        <v>17</v>
      </c>
      <c r="D1755" s="2" t="s">
        <v>13</v>
      </c>
      <c r="E1755">
        <v>80.97</v>
      </c>
      <c r="F1755">
        <v>27.02</v>
      </c>
      <c r="G1755">
        <v>0</v>
      </c>
      <c r="H1755">
        <f t="shared" si="27"/>
        <v>61207.979999999989</v>
      </c>
      <c r="I1755" t="str">
        <f>IF(Sheet1[[#This Row],[Month_Revenue]] &lt; AVERAGE(Sheet1[Month_Revenue]), "Off-Peak", "Peak")</f>
        <v>Peak</v>
      </c>
      <c r="J1755">
        <f xml:space="preserve"> IF(Sheet1[[#This Row],[Ad Spend]] &gt; 0, (Sheet1[[#This Row],[Profit]] / Sheet1[[#This Row],[Ad Spend]]), 0)</f>
        <v>1.9966691339748337</v>
      </c>
      <c r="K1755">
        <f>Sheet1[[#This Row],[Revenue]]-Sheet1[[#This Row],[Ad Spend]]</f>
        <v>53.95</v>
      </c>
      <c r="L1755" s="2" t="s">
        <v>14</v>
      </c>
      <c r="M1755">
        <v>1</v>
      </c>
      <c r="N1755" s="2" t="s">
        <v>15</v>
      </c>
      <c r="O1755">
        <v>0</v>
      </c>
    </row>
    <row r="1756" spans="1:15" x14ac:dyDescent="0.3">
      <c r="A1756" s="1">
        <v>45379</v>
      </c>
      <c r="B1756" s="2" t="s">
        <v>20</v>
      </c>
      <c r="C1756" s="2" t="s">
        <v>12</v>
      </c>
      <c r="D1756" s="2" t="s">
        <v>13</v>
      </c>
      <c r="E1756">
        <v>150.97</v>
      </c>
      <c r="F1756">
        <v>31.31</v>
      </c>
      <c r="G1756">
        <v>2</v>
      </c>
      <c r="H1756">
        <f t="shared" si="27"/>
        <v>54735.250000000029</v>
      </c>
      <c r="I1756" t="str">
        <f>IF(Sheet1[[#This Row],[Month_Revenue]] &lt; AVERAGE(Sheet1[Month_Revenue]), "Off-Peak", "Peak")</f>
        <v>Off-Peak</v>
      </c>
      <c r="J1756">
        <f xml:space="preserve"> IF(Sheet1[[#This Row],[Ad Spend]] &gt; 0, (Sheet1[[#This Row],[Profit]] / Sheet1[[#This Row],[Ad Spend]]), 0)</f>
        <v>3.8217821782178216</v>
      </c>
      <c r="K1756">
        <f>Sheet1[[#This Row],[Revenue]]-Sheet1[[#This Row],[Ad Spend]]</f>
        <v>119.66</v>
      </c>
      <c r="L1756" s="2" t="s">
        <v>14</v>
      </c>
      <c r="M1756">
        <v>3</v>
      </c>
      <c r="N1756" s="2" t="s">
        <v>19</v>
      </c>
      <c r="O1756">
        <v>75.484999999999999</v>
      </c>
    </row>
    <row r="1757" spans="1:15" x14ac:dyDescent="0.3">
      <c r="A1757" s="1">
        <v>45302</v>
      </c>
      <c r="B1757" s="2" t="s">
        <v>23</v>
      </c>
      <c r="C1757" s="2" t="s">
        <v>12</v>
      </c>
      <c r="D1757" s="2" t="s">
        <v>13</v>
      </c>
      <c r="E1757">
        <v>111.98</v>
      </c>
      <c r="F1757">
        <v>36.19</v>
      </c>
      <c r="G1757">
        <v>2</v>
      </c>
      <c r="H1757">
        <f t="shared" si="27"/>
        <v>61207.979999999989</v>
      </c>
      <c r="I1757" t="str">
        <f>IF(Sheet1[[#This Row],[Month_Revenue]] &lt; AVERAGE(Sheet1[Month_Revenue]), "Off-Peak", "Peak")</f>
        <v>Peak</v>
      </c>
      <c r="J1757">
        <f xml:space="preserve"> IF(Sheet1[[#This Row],[Ad Spend]] &gt; 0, (Sheet1[[#This Row],[Profit]] / Sheet1[[#This Row],[Ad Spend]]), 0)</f>
        <v>2.0942249240121584</v>
      </c>
      <c r="K1757">
        <f>Sheet1[[#This Row],[Revenue]]-Sheet1[[#This Row],[Ad Spend]]</f>
        <v>75.790000000000006</v>
      </c>
      <c r="L1757" s="2" t="s">
        <v>22</v>
      </c>
      <c r="M1757">
        <v>1</v>
      </c>
      <c r="N1757" s="2" t="s">
        <v>15</v>
      </c>
      <c r="O1757">
        <v>55.99</v>
      </c>
    </row>
    <row r="1758" spans="1:15" x14ac:dyDescent="0.3">
      <c r="A1758" s="1">
        <v>45360</v>
      </c>
      <c r="B1758" s="2" t="s">
        <v>20</v>
      </c>
      <c r="C1758" s="2" t="s">
        <v>21</v>
      </c>
      <c r="D1758" s="2" t="s">
        <v>13</v>
      </c>
      <c r="E1758">
        <v>176.58</v>
      </c>
      <c r="F1758">
        <v>41.4</v>
      </c>
      <c r="G1758">
        <v>0</v>
      </c>
      <c r="H1758">
        <f t="shared" si="27"/>
        <v>54735.250000000029</v>
      </c>
      <c r="I1758" t="str">
        <f>IF(Sheet1[[#This Row],[Month_Revenue]] &lt; AVERAGE(Sheet1[Month_Revenue]), "Off-Peak", "Peak")</f>
        <v>Off-Peak</v>
      </c>
      <c r="J1758">
        <f xml:space="preserve"> IF(Sheet1[[#This Row],[Ad Spend]] &gt; 0, (Sheet1[[#This Row],[Profit]] / Sheet1[[#This Row],[Ad Spend]]), 0)</f>
        <v>3.2652173913043483</v>
      </c>
      <c r="K1758">
        <f>Sheet1[[#This Row],[Revenue]]-Sheet1[[#This Row],[Ad Spend]]</f>
        <v>135.18</v>
      </c>
      <c r="L1758" s="2" t="s">
        <v>14</v>
      </c>
      <c r="M1758">
        <v>3</v>
      </c>
      <c r="N1758" s="2" t="s">
        <v>19</v>
      </c>
      <c r="O1758">
        <v>0</v>
      </c>
    </row>
    <row r="1759" spans="1:15" x14ac:dyDescent="0.3">
      <c r="A1759" s="1">
        <v>45390</v>
      </c>
      <c r="B1759" s="2" t="s">
        <v>24</v>
      </c>
      <c r="C1759" s="2" t="s">
        <v>21</v>
      </c>
      <c r="D1759" s="2" t="s">
        <v>13</v>
      </c>
      <c r="E1759">
        <v>48.87</v>
      </c>
      <c r="F1759">
        <v>13.27</v>
      </c>
      <c r="G1759">
        <v>0</v>
      </c>
      <c r="H1759">
        <f t="shared" si="27"/>
        <v>58562.910000000018</v>
      </c>
      <c r="I1759" t="str">
        <f>IF(Sheet1[[#This Row],[Month_Revenue]] &lt; AVERAGE(Sheet1[Month_Revenue]), "Off-Peak", "Peak")</f>
        <v>Peak</v>
      </c>
      <c r="J1759">
        <f xml:space="preserve"> IF(Sheet1[[#This Row],[Ad Spend]] &gt; 0, (Sheet1[[#This Row],[Profit]] / Sheet1[[#This Row],[Ad Spend]]), 0)</f>
        <v>2.6827430293896004</v>
      </c>
      <c r="K1759">
        <f>Sheet1[[#This Row],[Revenue]]-Sheet1[[#This Row],[Ad Spend]]</f>
        <v>35.599999999999994</v>
      </c>
      <c r="L1759" s="2" t="s">
        <v>14</v>
      </c>
      <c r="M1759">
        <v>4</v>
      </c>
      <c r="N1759" s="2" t="s">
        <v>19</v>
      </c>
      <c r="O1759">
        <v>0</v>
      </c>
    </row>
    <row r="1760" spans="1:15" x14ac:dyDescent="0.3">
      <c r="A1760" s="1">
        <v>45321</v>
      </c>
      <c r="B1760" s="2" t="s">
        <v>23</v>
      </c>
      <c r="C1760" s="2" t="s">
        <v>17</v>
      </c>
      <c r="D1760" s="2" t="s">
        <v>13</v>
      </c>
      <c r="E1760">
        <v>86.37</v>
      </c>
      <c r="F1760">
        <v>17.739999999999998</v>
      </c>
      <c r="G1760">
        <v>0</v>
      </c>
      <c r="H1760">
        <f t="shared" si="27"/>
        <v>61207.979999999989</v>
      </c>
      <c r="I1760" t="str">
        <f>IF(Sheet1[[#This Row],[Month_Revenue]] &lt; AVERAGE(Sheet1[Month_Revenue]), "Off-Peak", "Peak")</f>
        <v>Peak</v>
      </c>
      <c r="J1760">
        <f xml:space="preserve"> IF(Sheet1[[#This Row],[Ad Spend]] &gt; 0, (Sheet1[[#This Row],[Profit]] / Sheet1[[#This Row],[Ad Spend]]), 0)</f>
        <v>3.8686583990980843</v>
      </c>
      <c r="K1760">
        <f>Sheet1[[#This Row],[Revenue]]-Sheet1[[#This Row],[Ad Spend]]</f>
        <v>68.63000000000001</v>
      </c>
      <c r="L1760" s="2" t="s">
        <v>22</v>
      </c>
      <c r="M1760">
        <v>1</v>
      </c>
      <c r="N1760" s="2" t="s">
        <v>15</v>
      </c>
      <c r="O1760">
        <v>0</v>
      </c>
    </row>
    <row r="1761" spans="1:15" x14ac:dyDescent="0.3">
      <c r="A1761" s="1">
        <v>45404</v>
      </c>
      <c r="B1761" s="2" t="s">
        <v>16</v>
      </c>
      <c r="C1761" s="2" t="s">
        <v>17</v>
      </c>
      <c r="D1761" s="2" t="s">
        <v>18</v>
      </c>
      <c r="E1761">
        <v>111.04</v>
      </c>
      <c r="F1761">
        <v>13.47</v>
      </c>
      <c r="G1761">
        <v>2</v>
      </c>
      <c r="H1761">
        <f t="shared" si="27"/>
        <v>58562.910000000018</v>
      </c>
      <c r="I1761" t="str">
        <f>IF(Sheet1[[#This Row],[Month_Revenue]] &lt; AVERAGE(Sheet1[Month_Revenue]), "Off-Peak", "Peak")</f>
        <v>Peak</v>
      </c>
      <c r="J1761">
        <f xml:space="preserve"> IF(Sheet1[[#This Row],[Ad Spend]] &gt; 0, (Sheet1[[#This Row],[Profit]] / Sheet1[[#This Row],[Ad Spend]]), 0)</f>
        <v>7.2435040831477355</v>
      </c>
      <c r="K1761">
        <f>Sheet1[[#This Row],[Revenue]]-Sheet1[[#This Row],[Ad Spend]]</f>
        <v>97.570000000000007</v>
      </c>
      <c r="L1761" s="2" t="s">
        <v>22</v>
      </c>
      <c r="M1761">
        <v>4</v>
      </c>
      <c r="N1761" s="2" t="s">
        <v>19</v>
      </c>
      <c r="O1761">
        <v>55.52</v>
      </c>
    </row>
    <row r="1762" spans="1:15" x14ac:dyDescent="0.3">
      <c r="A1762" s="1">
        <v>45323</v>
      </c>
      <c r="B1762" s="2" t="s">
        <v>24</v>
      </c>
      <c r="C1762" s="2" t="s">
        <v>21</v>
      </c>
      <c r="D1762" s="2" t="s">
        <v>18</v>
      </c>
      <c r="E1762">
        <v>180.45</v>
      </c>
      <c r="F1762">
        <v>17.87</v>
      </c>
      <c r="G1762">
        <v>1</v>
      </c>
      <c r="H1762">
        <f t="shared" si="27"/>
        <v>48675.899999999936</v>
      </c>
      <c r="I1762" t="str">
        <f>IF(Sheet1[[#This Row],[Month_Revenue]] &lt; AVERAGE(Sheet1[Month_Revenue]), "Off-Peak", "Peak")</f>
        <v>Off-Peak</v>
      </c>
      <c r="J1762">
        <f xml:space="preserve"> IF(Sheet1[[#This Row],[Ad Spend]] &gt; 0, (Sheet1[[#This Row],[Profit]] / Sheet1[[#This Row],[Ad Spend]]), 0)</f>
        <v>9.0979294907666475</v>
      </c>
      <c r="K1762">
        <f>Sheet1[[#This Row],[Revenue]]-Sheet1[[#This Row],[Ad Spend]]</f>
        <v>162.57999999999998</v>
      </c>
      <c r="L1762" s="2" t="s">
        <v>14</v>
      </c>
      <c r="M1762">
        <v>2</v>
      </c>
      <c r="N1762" s="2" t="s">
        <v>15</v>
      </c>
      <c r="O1762">
        <v>180.45</v>
      </c>
    </row>
    <row r="1763" spans="1:15" x14ac:dyDescent="0.3">
      <c r="A1763" s="1">
        <v>45365</v>
      </c>
      <c r="B1763" s="2" t="s">
        <v>11</v>
      </c>
      <c r="C1763" s="2" t="s">
        <v>17</v>
      </c>
      <c r="D1763" s="2" t="s">
        <v>13</v>
      </c>
      <c r="E1763">
        <v>84.34</v>
      </c>
      <c r="F1763">
        <v>21.56</v>
      </c>
      <c r="G1763">
        <v>1</v>
      </c>
      <c r="H1763">
        <f t="shared" si="27"/>
        <v>54735.250000000029</v>
      </c>
      <c r="I1763" t="str">
        <f>IF(Sheet1[[#This Row],[Month_Revenue]] &lt; AVERAGE(Sheet1[Month_Revenue]), "Off-Peak", "Peak")</f>
        <v>Off-Peak</v>
      </c>
      <c r="J1763">
        <f xml:space="preserve"> IF(Sheet1[[#This Row],[Ad Spend]] &gt; 0, (Sheet1[[#This Row],[Profit]] / Sheet1[[#This Row],[Ad Spend]]), 0)</f>
        <v>2.9118738404452693</v>
      </c>
      <c r="K1763">
        <f>Sheet1[[#This Row],[Revenue]]-Sheet1[[#This Row],[Ad Spend]]</f>
        <v>62.78</v>
      </c>
      <c r="L1763" s="2" t="s">
        <v>22</v>
      </c>
      <c r="M1763">
        <v>3</v>
      </c>
      <c r="N1763" s="2" t="s">
        <v>19</v>
      </c>
      <c r="O1763">
        <v>84.34</v>
      </c>
    </row>
    <row r="1764" spans="1:15" x14ac:dyDescent="0.3">
      <c r="A1764" s="1">
        <v>45358</v>
      </c>
      <c r="B1764" s="2" t="s">
        <v>11</v>
      </c>
      <c r="C1764" s="2" t="s">
        <v>21</v>
      </c>
      <c r="D1764" s="2" t="s">
        <v>18</v>
      </c>
      <c r="E1764">
        <v>26.02</v>
      </c>
      <c r="F1764">
        <v>21.06</v>
      </c>
      <c r="G1764">
        <v>2</v>
      </c>
      <c r="H1764">
        <f t="shared" si="27"/>
        <v>54735.250000000029</v>
      </c>
      <c r="I1764" t="str">
        <f>IF(Sheet1[[#This Row],[Month_Revenue]] &lt; AVERAGE(Sheet1[Month_Revenue]), "Off-Peak", "Peak")</f>
        <v>Off-Peak</v>
      </c>
      <c r="J1764">
        <f xml:space="preserve"> IF(Sheet1[[#This Row],[Ad Spend]] &gt; 0, (Sheet1[[#This Row],[Profit]] / Sheet1[[#This Row],[Ad Spend]]), 0)</f>
        <v>0.23551756885090225</v>
      </c>
      <c r="K1764">
        <f>Sheet1[[#This Row],[Revenue]]-Sheet1[[#This Row],[Ad Spend]]</f>
        <v>4.9600000000000009</v>
      </c>
      <c r="L1764" s="2" t="s">
        <v>14</v>
      </c>
      <c r="M1764">
        <v>3</v>
      </c>
      <c r="N1764" s="2" t="s">
        <v>19</v>
      </c>
      <c r="O1764">
        <v>13.01</v>
      </c>
    </row>
    <row r="1765" spans="1:15" x14ac:dyDescent="0.3">
      <c r="A1765" s="1">
        <v>45340</v>
      </c>
      <c r="B1765" s="2" t="s">
        <v>24</v>
      </c>
      <c r="C1765" s="2" t="s">
        <v>12</v>
      </c>
      <c r="D1765" s="2" t="s">
        <v>18</v>
      </c>
      <c r="E1765">
        <v>124.04</v>
      </c>
      <c r="F1765">
        <v>8.24</v>
      </c>
      <c r="G1765">
        <v>1</v>
      </c>
      <c r="H1765">
        <f t="shared" si="27"/>
        <v>48675.899999999936</v>
      </c>
      <c r="I1765" t="str">
        <f>IF(Sheet1[[#This Row],[Month_Revenue]] &lt; AVERAGE(Sheet1[Month_Revenue]), "Off-Peak", "Peak")</f>
        <v>Off-Peak</v>
      </c>
      <c r="J1765">
        <f xml:space="preserve"> IF(Sheet1[[#This Row],[Ad Spend]] &gt; 0, (Sheet1[[#This Row],[Profit]] / Sheet1[[#This Row],[Ad Spend]]), 0)</f>
        <v>14.053398058252428</v>
      </c>
      <c r="K1765">
        <f>Sheet1[[#This Row],[Revenue]]-Sheet1[[#This Row],[Ad Spend]]</f>
        <v>115.80000000000001</v>
      </c>
      <c r="L1765" s="2" t="s">
        <v>14</v>
      </c>
      <c r="M1765">
        <v>2</v>
      </c>
      <c r="N1765" s="2" t="s">
        <v>15</v>
      </c>
      <c r="O1765">
        <v>124.04</v>
      </c>
    </row>
    <row r="1766" spans="1:15" x14ac:dyDescent="0.3">
      <c r="A1766" s="1">
        <v>45353</v>
      </c>
      <c r="B1766" s="2" t="s">
        <v>24</v>
      </c>
      <c r="C1766" s="2" t="s">
        <v>12</v>
      </c>
      <c r="D1766" s="2" t="s">
        <v>18</v>
      </c>
      <c r="E1766">
        <v>114.5</v>
      </c>
      <c r="F1766">
        <v>19.43</v>
      </c>
      <c r="G1766">
        <v>0</v>
      </c>
      <c r="H1766">
        <f t="shared" si="27"/>
        <v>54735.250000000029</v>
      </c>
      <c r="I1766" t="str">
        <f>IF(Sheet1[[#This Row],[Month_Revenue]] &lt; AVERAGE(Sheet1[Month_Revenue]), "Off-Peak", "Peak")</f>
        <v>Off-Peak</v>
      </c>
      <c r="J1766">
        <f xml:space="preserve"> IF(Sheet1[[#This Row],[Ad Spend]] &gt; 0, (Sheet1[[#This Row],[Profit]] / Sheet1[[#This Row],[Ad Spend]]), 0)</f>
        <v>4.8929490478641275</v>
      </c>
      <c r="K1766">
        <f>Sheet1[[#This Row],[Revenue]]-Sheet1[[#This Row],[Ad Spend]]</f>
        <v>95.07</v>
      </c>
      <c r="L1766" s="2" t="s">
        <v>14</v>
      </c>
      <c r="M1766">
        <v>3</v>
      </c>
      <c r="N1766" s="2" t="s">
        <v>19</v>
      </c>
      <c r="O1766">
        <v>0</v>
      </c>
    </row>
    <row r="1767" spans="1:15" x14ac:dyDescent="0.3">
      <c r="A1767" s="1">
        <v>45381</v>
      </c>
      <c r="B1767" s="2" t="s">
        <v>20</v>
      </c>
      <c r="C1767" s="2" t="s">
        <v>12</v>
      </c>
      <c r="D1767" s="2" t="s">
        <v>18</v>
      </c>
      <c r="E1767">
        <v>106.33</v>
      </c>
      <c r="F1767">
        <v>45.65</v>
      </c>
      <c r="G1767">
        <v>2</v>
      </c>
      <c r="H1767">
        <f t="shared" si="27"/>
        <v>54735.250000000029</v>
      </c>
      <c r="I1767" t="str">
        <f>IF(Sheet1[[#This Row],[Month_Revenue]] &lt; AVERAGE(Sheet1[Month_Revenue]), "Off-Peak", "Peak")</f>
        <v>Off-Peak</v>
      </c>
      <c r="J1767">
        <f xml:space="preserve"> IF(Sheet1[[#This Row],[Ad Spend]] &gt; 0, (Sheet1[[#This Row],[Profit]] / Sheet1[[#This Row],[Ad Spend]]), 0)</f>
        <v>1.3292442497261774</v>
      </c>
      <c r="K1767">
        <f>Sheet1[[#This Row],[Revenue]]-Sheet1[[#This Row],[Ad Spend]]</f>
        <v>60.68</v>
      </c>
      <c r="L1767" s="2" t="s">
        <v>22</v>
      </c>
      <c r="M1767">
        <v>3</v>
      </c>
      <c r="N1767" s="2" t="s">
        <v>19</v>
      </c>
      <c r="O1767">
        <v>53.164999999999999</v>
      </c>
    </row>
    <row r="1768" spans="1:15" x14ac:dyDescent="0.3">
      <c r="A1768" s="1">
        <v>45338</v>
      </c>
      <c r="B1768" s="2" t="s">
        <v>20</v>
      </c>
      <c r="C1768" s="2" t="s">
        <v>17</v>
      </c>
      <c r="D1768" s="2" t="s">
        <v>18</v>
      </c>
      <c r="E1768">
        <v>188.54</v>
      </c>
      <c r="F1768">
        <v>26.27</v>
      </c>
      <c r="G1768">
        <v>1</v>
      </c>
      <c r="H1768">
        <f t="shared" si="27"/>
        <v>48675.899999999936</v>
      </c>
      <c r="I1768" t="str">
        <f>IF(Sheet1[[#This Row],[Month_Revenue]] &lt; AVERAGE(Sheet1[Month_Revenue]), "Off-Peak", "Peak")</f>
        <v>Off-Peak</v>
      </c>
      <c r="J1768">
        <f xml:space="preserve"> IF(Sheet1[[#This Row],[Ad Spend]] &gt; 0, (Sheet1[[#This Row],[Profit]] / Sheet1[[#This Row],[Ad Spend]]), 0)</f>
        <v>6.1770079939094016</v>
      </c>
      <c r="K1768">
        <f>Sheet1[[#This Row],[Revenue]]-Sheet1[[#This Row],[Ad Spend]]</f>
        <v>162.26999999999998</v>
      </c>
      <c r="L1768" s="2" t="s">
        <v>22</v>
      </c>
      <c r="M1768">
        <v>2</v>
      </c>
      <c r="N1768" s="2" t="s">
        <v>15</v>
      </c>
      <c r="O1768">
        <v>188.54</v>
      </c>
    </row>
    <row r="1769" spans="1:15" x14ac:dyDescent="0.3">
      <c r="A1769" s="1">
        <v>45354</v>
      </c>
      <c r="B1769" s="2" t="s">
        <v>20</v>
      </c>
      <c r="C1769" s="2" t="s">
        <v>12</v>
      </c>
      <c r="D1769" s="2" t="s">
        <v>13</v>
      </c>
      <c r="E1769">
        <v>70.430000000000007</v>
      </c>
      <c r="F1769">
        <v>48.2</v>
      </c>
      <c r="G1769">
        <v>0</v>
      </c>
      <c r="H1769">
        <f t="shared" si="27"/>
        <v>54735.250000000029</v>
      </c>
      <c r="I1769" t="str">
        <f>IF(Sheet1[[#This Row],[Month_Revenue]] &lt; AVERAGE(Sheet1[Month_Revenue]), "Off-Peak", "Peak")</f>
        <v>Off-Peak</v>
      </c>
      <c r="J1769">
        <f xml:space="preserve"> IF(Sheet1[[#This Row],[Ad Spend]] &gt; 0, (Sheet1[[#This Row],[Profit]] / Sheet1[[#This Row],[Ad Spend]]), 0)</f>
        <v>0.46120331950207477</v>
      </c>
      <c r="K1769">
        <f>Sheet1[[#This Row],[Revenue]]-Sheet1[[#This Row],[Ad Spend]]</f>
        <v>22.230000000000004</v>
      </c>
      <c r="L1769" s="2" t="s">
        <v>22</v>
      </c>
      <c r="M1769">
        <v>3</v>
      </c>
      <c r="N1769" s="2" t="s">
        <v>19</v>
      </c>
      <c r="O1769">
        <v>0</v>
      </c>
    </row>
    <row r="1770" spans="1:15" x14ac:dyDescent="0.3">
      <c r="A1770" s="1">
        <v>45303</v>
      </c>
      <c r="B1770" s="2" t="s">
        <v>20</v>
      </c>
      <c r="C1770" s="2" t="s">
        <v>12</v>
      </c>
      <c r="D1770" s="2" t="s">
        <v>18</v>
      </c>
      <c r="E1770">
        <v>47.86</v>
      </c>
      <c r="F1770">
        <v>46.48</v>
      </c>
      <c r="G1770">
        <v>3</v>
      </c>
      <c r="H1770">
        <f t="shared" si="27"/>
        <v>61207.979999999989</v>
      </c>
      <c r="I1770" t="str">
        <f>IF(Sheet1[[#This Row],[Month_Revenue]] &lt; AVERAGE(Sheet1[Month_Revenue]), "Off-Peak", "Peak")</f>
        <v>Peak</v>
      </c>
      <c r="J1770">
        <f xml:space="preserve"> IF(Sheet1[[#This Row],[Ad Spend]] &gt; 0, (Sheet1[[#This Row],[Profit]] / Sheet1[[#This Row],[Ad Spend]]), 0)</f>
        <v>2.9690189328743604E-2</v>
      </c>
      <c r="K1770">
        <f>Sheet1[[#This Row],[Revenue]]-Sheet1[[#This Row],[Ad Spend]]</f>
        <v>1.3800000000000026</v>
      </c>
      <c r="L1770" s="2" t="s">
        <v>14</v>
      </c>
      <c r="M1770">
        <v>1</v>
      </c>
      <c r="N1770" s="2" t="s">
        <v>15</v>
      </c>
      <c r="O1770">
        <v>15.953333333333333</v>
      </c>
    </row>
    <row r="1771" spans="1:15" x14ac:dyDescent="0.3">
      <c r="A1771" s="1">
        <v>45300</v>
      </c>
      <c r="B1771" s="2" t="s">
        <v>20</v>
      </c>
      <c r="C1771" s="2" t="s">
        <v>21</v>
      </c>
      <c r="D1771" s="2" t="s">
        <v>18</v>
      </c>
      <c r="E1771">
        <v>91.68</v>
      </c>
      <c r="F1771">
        <v>18.73</v>
      </c>
      <c r="G1771">
        <v>1</v>
      </c>
      <c r="H1771">
        <f t="shared" si="27"/>
        <v>61207.979999999989</v>
      </c>
      <c r="I1771" t="str">
        <f>IF(Sheet1[[#This Row],[Month_Revenue]] &lt; AVERAGE(Sheet1[Month_Revenue]), "Off-Peak", "Peak")</f>
        <v>Peak</v>
      </c>
      <c r="J1771">
        <f xml:space="preserve"> IF(Sheet1[[#This Row],[Ad Spend]] &gt; 0, (Sheet1[[#This Row],[Profit]] / Sheet1[[#This Row],[Ad Spend]]), 0)</f>
        <v>3.8948211425520558</v>
      </c>
      <c r="K1771">
        <f>Sheet1[[#This Row],[Revenue]]-Sheet1[[#This Row],[Ad Spend]]</f>
        <v>72.95</v>
      </c>
      <c r="L1771" s="2" t="s">
        <v>22</v>
      </c>
      <c r="M1771">
        <v>1</v>
      </c>
      <c r="N1771" s="2" t="s">
        <v>15</v>
      </c>
      <c r="O1771">
        <v>91.68</v>
      </c>
    </row>
    <row r="1772" spans="1:15" x14ac:dyDescent="0.3">
      <c r="A1772" s="1">
        <v>45316</v>
      </c>
      <c r="B1772" s="2" t="s">
        <v>24</v>
      </c>
      <c r="C1772" s="2" t="s">
        <v>17</v>
      </c>
      <c r="D1772" s="2" t="s">
        <v>13</v>
      </c>
      <c r="E1772">
        <v>120.69</v>
      </c>
      <c r="F1772">
        <v>22.87</v>
      </c>
      <c r="G1772">
        <v>0</v>
      </c>
      <c r="H1772">
        <f t="shared" si="27"/>
        <v>61207.979999999989</v>
      </c>
      <c r="I1772" t="str">
        <f>IF(Sheet1[[#This Row],[Month_Revenue]] &lt; AVERAGE(Sheet1[Month_Revenue]), "Off-Peak", "Peak")</f>
        <v>Peak</v>
      </c>
      <c r="J1772">
        <f xml:space="preserve"> IF(Sheet1[[#This Row],[Ad Spend]] &gt; 0, (Sheet1[[#This Row],[Profit]] / Sheet1[[#This Row],[Ad Spend]]), 0)</f>
        <v>4.2772190642763439</v>
      </c>
      <c r="K1772">
        <f>Sheet1[[#This Row],[Revenue]]-Sheet1[[#This Row],[Ad Spend]]</f>
        <v>97.82</v>
      </c>
      <c r="L1772" s="2" t="s">
        <v>22</v>
      </c>
      <c r="M1772">
        <v>1</v>
      </c>
      <c r="N1772" s="2" t="s">
        <v>15</v>
      </c>
      <c r="O1772">
        <v>0</v>
      </c>
    </row>
    <row r="1773" spans="1:15" x14ac:dyDescent="0.3">
      <c r="A1773" s="1">
        <v>45390</v>
      </c>
      <c r="B1773" s="2" t="s">
        <v>16</v>
      </c>
      <c r="C1773" s="2" t="s">
        <v>12</v>
      </c>
      <c r="D1773" s="2" t="s">
        <v>13</v>
      </c>
      <c r="E1773">
        <v>92.77</v>
      </c>
      <c r="F1773">
        <v>9.89</v>
      </c>
      <c r="G1773">
        <v>3</v>
      </c>
      <c r="H1773">
        <f t="shared" si="27"/>
        <v>58562.910000000018</v>
      </c>
      <c r="I1773" t="str">
        <f>IF(Sheet1[[#This Row],[Month_Revenue]] &lt; AVERAGE(Sheet1[Month_Revenue]), "Off-Peak", "Peak")</f>
        <v>Peak</v>
      </c>
      <c r="J1773">
        <f xml:space="preserve"> IF(Sheet1[[#This Row],[Ad Spend]] &gt; 0, (Sheet1[[#This Row],[Profit]] / Sheet1[[#This Row],[Ad Spend]]), 0)</f>
        <v>8.3801820020222433</v>
      </c>
      <c r="K1773">
        <f>Sheet1[[#This Row],[Revenue]]-Sheet1[[#This Row],[Ad Spend]]</f>
        <v>82.88</v>
      </c>
      <c r="L1773" s="2" t="s">
        <v>22</v>
      </c>
      <c r="M1773">
        <v>4</v>
      </c>
      <c r="N1773" s="2" t="s">
        <v>19</v>
      </c>
      <c r="O1773">
        <v>30.923333333333332</v>
      </c>
    </row>
    <row r="1774" spans="1:15" x14ac:dyDescent="0.3">
      <c r="A1774" s="1">
        <v>45309</v>
      </c>
      <c r="B1774" s="2" t="s">
        <v>16</v>
      </c>
      <c r="C1774" s="2" t="s">
        <v>21</v>
      </c>
      <c r="D1774" s="2" t="s">
        <v>13</v>
      </c>
      <c r="E1774">
        <v>101.83</v>
      </c>
      <c r="F1774">
        <v>30.11</v>
      </c>
      <c r="G1774">
        <v>2</v>
      </c>
      <c r="H1774">
        <f t="shared" si="27"/>
        <v>61207.979999999989</v>
      </c>
      <c r="I1774" t="str">
        <f>IF(Sheet1[[#This Row],[Month_Revenue]] &lt; AVERAGE(Sheet1[Month_Revenue]), "Off-Peak", "Peak")</f>
        <v>Peak</v>
      </c>
      <c r="J1774">
        <f xml:space="preserve"> IF(Sheet1[[#This Row],[Ad Spend]] &gt; 0, (Sheet1[[#This Row],[Profit]] / Sheet1[[#This Row],[Ad Spend]]), 0)</f>
        <v>2.3819329126536033</v>
      </c>
      <c r="K1774">
        <f>Sheet1[[#This Row],[Revenue]]-Sheet1[[#This Row],[Ad Spend]]</f>
        <v>71.72</v>
      </c>
      <c r="L1774" s="2" t="s">
        <v>14</v>
      </c>
      <c r="M1774">
        <v>1</v>
      </c>
      <c r="N1774" s="2" t="s">
        <v>15</v>
      </c>
      <c r="O1774">
        <v>50.914999999999999</v>
      </c>
    </row>
    <row r="1775" spans="1:15" x14ac:dyDescent="0.3">
      <c r="A1775" s="1">
        <v>45384</v>
      </c>
      <c r="B1775" s="2" t="s">
        <v>20</v>
      </c>
      <c r="C1775" s="2" t="s">
        <v>12</v>
      </c>
      <c r="D1775" s="2" t="s">
        <v>18</v>
      </c>
      <c r="E1775">
        <v>47.5</v>
      </c>
      <c r="F1775">
        <v>24.76</v>
      </c>
      <c r="G1775">
        <v>2</v>
      </c>
      <c r="H1775">
        <f t="shared" si="27"/>
        <v>58562.910000000018</v>
      </c>
      <c r="I1775" t="str">
        <f>IF(Sheet1[[#This Row],[Month_Revenue]] &lt; AVERAGE(Sheet1[Month_Revenue]), "Off-Peak", "Peak")</f>
        <v>Peak</v>
      </c>
      <c r="J1775">
        <f xml:space="preserve"> IF(Sheet1[[#This Row],[Ad Spend]] &gt; 0, (Sheet1[[#This Row],[Profit]] / Sheet1[[#This Row],[Ad Spend]]), 0)</f>
        <v>0.91841680129240699</v>
      </c>
      <c r="K1775">
        <f>Sheet1[[#This Row],[Revenue]]-Sheet1[[#This Row],[Ad Spend]]</f>
        <v>22.74</v>
      </c>
      <c r="L1775" s="2" t="s">
        <v>14</v>
      </c>
      <c r="M1775">
        <v>4</v>
      </c>
      <c r="N1775" s="2" t="s">
        <v>19</v>
      </c>
      <c r="O1775">
        <v>23.75</v>
      </c>
    </row>
    <row r="1776" spans="1:15" x14ac:dyDescent="0.3">
      <c r="A1776" s="1">
        <v>45318</v>
      </c>
      <c r="B1776" s="2" t="s">
        <v>20</v>
      </c>
      <c r="C1776" s="2" t="s">
        <v>21</v>
      </c>
      <c r="D1776" s="2" t="s">
        <v>18</v>
      </c>
      <c r="E1776">
        <v>48.5</v>
      </c>
      <c r="F1776">
        <v>6.69</v>
      </c>
      <c r="G1776">
        <v>2</v>
      </c>
      <c r="H1776">
        <f t="shared" si="27"/>
        <v>61207.979999999989</v>
      </c>
      <c r="I1776" t="str">
        <f>IF(Sheet1[[#This Row],[Month_Revenue]] &lt; AVERAGE(Sheet1[Month_Revenue]), "Off-Peak", "Peak")</f>
        <v>Peak</v>
      </c>
      <c r="J1776">
        <f xml:space="preserve"> IF(Sheet1[[#This Row],[Ad Spend]] &gt; 0, (Sheet1[[#This Row],[Profit]] / Sheet1[[#This Row],[Ad Spend]]), 0)</f>
        <v>6.2496263079222718</v>
      </c>
      <c r="K1776">
        <f>Sheet1[[#This Row],[Revenue]]-Sheet1[[#This Row],[Ad Spend]]</f>
        <v>41.81</v>
      </c>
      <c r="L1776" s="2" t="s">
        <v>14</v>
      </c>
      <c r="M1776">
        <v>1</v>
      </c>
      <c r="N1776" s="2" t="s">
        <v>15</v>
      </c>
      <c r="O1776">
        <v>24.25</v>
      </c>
    </row>
    <row r="1777" spans="1:15" x14ac:dyDescent="0.3">
      <c r="A1777" s="1">
        <v>45320</v>
      </c>
      <c r="B1777" s="2" t="s">
        <v>11</v>
      </c>
      <c r="C1777" s="2" t="s">
        <v>21</v>
      </c>
      <c r="D1777" s="2" t="s">
        <v>18</v>
      </c>
      <c r="E1777">
        <v>192.02</v>
      </c>
      <c r="F1777">
        <v>31.13</v>
      </c>
      <c r="G1777">
        <v>2</v>
      </c>
      <c r="H1777">
        <f t="shared" si="27"/>
        <v>61207.979999999989</v>
      </c>
      <c r="I1777" t="str">
        <f>IF(Sheet1[[#This Row],[Month_Revenue]] &lt; AVERAGE(Sheet1[Month_Revenue]), "Off-Peak", "Peak")</f>
        <v>Peak</v>
      </c>
      <c r="J1777">
        <f xml:space="preserve"> IF(Sheet1[[#This Row],[Ad Spend]] &gt; 0, (Sheet1[[#This Row],[Profit]] / Sheet1[[#This Row],[Ad Spend]]), 0)</f>
        <v>5.16832637327337</v>
      </c>
      <c r="K1777">
        <f>Sheet1[[#This Row],[Revenue]]-Sheet1[[#This Row],[Ad Spend]]</f>
        <v>160.89000000000001</v>
      </c>
      <c r="L1777" s="2" t="s">
        <v>22</v>
      </c>
      <c r="M1777">
        <v>1</v>
      </c>
      <c r="N1777" s="2" t="s">
        <v>15</v>
      </c>
      <c r="O1777">
        <v>96.01</v>
      </c>
    </row>
    <row r="1778" spans="1:15" x14ac:dyDescent="0.3">
      <c r="A1778" s="1">
        <v>45400</v>
      </c>
      <c r="B1778" s="2" t="s">
        <v>20</v>
      </c>
      <c r="C1778" s="2" t="s">
        <v>21</v>
      </c>
      <c r="D1778" s="2" t="s">
        <v>18</v>
      </c>
      <c r="E1778">
        <v>23.26</v>
      </c>
      <c r="F1778">
        <v>48.12</v>
      </c>
      <c r="G1778">
        <v>1</v>
      </c>
      <c r="H1778">
        <f t="shared" si="27"/>
        <v>58562.910000000018</v>
      </c>
      <c r="I1778" t="str">
        <f>IF(Sheet1[[#This Row],[Month_Revenue]] &lt; AVERAGE(Sheet1[Month_Revenue]), "Off-Peak", "Peak")</f>
        <v>Peak</v>
      </c>
      <c r="J1778">
        <f xml:space="preserve"> IF(Sheet1[[#This Row],[Ad Spend]] &gt; 0, (Sheet1[[#This Row],[Profit]] / Sheet1[[#This Row],[Ad Spend]]), 0)</f>
        <v>-0.51662510390689931</v>
      </c>
      <c r="K1778">
        <f>Sheet1[[#This Row],[Revenue]]-Sheet1[[#This Row],[Ad Spend]]</f>
        <v>-24.859999999999996</v>
      </c>
      <c r="L1778" s="2" t="s">
        <v>14</v>
      </c>
      <c r="M1778">
        <v>4</v>
      </c>
      <c r="N1778" s="2" t="s">
        <v>19</v>
      </c>
      <c r="O1778">
        <v>23.26</v>
      </c>
    </row>
    <row r="1779" spans="1:15" x14ac:dyDescent="0.3">
      <c r="A1779" s="1">
        <v>45300</v>
      </c>
      <c r="B1779" s="2" t="s">
        <v>23</v>
      </c>
      <c r="C1779" s="2" t="s">
        <v>17</v>
      </c>
      <c r="D1779" s="2" t="s">
        <v>18</v>
      </c>
      <c r="E1779">
        <v>112.97</v>
      </c>
      <c r="F1779">
        <v>16.39</v>
      </c>
      <c r="G1779">
        <v>1</v>
      </c>
      <c r="H1779">
        <f t="shared" si="27"/>
        <v>61207.979999999989</v>
      </c>
      <c r="I1779" t="str">
        <f>IF(Sheet1[[#This Row],[Month_Revenue]] &lt; AVERAGE(Sheet1[Month_Revenue]), "Off-Peak", "Peak")</f>
        <v>Peak</v>
      </c>
      <c r="J1779">
        <f xml:space="preserve"> IF(Sheet1[[#This Row],[Ad Spend]] &gt; 0, (Sheet1[[#This Row],[Profit]] / Sheet1[[#This Row],[Ad Spend]]), 0)</f>
        <v>5.8926174496644288</v>
      </c>
      <c r="K1779">
        <f>Sheet1[[#This Row],[Revenue]]-Sheet1[[#This Row],[Ad Spend]]</f>
        <v>96.58</v>
      </c>
      <c r="L1779" s="2" t="s">
        <v>22</v>
      </c>
      <c r="M1779">
        <v>1</v>
      </c>
      <c r="N1779" s="2" t="s">
        <v>15</v>
      </c>
      <c r="O1779">
        <v>112.97</v>
      </c>
    </row>
    <row r="1780" spans="1:15" x14ac:dyDescent="0.3">
      <c r="A1780" s="1">
        <v>45410</v>
      </c>
      <c r="B1780" s="2" t="s">
        <v>16</v>
      </c>
      <c r="C1780" s="2" t="s">
        <v>17</v>
      </c>
      <c r="D1780" s="2" t="s">
        <v>18</v>
      </c>
      <c r="E1780">
        <v>87.56</v>
      </c>
      <c r="F1780">
        <v>44.51</v>
      </c>
      <c r="G1780">
        <v>0</v>
      </c>
      <c r="H1780">
        <f t="shared" si="27"/>
        <v>58562.910000000018</v>
      </c>
      <c r="I1780" t="str">
        <f>IF(Sheet1[[#This Row],[Month_Revenue]] &lt; AVERAGE(Sheet1[Month_Revenue]), "Off-Peak", "Peak")</f>
        <v>Peak</v>
      </c>
      <c r="J1780">
        <f xml:space="preserve"> IF(Sheet1[[#This Row],[Ad Spend]] &gt; 0, (Sheet1[[#This Row],[Profit]] / Sheet1[[#This Row],[Ad Spend]]), 0)</f>
        <v>0.96719838238598077</v>
      </c>
      <c r="K1780">
        <f>Sheet1[[#This Row],[Revenue]]-Sheet1[[#This Row],[Ad Spend]]</f>
        <v>43.050000000000004</v>
      </c>
      <c r="L1780" s="2" t="s">
        <v>22</v>
      </c>
      <c r="M1780">
        <v>4</v>
      </c>
      <c r="N1780" s="2" t="s">
        <v>19</v>
      </c>
      <c r="O1780">
        <v>0</v>
      </c>
    </row>
    <row r="1781" spans="1:15" x14ac:dyDescent="0.3">
      <c r="A1781" s="1">
        <v>45393</v>
      </c>
      <c r="B1781" s="2" t="s">
        <v>11</v>
      </c>
      <c r="C1781" s="2" t="s">
        <v>12</v>
      </c>
      <c r="D1781" s="2" t="s">
        <v>18</v>
      </c>
      <c r="E1781">
        <v>110.83</v>
      </c>
      <c r="F1781">
        <v>24.63</v>
      </c>
      <c r="G1781">
        <v>1</v>
      </c>
      <c r="H1781">
        <f t="shared" si="27"/>
        <v>58562.910000000018</v>
      </c>
      <c r="I1781" t="str">
        <f>IF(Sheet1[[#This Row],[Month_Revenue]] &lt; AVERAGE(Sheet1[Month_Revenue]), "Off-Peak", "Peak")</f>
        <v>Peak</v>
      </c>
      <c r="J1781">
        <f xml:space="preserve"> IF(Sheet1[[#This Row],[Ad Spend]] &gt; 0, (Sheet1[[#This Row],[Profit]] / Sheet1[[#This Row],[Ad Spend]]), 0)</f>
        <v>3.4997969955339019</v>
      </c>
      <c r="K1781">
        <f>Sheet1[[#This Row],[Revenue]]-Sheet1[[#This Row],[Ad Spend]]</f>
        <v>86.2</v>
      </c>
      <c r="L1781" s="2" t="s">
        <v>14</v>
      </c>
      <c r="M1781">
        <v>4</v>
      </c>
      <c r="N1781" s="2" t="s">
        <v>19</v>
      </c>
      <c r="O1781">
        <v>110.83</v>
      </c>
    </row>
    <row r="1782" spans="1:15" x14ac:dyDescent="0.3">
      <c r="A1782" s="1">
        <v>45359</v>
      </c>
      <c r="B1782" s="2" t="s">
        <v>20</v>
      </c>
      <c r="C1782" s="2" t="s">
        <v>12</v>
      </c>
      <c r="D1782" s="2" t="s">
        <v>13</v>
      </c>
      <c r="E1782">
        <v>140.37</v>
      </c>
      <c r="F1782">
        <v>28.28</v>
      </c>
      <c r="G1782">
        <v>0</v>
      </c>
      <c r="H1782">
        <f t="shared" si="27"/>
        <v>54735.250000000029</v>
      </c>
      <c r="I1782" t="str">
        <f>IF(Sheet1[[#This Row],[Month_Revenue]] &lt; AVERAGE(Sheet1[Month_Revenue]), "Off-Peak", "Peak")</f>
        <v>Off-Peak</v>
      </c>
      <c r="J1782">
        <f xml:space="preserve"> IF(Sheet1[[#This Row],[Ad Spend]] &gt; 0, (Sheet1[[#This Row],[Profit]] / Sheet1[[#This Row],[Ad Spend]]), 0)</f>
        <v>3.9635785007072135</v>
      </c>
      <c r="K1782">
        <f>Sheet1[[#This Row],[Revenue]]-Sheet1[[#This Row],[Ad Spend]]</f>
        <v>112.09</v>
      </c>
      <c r="L1782" s="2" t="s">
        <v>14</v>
      </c>
      <c r="M1782">
        <v>3</v>
      </c>
      <c r="N1782" s="2" t="s">
        <v>19</v>
      </c>
      <c r="O1782">
        <v>0</v>
      </c>
    </row>
    <row r="1783" spans="1:15" x14ac:dyDescent="0.3">
      <c r="A1783" s="1">
        <v>45339</v>
      </c>
      <c r="B1783" s="2" t="s">
        <v>11</v>
      </c>
      <c r="C1783" s="2" t="s">
        <v>21</v>
      </c>
      <c r="D1783" s="2" t="s">
        <v>13</v>
      </c>
      <c r="E1783">
        <v>145.44999999999999</v>
      </c>
      <c r="F1783">
        <v>16.989999999999998</v>
      </c>
      <c r="G1783">
        <v>2</v>
      </c>
      <c r="H1783">
        <f t="shared" si="27"/>
        <v>48675.899999999936</v>
      </c>
      <c r="I1783" t="str">
        <f>IF(Sheet1[[#This Row],[Month_Revenue]] &lt; AVERAGE(Sheet1[Month_Revenue]), "Off-Peak", "Peak")</f>
        <v>Off-Peak</v>
      </c>
      <c r="J1783">
        <f xml:space="preserve"> IF(Sheet1[[#This Row],[Ad Spend]] &gt; 0, (Sheet1[[#This Row],[Profit]] / Sheet1[[#This Row],[Ad Spend]]), 0)</f>
        <v>7.5609181871689222</v>
      </c>
      <c r="K1783">
        <f>Sheet1[[#This Row],[Revenue]]-Sheet1[[#This Row],[Ad Spend]]</f>
        <v>128.45999999999998</v>
      </c>
      <c r="L1783" s="2" t="s">
        <v>22</v>
      </c>
      <c r="M1783">
        <v>2</v>
      </c>
      <c r="N1783" s="2" t="s">
        <v>15</v>
      </c>
      <c r="O1783">
        <v>72.724999999999994</v>
      </c>
    </row>
    <row r="1784" spans="1:15" x14ac:dyDescent="0.3">
      <c r="A1784" s="1">
        <v>45333</v>
      </c>
      <c r="B1784" s="2" t="s">
        <v>20</v>
      </c>
      <c r="C1784" s="2" t="s">
        <v>17</v>
      </c>
      <c r="D1784" s="2" t="s">
        <v>13</v>
      </c>
      <c r="E1784">
        <v>158.51</v>
      </c>
      <c r="F1784">
        <v>16.75</v>
      </c>
      <c r="G1784">
        <v>3</v>
      </c>
      <c r="H1784">
        <f t="shared" si="27"/>
        <v>48675.899999999936</v>
      </c>
      <c r="I1784" t="str">
        <f>IF(Sheet1[[#This Row],[Month_Revenue]] &lt; AVERAGE(Sheet1[Month_Revenue]), "Off-Peak", "Peak")</f>
        <v>Off-Peak</v>
      </c>
      <c r="J1784">
        <f xml:space="preserve"> IF(Sheet1[[#This Row],[Ad Spend]] &gt; 0, (Sheet1[[#This Row],[Profit]] / Sheet1[[#This Row],[Ad Spend]]), 0)</f>
        <v>8.4632835820895522</v>
      </c>
      <c r="K1784">
        <f>Sheet1[[#This Row],[Revenue]]-Sheet1[[#This Row],[Ad Spend]]</f>
        <v>141.76</v>
      </c>
      <c r="L1784" s="2" t="s">
        <v>22</v>
      </c>
      <c r="M1784">
        <v>2</v>
      </c>
      <c r="N1784" s="2" t="s">
        <v>15</v>
      </c>
      <c r="O1784">
        <v>52.836666666666666</v>
      </c>
    </row>
    <row r="1785" spans="1:15" x14ac:dyDescent="0.3">
      <c r="A1785" s="1">
        <v>45345</v>
      </c>
      <c r="B1785" s="2" t="s">
        <v>24</v>
      </c>
      <c r="C1785" s="2" t="s">
        <v>12</v>
      </c>
      <c r="D1785" s="2" t="s">
        <v>13</v>
      </c>
      <c r="E1785">
        <v>142.54</v>
      </c>
      <c r="F1785">
        <v>0.54</v>
      </c>
      <c r="G1785">
        <v>0</v>
      </c>
      <c r="H1785">
        <f t="shared" si="27"/>
        <v>48675.899999999936</v>
      </c>
      <c r="I1785" t="str">
        <f>IF(Sheet1[[#This Row],[Month_Revenue]] &lt; AVERAGE(Sheet1[Month_Revenue]), "Off-Peak", "Peak")</f>
        <v>Off-Peak</v>
      </c>
      <c r="J1785">
        <f xml:space="preserve"> IF(Sheet1[[#This Row],[Ad Spend]] &gt; 0, (Sheet1[[#This Row],[Profit]] / Sheet1[[#This Row],[Ad Spend]]), 0)</f>
        <v>262.96296296296293</v>
      </c>
      <c r="K1785">
        <f>Sheet1[[#This Row],[Revenue]]-Sheet1[[#This Row],[Ad Spend]]</f>
        <v>142</v>
      </c>
      <c r="L1785" s="2" t="s">
        <v>14</v>
      </c>
      <c r="M1785">
        <v>2</v>
      </c>
      <c r="N1785" s="2" t="s">
        <v>15</v>
      </c>
      <c r="O1785">
        <v>0</v>
      </c>
    </row>
    <row r="1786" spans="1:15" x14ac:dyDescent="0.3">
      <c r="A1786" s="1">
        <v>45404</v>
      </c>
      <c r="B1786" s="2" t="s">
        <v>16</v>
      </c>
      <c r="C1786" s="2" t="s">
        <v>12</v>
      </c>
      <c r="D1786" s="2" t="s">
        <v>18</v>
      </c>
      <c r="E1786">
        <v>24.39</v>
      </c>
      <c r="F1786">
        <v>14.52</v>
      </c>
      <c r="G1786">
        <v>0</v>
      </c>
      <c r="H1786">
        <f t="shared" si="27"/>
        <v>58562.910000000018</v>
      </c>
      <c r="I1786" t="str">
        <f>IF(Sheet1[[#This Row],[Month_Revenue]] &lt; AVERAGE(Sheet1[Month_Revenue]), "Off-Peak", "Peak")</f>
        <v>Peak</v>
      </c>
      <c r="J1786">
        <f xml:space="preserve"> IF(Sheet1[[#This Row],[Ad Spend]] &gt; 0, (Sheet1[[#This Row],[Profit]] / Sheet1[[#This Row],[Ad Spend]]), 0)</f>
        <v>0.6797520661157026</v>
      </c>
      <c r="K1786">
        <f>Sheet1[[#This Row],[Revenue]]-Sheet1[[#This Row],[Ad Spend]]</f>
        <v>9.870000000000001</v>
      </c>
      <c r="L1786" s="2" t="s">
        <v>22</v>
      </c>
      <c r="M1786">
        <v>4</v>
      </c>
      <c r="N1786" s="2" t="s">
        <v>19</v>
      </c>
      <c r="O1786">
        <v>0</v>
      </c>
    </row>
    <row r="1787" spans="1:15" x14ac:dyDescent="0.3">
      <c r="A1787" s="1">
        <v>45330</v>
      </c>
      <c r="B1787" s="2" t="s">
        <v>16</v>
      </c>
      <c r="C1787" s="2" t="s">
        <v>17</v>
      </c>
      <c r="D1787" s="2" t="s">
        <v>13</v>
      </c>
      <c r="E1787">
        <v>114.14</v>
      </c>
      <c r="F1787">
        <v>6.1</v>
      </c>
      <c r="G1787">
        <v>1</v>
      </c>
      <c r="H1787">
        <f t="shared" si="27"/>
        <v>48675.899999999936</v>
      </c>
      <c r="I1787" t="str">
        <f>IF(Sheet1[[#This Row],[Month_Revenue]] &lt; AVERAGE(Sheet1[Month_Revenue]), "Off-Peak", "Peak")</f>
        <v>Off-Peak</v>
      </c>
      <c r="J1787">
        <f xml:space="preserve"> IF(Sheet1[[#This Row],[Ad Spend]] &gt; 0, (Sheet1[[#This Row],[Profit]] / Sheet1[[#This Row],[Ad Spend]]), 0)</f>
        <v>17.711475409836069</v>
      </c>
      <c r="K1787">
        <f>Sheet1[[#This Row],[Revenue]]-Sheet1[[#This Row],[Ad Spend]]</f>
        <v>108.04</v>
      </c>
      <c r="L1787" s="2" t="s">
        <v>22</v>
      </c>
      <c r="M1787">
        <v>2</v>
      </c>
      <c r="N1787" s="2" t="s">
        <v>15</v>
      </c>
      <c r="O1787">
        <v>114.14</v>
      </c>
    </row>
    <row r="1788" spans="1:15" x14ac:dyDescent="0.3">
      <c r="A1788" s="1">
        <v>45394</v>
      </c>
      <c r="B1788" s="2" t="s">
        <v>24</v>
      </c>
      <c r="C1788" s="2" t="s">
        <v>12</v>
      </c>
      <c r="D1788" s="2" t="s">
        <v>13</v>
      </c>
      <c r="E1788">
        <v>26.18</v>
      </c>
      <c r="F1788">
        <v>32.4</v>
      </c>
      <c r="G1788">
        <v>2</v>
      </c>
      <c r="H1788">
        <f t="shared" si="27"/>
        <v>58562.910000000018</v>
      </c>
      <c r="I1788" t="str">
        <f>IF(Sheet1[[#This Row],[Month_Revenue]] &lt; AVERAGE(Sheet1[Month_Revenue]), "Off-Peak", "Peak")</f>
        <v>Peak</v>
      </c>
      <c r="J1788">
        <f xml:space="preserve"> IF(Sheet1[[#This Row],[Ad Spend]] &gt; 0, (Sheet1[[#This Row],[Profit]] / Sheet1[[#This Row],[Ad Spend]]), 0)</f>
        <v>-0.19197530864197529</v>
      </c>
      <c r="K1788">
        <f>Sheet1[[#This Row],[Revenue]]-Sheet1[[#This Row],[Ad Spend]]</f>
        <v>-6.2199999999999989</v>
      </c>
      <c r="L1788" s="2" t="s">
        <v>22</v>
      </c>
      <c r="M1788">
        <v>4</v>
      </c>
      <c r="N1788" s="2" t="s">
        <v>19</v>
      </c>
      <c r="O1788">
        <v>13.09</v>
      </c>
    </row>
    <row r="1789" spans="1:15" x14ac:dyDescent="0.3">
      <c r="A1789" s="1">
        <v>45403</v>
      </c>
      <c r="B1789" s="2" t="s">
        <v>23</v>
      </c>
      <c r="C1789" s="2" t="s">
        <v>12</v>
      </c>
      <c r="D1789" s="2" t="s">
        <v>18</v>
      </c>
      <c r="E1789">
        <v>181.91</v>
      </c>
      <c r="F1789">
        <v>13.25</v>
      </c>
      <c r="G1789">
        <v>3</v>
      </c>
      <c r="H1789">
        <f t="shared" si="27"/>
        <v>58562.910000000018</v>
      </c>
      <c r="I1789" t="str">
        <f>IF(Sheet1[[#This Row],[Month_Revenue]] &lt; AVERAGE(Sheet1[Month_Revenue]), "Off-Peak", "Peak")</f>
        <v>Peak</v>
      </c>
      <c r="J1789">
        <f xml:space="preserve"> IF(Sheet1[[#This Row],[Ad Spend]] &gt; 0, (Sheet1[[#This Row],[Profit]] / Sheet1[[#This Row],[Ad Spend]]), 0)</f>
        <v>12.729056603773584</v>
      </c>
      <c r="K1789">
        <f>Sheet1[[#This Row],[Revenue]]-Sheet1[[#This Row],[Ad Spend]]</f>
        <v>168.66</v>
      </c>
      <c r="L1789" s="2" t="s">
        <v>22</v>
      </c>
      <c r="M1789">
        <v>4</v>
      </c>
      <c r="N1789" s="2" t="s">
        <v>19</v>
      </c>
      <c r="O1789">
        <v>60.636666666666663</v>
      </c>
    </row>
    <row r="1790" spans="1:15" x14ac:dyDescent="0.3">
      <c r="A1790" s="1">
        <v>45389</v>
      </c>
      <c r="B1790" s="2" t="s">
        <v>20</v>
      </c>
      <c r="C1790" s="2" t="s">
        <v>21</v>
      </c>
      <c r="D1790" s="2" t="s">
        <v>13</v>
      </c>
      <c r="E1790">
        <v>62.46</v>
      </c>
      <c r="F1790">
        <v>0.18</v>
      </c>
      <c r="G1790">
        <v>2</v>
      </c>
      <c r="H1790">
        <f t="shared" si="27"/>
        <v>58562.910000000018</v>
      </c>
      <c r="I1790" t="str">
        <f>IF(Sheet1[[#This Row],[Month_Revenue]] &lt; AVERAGE(Sheet1[Month_Revenue]), "Off-Peak", "Peak")</f>
        <v>Peak</v>
      </c>
      <c r="J1790">
        <f xml:space="preserve"> IF(Sheet1[[#This Row],[Ad Spend]] &gt; 0, (Sheet1[[#This Row],[Profit]] / Sheet1[[#This Row],[Ad Spend]]), 0)</f>
        <v>346</v>
      </c>
      <c r="K1790">
        <f>Sheet1[[#This Row],[Revenue]]-Sheet1[[#This Row],[Ad Spend]]</f>
        <v>62.28</v>
      </c>
      <c r="L1790" s="2" t="s">
        <v>22</v>
      </c>
      <c r="M1790">
        <v>4</v>
      </c>
      <c r="N1790" s="2" t="s">
        <v>19</v>
      </c>
      <c r="O1790">
        <v>31.23</v>
      </c>
    </row>
    <row r="1791" spans="1:15" x14ac:dyDescent="0.3">
      <c r="A1791" s="1">
        <v>45351</v>
      </c>
      <c r="B1791" s="2" t="s">
        <v>24</v>
      </c>
      <c r="C1791" s="2" t="s">
        <v>21</v>
      </c>
      <c r="D1791" s="2" t="s">
        <v>18</v>
      </c>
      <c r="E1791">
        <v>42.57</v>
      </c>
      <c r="F1791">
        <v>5.81</v>
      </c>
      <c r="G1791">
        <v>3</v>
      </c>
      <c r="H1791">
        <f t="shared" si="27"/>
        <v>48675.899999999936</v>
      </c>
      <c r="I1791" t="str">
        <f>IF(Sheet1[[#This Row],[Month_Revenue]] &lt; AVERAGE(Sheet1[Month_Revenue]), "Off-Peak", "Peak")</f>
        <v>Off-Peak</v>
      </c>
      <c r="J1791">
        <f xml:space="preserve"> IF(Sheet1[[#This Row],[Ad Spend]] &gt; 0, (Sheet1[[#This Row],[Profit]] / Sheet1[[#This Row],[Ad Spend]]), 0)</f>
        <v>6.3270223752151464</v>
      </c>
      <c r="K1791">
        <f>Sheet1[[#This Row],[Revenue]]-Sheet1[[#This Row],[Ad Spend]]</f>
        <v>36.76</v>
      </c>
      <c r="L1791" s="2" t="s">
        <v>22</v>
      </c>
      <c r="M1791">
        <v>2</v>
      </c>
      <c r="N1791" s="2" t="s">
        <v>15</v>
      </c>
      <c r="O1791">
        <v>14.19</v>
      </c>
    </row>
    <row r="1792" spans="1:15" x14ac:dyDescent="0.3">
      <c r="A1792" s="1">
        <v>45299</v>
      </c>
      <c r="B1792" s="2" t="s">
        <v>16</v>
      </c>
      <c r="C1792" s="2" t="s">
        <v>21</v>
      </c>
      <c r="D1792" s="2" t="s">
        <v>13</v>
      </c>
      <c r="E1792">
        <v>152.91999999999999</v>
      </c>
      <c r="F1792">
        <v>26.23</v>
      </c>
      <c r="G1792">
        <v>3</v>
      </c>
      <c r="H1792">
        <f t="shared" si="27"/>
        <v>61207.979999999989</v>
      </c>
      <c r="I1792" t="str">
        <f>IF(Sheet1[[#This Row],[Month_Revenue]] &lt; AVERAGE(Sheet1[Month_Revenue]), "Off-Peak", "Peak")</f>
        <v>Peak</v>
      </c>
      <c r="J1792">
        <f xml:space="preserve"> IF(Sheet1[[#This Row],[Ad Spend]] &gt; 0, (Sheet1[[#This Row],[Profit]] / Sheet1[[#This Row],[Ad Spend]]), 0)</f>
        <v>4.8299656881433464</v>
      </c>
      <c r="K1792">
        <f>Sheet1[[#This Row],[Revenue]]-Sheet1[[#This Row],[Ad Spend]]</f>
        <v>126.68999999999998</v>
      </c>
      <c r="L1792" s="2" t="s">
        <v>22</v>
      </c>
      <c r="M1792">
        <v>1</v>
      </c>
      <c r="N1792" s="2" t="s">
        <v>15</v>
      </c>
      <c r="O1792">
        <v>50.973333333333329</v>
      </c>
    </row>
    <row r="1793" spans="1:15" x14ac:dyDescent="0.3">
      <c r="A1793" s="1">
        <v>45352</v>
      </c>
      <c r="B1793" s="2" t="s">
        <v>11</v>
      </c>
      <c r="C1793" s="2" t="s">
        <v>12</v>
      </c>
      <c r="D1793" s="2" t="s">
        <v>13</v>
      </c>
      <c r="E1793">
        <v>187.51</v>
      </c>
      <c r="F1793">
        <v>15.73</v>
      </c>
      <c r="G1793">
        <v>1</v>
      </c>
      <c r="H1793">
        <f t="shared" si="27"/>
        <v>54735.250000000029</v>
      </c>
      <c r="I1793" t="str">
        <f>IF(Sheet1[[#This Row],[Month_Revenue]] &lt; AVERAGE(Sheet1[Month_Revenue]), "Off-Peak", "Peak")</f>
        <v>Off-Peak</v>
      </c>
      <c r="J1793">
        <f xml:space="preserve"> IF(Sheet1[[#This Row],[Ad Spend]] &gt; 0, (Sheet1[[#This Row],[Profit]] / Sheet1[[#This Row],[Ad Spend]]), 0)</f>
        <v>10.920534011443102</v>
      </c>
      <c r="K1793">
        <f>Sheet1[[#This Row],[Revenue]]-Sheet1[[#This Row],[Ad Spend]]</f>
        <v>171.78</v>
      </c>
      <c r="L1793" s="2" t="s">
        <v>14</v>
      </c>
      <c r="M1793">
        <v>3</v>
      </c>
      <c r="N1793" s="2" t="s">
        <v>19</v>
      </c>
      <c r="O1793">
        <v>187.51</v>
      </c>
    </row>
    <row r="1794" spans="1:15" x14ac:dyDescent="0.3">
      <c r="A1794" s="1">
        <v>45370</v>
      </c>
      <c r="B1794" s="2" t="s">
        <v>16</v>
      </c>
      <c r="C1794" s="2" t="s">
        <v>17</v>
      </c>
      <c r="D1794" s="2" t="s">
        <v>18</v>
      </c>
      <c r="E1794">
        <v>121.43</v>
      </c>
      <c r="F1794">
        <v>30.14</v>
      </c>
      <c r="G1794">
        <v>0</v>
      </c>
      <c r="H1794">
        <f t="shared" ref="H1794:H1857" si="28">SUMIFS($E$2:$E$2001, $M$2:$M$2001, M1794)</f>
        <v>54735.250000000029</v>
      </c>
      <c r="I1794" t="str">
        <f>IF(Sheet1[[#This Row],[Month_Revenue]] &lt; AVERAGE(Sheet1[Month_Revenue]), "Off-Peak", "Peak")</f>
        <v>Off-Peak</v>
      </c>
      <c r="J1794">
        <f xml:space="preserve"> IF(Sheet1[[#This Row],[Ad Spend]] &gt; 0, (Sheet1[[#This Row],[Profit]] / Sheet1[[#This Row],[Ad Spend]]), 0)</f>
        <v>3.0288652952886532</v>
      </c>
      <c r="K1794">
        <f>Sheet1[[#This Row],[Revenue]]-Sheet1[[#This Row],[Ad Spend]]</f>
        <v>91.29</v>
      </c>
      <c r="L1794" s="2" t="s">
        <v>22</v>
      </c>
      <c r="M1794">
        <v>3</v>
      </c>
      <c r="N1794" s="2" t="s">
        <v>19</v>
      </c>
      <c r="O1794">
        <v>0</v>
      </c>
    </row>
    <row r="1795" spans="1:15" x14ac:dyDescent="0.3">
      <c r="A1795" s="1">
        <v>45378</v>
      </c>
      <c r="B1795" s="2" t="s">
        <v>16</v>
      </c>
      <c r="C1795" s="2" t="s">
        <v>21</v>
      </c>
      <c r="D1795" s="2" t="s">
        <v>13</v>
      </c>
      <c r="E1795">
        <v>102.25</v>
      </c>
      <c r="F1795">
        <v>38.32</v>
      </c>
      <c r="G1795">
        <v>2</v>
      </c>
      <c r="H1795">
        <f t="shared" si="28"/>
        <v>54735.250000000029</v>
      </c>
      <c r="I1795" t="str">
        <f>IF(Sheet1[[#This Row],[Month_Revenue]] &lt; AVERAGE(Sheet1[Month_Revenue]), "Off-Peak", "Peak")</f>
        <v>Off-Peak</v>
      </c>
      <c r="J1795">
        <f xml:space="preserve"> IF(Sheet1[[#This Row],[Ad Spend]] &gt; 0, (Sheet1[[#This Row],[Profit]] / Sheet1[[#This Row],[Ad Spend]]), 0)</f>
        <v>1.6683194154488517</v>
      </c>
      <c r="K1795">
        <f>Sheet1[[#This Row],[Revenue]]-Sheet1[[#This Row],[Ad Spend]]</f>
        <v>63.93</v>
      </c>
      <c r="L1795" s="2" t="s">
        <v>14</v>
      </c>
      <c r="M1795">
        <v>3</v>
      </c>
      <c r="N1795" s="2" t="s">
        <v>19</v>
      </c>
      <c r="O1795">
        <v>51.125</v>
      </c>
    </row>
    <row r="1796" spans="1:15" x14ac:dyDescent="0.3">
      <c r="A1796" s="1">
        <v>45373</v>
      </c>
      <c r="B1796" s="2" t="s">
        <v>11</v>
      </c>
      <c r="C1796" s="2" t="s">
        <v>21</v>
      </c>
      <c r="D1796" s="2" t="s">
        <v>13</v>
      </c>
      <c r="E1796">
        <v>104.55</v>
      </c>
      <c r="F1796">
        <v>38.770000000000003</v>
      </c>
      <c r="G1796">
        <v>3</v>
      </c>
      <c r="H1796">
        <f t="shared" si="28"/>
        <v>54735.250000000029</v>
      </c>
      <c r="I1796" t="str">
        <f>IF(Sheet1[[#This Row],[Month_Revenue]] &lt; AVERAGE(Sheet1[Month_Revenue]), "Off-Peak", "Peak")</f>
        <v>Off-Peak</v>
      </c>
      <c r="J1796">
        <f xml:space="preserve"> IF(Sheet1[[#This Row],[Ad Spend]] &gt; 0, (Sheet1[[#This Row],[Profit]] / Sheet1[[#This Row],[Ad Spend]]), 0)</f>
        <v>1.6966726850657723</v>
      </c>
      <c r="K1796">
        <f>Sheet1[[#This Row],[Revenue]]-Sheet1[[#This Row],[Ad Spend]]</f>
        <v>65.78</v>
      </c>
      <c r="L1796" s="2" t="s">
        <v>14</v>
      </c>
      <c r="M1796">
        <v>3</v>
      </c>
      <c r="N1796" s="2" t="s">
        <v>19</v>
      </c>
      <c r="O1796">
        <v>34.85</v>
      </c>
    </row>
    <row r="1797" spans="1:15" x14ac:dyDescent="0.3">
      <c r="A1797" s="1">
        <v>45296</v>
      </c>
      <c r="B1797" s="2" t="s">
        <v>24</v>
      </c>
      <c r="C1797" s="2" t="s">
        <v>12</v>
      </c>
      <c r="D1797" s="2" t="s">
        <v>13</v>
      </c>
      <c r="E1797">
        <v>117.94</v>
      </c>
      <c r="F1797">
        <v>38.43</v>
      </c>
      <c r="G1797">
        <v>0</v>
      </c>
      <c r="H1797">
        <f t="shared" si="28"/>
        <v>61207.979999999989</v>
      </c>
      <c r="I1797" t="str">
        <f>IF(Sheet1[[#This Row],[Month_Revenue]] &lt; AVERAGE(Sheet1[Month_Revenue]), "Off-Peak", "Peak")</f>
        <v>Peak</v>
      </c>
      <c r="J1797">
        <f xml:space="preserve"> IF(Sheet1[[#This Row],[Ad Spend]] &gt; 0, (Sheet1[[#This Row],[Profit]] / Sheet1[[#This Row],[Ad Spend]]), 0)</f>
        <v>2.06895654436638</v>
      </c>
      <c r="K1797">
        <f>Sheet1[[#This Row],[Revenue]]-Sheet1[[#This Row],[Ad Spend]]</f>
        <v>79.509999999999991</v>
      </c>
      <c r="L1797" s="2" t="s">
        <v>14</v>
      </c>
      <c r="M1797">
        <v>1</v>
      </c>
      <c r="N1797" s="2" t="s">
        <v>15</v>
      </c>
      <c r="O1797">
        <v>0</v>
      </c>
    </row>
    <row r="1798" spans="1:15" x14ac:dyDescent="0.3">
      <c r="A1798" s="1">
        <v>45407</v>
      </c>
      <c r="B1798" s="2" t="s">
        <v>24</v>
      </c>
      <c r="C1798" s="2" t="s">
        <v>12</v>
      </c>
      <c r="D1798" s="2" t="s">
        <v>18</v>
      </c>
      <c r="E1798">
        <v>105.23</v>
      </c>
      <c r="F1798">
        <v>27.9</v>
      </c>
      <c r="G1798">
        <v>0</v>
      </c>
      <c r="H1798">
        <f t="shared" si="28"/>
        <v>58562.910000000018</v>
      </c>
      <c r="I1798" t="str">
        <f>IF(Sheet1[[#This Row],[Month_Revenue]] &lt; AVERAGE(Sheet1[Month_Revenue]), "Off-Peak", "Peak")</f>
        <v>Peak</v>
      </c>
      <c r="J1798">
        <f xml:space="preserve"> IF(Sheet1[[#This Row],[Ad Spend]] &gt; 0, (Sheet1[[#This Row],[Profit]] / Sheet1[[#This Row],[Ad Spend]]), 0)</f>
        <v>2.7716845878136205</v>
      </c>
      <c r="K1798">
        <f>Sheet1[[#This Row],[Revenue]]-Sheet1[[#This Row],[Ad Spend]]</f>
        <v>77.330000000000013</v>
      </c>
      <c r="L1798" s="2" t="s">
        <v>14</v>
      </c>
      <c r="M1798">
        <v>4</v>
      </c>
      <c r="N1798" s="2" t="s">
        <v>19</v>
      </c>
      <c r="O1798">
        <v>0</v>
      </c>
    </row>
    <row r="1799" spans="1:15" x14ac:dyDescent="0.3">
      <c r="A1799" s="1">
        <v>45393</v>
      </c>
      <c r="B1799" s="2" t="s">
        <v>20</v>
      </c>
      <c r="C1799" s="2" t="s">
        <v>17</v>
      </c>
      <c r="D1799" s="2" t="s">
        <v>18</v>
      </c>
      <c r="E1799">
        <v>41.3</v>
      </c>
      <c r="F1799">
        <v>18.95</v>
      </c>
      <c r="G1799">
        <v>2</v>
      </c>
      <c r="H1799">
        <f t="shared" si="28"/>
        <v>58562.910000000018</v>
      </c>
      <c r="I1799" t="str">
        <f>IF(Sheet1[[#This Row],[Month_Revenue]] &lt; AVERAGE(Sheet1[Month_Revenue]), "Off-Peak", "Peak")</f>
        <v>Peak</v>
      </c>
      <c r="J1799">
        <f xml:space="preserve"> IF(Sheet1[[#This Row],[Ad Spend]] &gt; 0, (Sheet1[[#This Row],[Profit]] / Sheet1[[#This Row],[Ad Spend]]), 0)</f>
        <v>1.1794195250659629</v>
      </c>
      <c r="K1799">
        <f>Sheet1[[#This Row],[Revenue]]-Sheet1[[#This Row],[Ad Spend]]</f>
        <v>22.349999999999998</v>
      </c>
      <c r="L1799" s="2" t="s">
        <v>14</v>
      </c>
      <c r="M1799">
        <v>4</v>
      </c>
      <c r="N1799" s="2" t="s">
        <v>19</v>
      </c>
      <c r="O1799">
        <v>20.65</v>
      </c>
    </row>
    <row r="1800" spans="1:15" x14ac:dyDescent="0.3">
      <c r="A1800" s="1">
        <v>45309</v>
      </c>
      <c r="B1800" s="2" t="s">
        <v>20</v>
      </c>
      <c r="C1800" s="2" t="s">
        <v>17</v>
      </c>
      <c r="D1800" s="2" t="s">
        <v>18</v>
      </c>
      <c r="E1800">
        <v>198.68</v>
      </c>
      <c r="F1800">
        <v>12.39</v>
      </c>
      <c r="G1800">
        <v>0</v>
      </c>
      <c r="H1800">
        <f t="shared" si="28"/>
        <v>61207.979999999989</v>
      </c>
      <c r="I1800" t="str">
        <f>IF(Sheet1[[#This Row],[Month_Revenue]] &lt; AVERAGE(Sheet1[Month_Revenue]), "Off-Peak", "Peak")</f>
        <v>Peak</v>
      </c>
      <c r="J1800">
        <f xml:space="preserve"> IF(Sheet1[[#This Row],[Ad Spend]] &gt; 0, (Sheet1[[#This Row],[Profit]] / Sheet1[[#This Row],[Ad Spend]]), 0)</f>
        <v>15.035512510088783</v>
      </c>
      <c r="K1800">
        <f>Sheet1[[#This Row],[Revenue]]-Sheet1[[#This Row],[Ad Spend]]</f>
        <v>186.29000000000002</v>
      </c>
      <c r="L1800" s="2" t="s">
        <v>14</v>
      </c>
      <c r="M1800">
        <v>1</v>
      </c>
      <c r="N1800" s="2" t="s">
        <v>15</v>
      </c>
      <c r="O1800">
        <v>0</v>
      </c>
    </row>
    <row r="1801" spans="1:15" x14ac:dyDescent="0.3">
      <c r="A1801" s="1">
        <v>45405</v>
      </c>
      <c r="B1801" s="2" t="s">
        <v>16</v>
      </c>
      <c r="C1801" s="2" t="s">
        <v>17</v>
      </c>
      <c r="D1801" s="2" t="s">
        <v>18</v>
      </c>
      <c r="E1801">
        <v>180.88</v>
      </c>
      <c r="F1801">
        <v>33.18</v>
      </c>
      <c r="G1801">
        <v>2</v>
      </c>
      <c r="H1801">
        <f t="shared" si="28"/>
        <v>58562.910000000018</v>
      </c>
      <c r="I1801" t="str">
        <f>IF(Sheet1[[#This Row],[Month_Revenue]] &lt; AVERAGE(Sheet1[Month_Revenue]), "Off-Peak", "Peak")</f>
        <v>Peak</v>
      </c>
      <c r="J1801">
        <f xml:space="preserve"> IF(Sheet1[[#This Row],[Ad Spend]] &gt; 0, (Sheet1[[#This Row],[Profit]] / Sheet1[[#This Row],[Ad Spend]]), 0)</f>
        <v>4.4514767932489452</v>
      </c>
      <c r="K1801">
        <f>Sheet1[[#This Row],[Revenue]]-Sheet1[[#This Row],[Ad Spend]]</f>
        <v>147.69999999999999</v>
      </c>
      <c r="L1801" s="2" t="s">
        <v>22</v>
      </c>
      <c r="M1801">
        <v>4</v>
      </c>
      <c r="N1801" s="2" t="s">
        <v>19</v>
      </c>
      <c r="O1801">
        <v>90.44</v>
      </c>
    </row>
    <row r="1802" spans="1:15" x14ac:dyDescent="0.3">
      <c r="A1802" s="1">
        <v>45335</v>
      </c>
      <c r="B1802" s="2" t="s">
        <v>16</v>
      </c>
      <c r="C1802" s="2" t="s">
        <v>17</v>
      </c>
      <c r="D1802" s="2" t="s">
        <v>18</v>
      </c>
      <c r="E1802">
        <v>20</v>
      </c>
      <c r="F1802">
        <v>13.65</v>
      </c>
      <c r="G1802">
        <v>3</v>
      </c>
      <c r="H1802">
        <f t="shared" si="28"/>
        <v>48675.899999999936</v>
      </c>
      <c r="I1802" t="str">
        <f>IF(Sheet1[[#This Row],[Month_Revenue]] &lt; AVERAGE(Sheet1[Month_Revenue]), "Off-Peak", "Peak")</f>
        <v>Off-Peak</v>
      </c>
      <c r="J1802">
        <f xml:space="preserve"> IF(Sheet1[[#This Row],[Ad Spend]] &gt; 0, (Sheet1[[#This Row],[Profit]] / Sheet1[[#This Row],[Ad Spend]]), 0)</f>
        <v>0.46520146520146516</v>
      </c>
      <c r="K1802">
        <f>Sheet1[[#This Row],[Revenue]]-Sheet1[[#This Row],[Ad Spend]]</f>
        <v>6.35</v>
      </c>
      <c r="L1802" s="2" t="s">
        <v>14</v>
      </c>
      <c r="M1802">
        <v>2</v>
      </c>
      <c r="N1802" s="2" t="s">
        <v>15</v>
      </c>
      <c r="O1802">
        <v>6.666666666666667</v>
      </c>
    </row>
    <row r="1803" spans="1:15" x14ac:dyDescent="0.3">
      <c r="A1803" s="1">
        <v>45363</v>
      </c>
      <c r="B1803" s="2" t="s">
        <v>24</v>
      </c>
      <c r="C1803" s="2" t="s">
        <v>21</v>
      </c>
      <c r="D1803" s="2" t="s">
        <v>13</v>
      </c>
      <c r="E1803">
        <v>171.99</v>
      </c>
      <c r="F1803">
        <v>35.89</v>
      </c>
      <c r="G1803">
        <v>0</v>
      </c>
      <c r="H1803">
        <f t="shared" si="28"/>
        <v>54735.250000000029</v>
      </c>
      <c r="I1803" t="str">
        <f>IF(Sheet1[[#This Row],[Month_Revenue]] &lt; AVERAGE(Sheet1[Month_Revenue]), "Off-Peak", "Peak")</f>
        <v>Off-Peak</v>
      </c>
      <c r="J1803">
        <f xml:space="preserve"> IF(Sheet1[[#This Row],[Ad Spend]] &gt; 0, (Sheet1[[#This Row],[Profit]] / Sheet1[[#This Row],[Ad Spend]]), 0)</f>
        <v>3.7921426581220401</v>
      </c>
      <c r="K1803">
        <f>Sheet1[[#This Row],[Revenue]]-Sheet1[[#This Row],[Ad Spend]]</f>
        <v>136.10000000000002</v>
      </c>
      <c r="L1803" s="2" t="s">
        <v>14</v>
      </c>
      <c r="M1803">
        <v>3</v>
      </c>
      <c r="N1803" s="2" t="s">
        <v>19</v>
      </c>
      <c r="O1803">
        <v>0</v>
      </c>
    </row>
    <row r="1804" spans="1:15" x14ac:dyDescent="0.3">
      <c r="A1804" s="1">
        <v>45343</v>
      </c>
      <c r="B1804" s="2" t="s">
        <v>23</v>
      </c>
      <c r="C1804" s="2" t="s">
        <v>12</v>
      </c>
      <c r="D1804" s="2" t="s">
        <v>13</v>
      </c>
      <c r="E1804">
        <v>44.84</v>
      </c>
      <c r="F1804">
        <v>6.65</v>
      </c>
      <c r="G1804">
        <v>3</v>
      </c>
      <c r="H1804">
        <f t="shared" si="28"/>
        <v>48675.899999999936</v>
      </c>
      <c r="I1804" t="str">
        <f>IF(Sheet1[[#This Row],[Month_Revenue]] &lt; AVERAGE(Sheet1[Month_Revenue]), "Off-Peak", "Peak")</f>
        <v>Off-Peak</v>
      </c>
      <c r="J1804">
        <f xml:space="preserve"> IF(Sheet1[[#This Row],[Ad Spend]] &gt; 0, (Sheet1[[#This Row],[Profit]] / Sheet1[[#This Row],[Ad Spend]]), 0)</f>
        <v>5.7428571428571429</v>
      </c>
      <c r="K1804">
        <f>Sheet1[[#This Row],[Revenue]]-Sheet1[[#This Row],[Ad Spend]]</f>
        <v>38.190000000000005</v>
      </c>
      <c r="L1804" s="2" t="s">
        <v>22</v>
      </c>
      <c r="M1804">
        <v>2</v>
      </c>
      <c r="N1804" s="2" t="s">
        <v>15</v>
      </c>
      <c r="O1804">
        <v>14.946666666666667</v>
      </c>
    </row>
    <row r="1805" spans="1:15" x14ac:dyDescent="0.3">
      <c r="A1805" s="1">
        <v>45342</v>
      </c>
      <c r="B1805" s="2" t="s">
        <v>24</v>
      </c>
      <c r="C1805" s="2" t="s">
        <v>21</v>
      </c>
      <c r="D1805" s="2" t="s">
        <v>18</v>
      </c>
      <c r="E1805">
        <v>26.11</v>
      </c>
      <c r="F1805">
        <v>30.31</v>
      </c>
      <c r="G1805">
        <v>2</v>
      </c>
      <c r="H1805">
        <f t="shared" si="28"/>
        <v>48675.899999999936</v>
      </c>
      <c r="I1805" t="str">
        <f>IF(Sheet1[[#This Row],[Month_Revenue]] &lt; AVERAGE(Sheet1[Month_Revenue]), "Off-Peak", "Peak")</f>
        <v>Off-Peak</v>
      </c>
      <c r="J1805">
        <f xml:space="preserve"> IF(Sheet1[[#This Row],[Ad Spend]] &gt; 0, (Sheet1[[#This Row],[Profit]] / Sheet1[[#This Row],[Ad Spend]]), 0)</f>
        <v>-0.13856812933025403</v>
      </c>
      <c r="K1805">
        <f>Sheet1[[#This Row],[Revenue]]-Sheet1[[#This Row],[Ad Spend]]</f>
        <v>-4.1999999999999993</v>
      </c>
      <c r="L1805" s="2" t="s">
        <v>22</v>
      </c>
      <c r="M1805">
        <v>2</v>
      </c>
      <c r="N1805" s="2" t="s">
        <v>15</v>
      </c>
      <c r="O1805">
        <v>13.055</v>
      </c>
    </row>
    <row r="1806" spans="1:15" x14ac:dyDescent="0.3">
      <c r="A1806" s="1">
        <v>45370</v>
      </c>
      <c r="B1806" s="2" t="s">
        <v>20</v>
      </c>
      <c r="C1806" s="2" t="s">
        <v>12</v>
      </c>
      <c r="D1806" s="2" t="s">
        <v>13</v>
      </c>
      <c r="E1806">
        <v>123.43</v>
      </c>
      <c r="F1806">
        <v>9.0500000000000007</v>
      </c>
      <c r="G1806">
        <v>1</v>
      </c>
      <c r="H1806">
        <f t="shared" si="28"/>
        <v>54735.250000000029</v>
      </c>
      <c r="I1806" t="str">
        <f>IF(Sheet1[[#This Row],[Month_Revenue]] &lt; AVERAGE(Sheet1[Month_Revenue]), "Off-Peak", "Peak")</f>
        <v>Off-Peak</v>
      </c>
      <c r="J1806">
        <f xml:space="preserve"> IF(Sheet1[[#This Row],[Ad Spend]] &gt; 0, (Sheet1[[#This Row],[Profit]] / Sheet1[[#This Row],[Ad Spend]]), 0)</f>
        <v>12.63867403314917</v>
      </c>
      <c r="K1806">
        <f>Sheet1[[#This Row],[Revenue]]-Sheet1[[#This Row],[Ad Spend]]</f>
        <v>114.38000000000001</v>
      </c>
      <c r="L1806" s="2" t="s">
        <v>14</v>
      </c>
      <c r="M1806">
        <v>3</v>
      </c>
      <c r="N1806" s="2" t="s">
        <v>19</v>
      </c>
      <c r="O1806">
        <v>123.43</v>
      </c>
    </row>
    <row r="1807" spans="1:15" x14ac:dyDescent="0.3">
      <c r="A1807" s="1">
        <v>45388</v>
      </c>
      <c r="B1807" s="2" t="s">
        <v>11</v>
      </c>
      <c r="C1807" s="2" t="s">
        <v>17</v>
      </c>
      <c r="D1807" s="2" t="s">
        <v>18</v>
      </c>
      <c r="E1807">
        <v>115.42</v>
      </c>
      <c r="F1807">
        <v>37.729999999999997</v>
      </c>
      <c r="G1807">
        <v>3</v>
      </c>
      <c r="H1807">
        <f t="shared" si="28"/>
        <v>58562.910000000018</v>
      </c>
      <c r="I1807" t="str">
        <f>IF(Sheet1[[#This Row],[Month_Revenue]] &lt; AVERAGE(Sheet1[Month_Revenue]), "Off-Peak", "Peak")</f>
        <v>Peak</v>
      </c>
      <c r="J1807">
        <f xml:space="preserve"> IF(Sheet1[[#This Row],[Ad Spend]] &gt; 0, (Sheet1[[#This Row],[Profit]] / Sheet1[[#This Row],[Ad Spend]]), 0)</f>
        <v>2.0591041611449774</v>
      </c>
      <c r="K1807">
        <f>Sheet1[[#This Row],[Revenue]]-Sheet1[[#This Row],[Ad Spend]]</f>
        <v>77.69</v>
      </c>
      <c r="L1807" s="2" t="s">
        <v>22</v>
      </c>
      <c r="M1807">
        <v>4</v>
      </c>
      <c r="N1807" s="2" t="s">
        <v>19</v>
      </c>
      <c r="O1807">
        <v>38.473333333333336</v>
      </c>
    </row>
    <row r="1808" spans="1:15" x14ac:dyDescent="0.3">
      <c r="A1808" s="1">
        <v>45315</v>
      </c>
      <c r="B1808" s="2" t="s">
        <v>16</v>
      </c>
      <c r="C1808" s="2" t="s">
        <v>12</v>
      </c>
      <c r="D1808" s="2" t="s">
        <v>13</v>
      </c>
      <c r="E1808">
        <v>168.74</v>
      </c>
      <c r="F1808">
        <v>26.76</v>
      </c>
      <c r="G1808">
        <v>0</v>
      </c>
      <c r="H1808">
        <f t="shared" si="28"/>
        <v>61207.979999999989</v>
      </c>
      <c r="I1808" t="str">
        <f>IF(Sheet1[[#This Row],[Month_Revenue]] &lt; AVERAGE(Sheet1[Month_Revenue]), "Off-Peak", "Peak")</f>
        <v>Peak</v>
      </c>
      <c r="J1808">
        <f xml:space="preserve"> IF(Sheet1[[#This Row],[Ad Spend]] &gt; 0, (Sheet1[[#This Row],[Profit]] / Sheet1[[#This Row],[Ad Spend]]), 0)</f>
        <v>5.3056801195814653</v>
      </c>
      <c r="K1808">
        <f>Sheet1[[#This Row],[Revenue]]-Sheet1[[#This Row],[Ad Spend]]</f>
        <v>141.98000000000002</v>
      </c>
      <c r="L1808" s="2" t="s">
        <v>22</v>
      </c>
      <c r="M1808">
        <v>1</v>
      </c>
      <c r="N1808" s="2" t="s">
        <v>15</v>
      </c>
      <c r="O1808">
        <v>0</v>
      </c>
    </row>
    <row r="1809" spans="1:15" x14ac:dyDescent="0.3">
      <c r="A1809" s="1">
        <v>45395</v>
      </c>
      <c r="B1809" s="2" t="s">
        <v>16</v>
      </c>
      <c r="C1809" s="2" t="s">
        <v>12</v>
      </c>
      <c r="D1809" s="2" t="s">
        <v>18</v>
      </c>
      <c r="E1809">
        <v>194.04</v>
      </c>
      <c r="F1809">
        <v>18.48</v>
      </c>
      <c r="G1809">
        <v>2</v>
      </c>
      <c r="H1809">
        <f t="shared" si="28"/>
        <v>58562.910000000018</v>
      </c>
      <c r="I1809" t="str">
        <f>IF(Sheet1[[#This Row],[Month_Revenue]] &lt; AVERAGE(Sheet1[Month_Revenue]), "Off-Peak", "Peak")</f>
        <v>Peak</v>
      </c>
      <c r="J1809">
        <f xml:space="preserve"> IF(Sheet1[[#This Row],[Ad Spend]] &gt; 0, (Sheet1[[#This Row],[Profit]] / Sheet1[[#This Row],[Ad Spend]]), 0)</f>
        <v>9.5</v>
      </c>
      <c r="K1809">
        <f>Sheet1[[#This Row],[Revenue]]-Sheet1[[#This Row],[Ad Spend]]</f>
        <v>175.56</v>
      </c>
      <c r="L1809" s="2" t="s">
        <v>14</v>
      </c>
      <c r="M1809">
        <v>4</v>
      </c>
      <c r="N1809" s="2" t="s">
        <v>19</v>
      </c>
      <c r="O1809">
        <v>97.02</v>
      </c>
    </row>
    <row r="1810" spans="1:15" x14ac:dyDescent="0.3">
      <c r="A1810" s="1">
        <v>45344</v>
      </c>
      <c r="B1810" s="2" t="s">
        <v>11</v>
      </c>
      <c r="C1810" s="2" t="s">
        <v>21</v>
      </c>
      <c r="D1810" s="2" t="s">
        <v>18</v>
      </c>
      <c r="E1810">
        <v>95</v>
      </c>
      <c r="F1810">
        <v>41.4</v>
      </c>
      <c r="G1810">
        <v>2</v>
      </c>
      <c r="H1810">
        <f t="shared" si="28"/>
        <v>48675.899999999936</v>
      </c>
      <c r="I1810" t="str">
        <f>IF(Sheet1[[#This Row],[Month_Revenue]] &lt; AVERAGE(Sheet1[Month_Revenue]), "Off-Peak", "Peak")</f>
        <v>Off-Peak</v>
      </c>
      <c r="J1810">
        <f xml:space="preserve"> IF(Sheet1[[#This Row],[Ad Spend]] &gt; 0, (Sheet1[[#This Row],[Profit]] / Sheet1[[#This Row],[Ad Spend]]), 0)</f>
        <v>1.2946859903381642</v>
      </c>
      <c r="K1810">
        <f>Sheet1[[#This Row],[Revenue]]-Sheet1[[#This Row],[Ad Spend]]</f>
        <v>53.6</v>
      </c>
      <c r="L1810" s="2" t="s">
        <v>22</v>
      </c>
      <c r="M1810">
        <v>2</v>
      </c>
      <c r="N1810" s="2" t="s">
        <v>15</v>
      </c>
      <c r="O1810">
        <v>47.5</v>
      </c>
    </row>
    <row r="1811" spans="1:15" x14ac:dyDescent="0.3">
      <c r="A1811" s="1">
        <v>45345</v>
      </c>
      <c r="B1811" s="2" t="s">
        <v>23</v>
      </c>
      <c r="C1811" s="2" t="s">
        <v>21</v>
      </c>
      <c r="D1811" s="2" t="s">
        <v>13</v>
      </c>
      <c r="E1811">
        <v>75.23</v>
      </c>
      <c r="F1811">
        <v>45.13</v>
      </c>
      <c r="G1811">
        <v>3</v>
      </c>
      <c r="H1811">
        <f t="shared" si="28"/>
        <v>48675.899999999936</v>
      </c>
      <c r="I1811" t="str">
        <f>IF(Sheet1[[#This Row],[Month_Revenue]] &lt; AVERAGE(Sheet1[Month_Revenue]), "Off-Peak", "Peak")</f>
        <v>Off-Peak</v>
      </c>
      <c r="J1811">
        <f xml:space="preserve"> IF(Sheet1[[#This Row],[Ad Spend]] &gt; 0, (Sheet1[[#This Row],[Profit]] / Sheet1[[#This Row],[Ad Spend]]), 0)</f>
        <v>0.66696210946155554</v>
      </c>
      <c r="K1811">
        <f>Sheet1[[#This Row],[Revenue]]-Sheet1[[#This Row],[Ad Spend]]</f>
        <v>30.1</v>
      </c>
      <c r="L1811" s="2" t="s">
        <v>22</v>
      </c>
      <c r="M1811">
        <v>2</v>
      </c>
      <c r="N1811" s="2" t="s">
        <v>15</v>
      </c>
      <c r="O1811">
        <v>25.076666666666668</v>
      </c>
    </row>
    <row r="1812" spans="1:15" x14ac:dyDescent="0.3">
      <c r="A1812" s="1">
        <v>45388</v>
      </c>
      <c r="B1812" s="2" t="s">
        <v>20</v>
      </c>
      <c r="C1812" s="2" t="s">
        <v>21</v>
      </c>
      <c r="D1812" s="2" t="s">
        <v>13</v>
      </c>
      <c r="E1812">
        <v>166.74</v>
      </c>
      <c r="F1812">
        <v>18.16</v>
      </c>
      <c r="G1812">
        <v>2</v>
      </c>
      <c r="H1812">
        <f t="shared" si="28"/>
        <v>58562.910000000018</v>
      </c>
      <c r="I1812" t="str">
        <f>IF(Sheet1[[#This Row],[Month_Revenue]] &lt; AVERAGE(Sheet1[Month_Revenue]), "Off-Peak", "Peak")</f>
        <v>Peak</v>
      </c>
      <c r="J1812">
        <f xml:space="preserve"> IF(Sheet1[[#This Row],[Ad Spend]] &gt; 0, (Sheet1[[#This Row],[Profit]] / Sheet1[[#This Row],[Ad Spend]]), 0)</f>
        <v>8.1817180616740099</v>
      </c>
      <c r="K1812">
        <f>Sheet1[[#This Row],[Revenue]]-Sheet1[[#This Row],[Ad Spend]]</f>
        <v>148.58000000000001</v>
      </c>
      <c r="L1812" s="2" t="s">
        <v>14</v>
      </c>
      <c r="M1812">
        <v>4</v>
      </c>
      <c r="N1812" s="2" t="s">
        <v>19</v>
      </c>
      <c r="O1812">
        <v>83.37</v>
      </c>
    </row>
    <row r="1813" spans="1:15" x14ac:dyDescent="0.3">
      <c r="A1813" s="1">
        <v>45366</v>
      </c>
      <c r="B1813" s="2" t="s">
        <v>24</v>
      </c>
      <c r="C1813" s="2" t="s">
        <v>12</v>
      </c>
      <c r="D1813" s="2" t="s">
        <v>18</v>
      </c>
      <c r="E1813">
        <v>48.07</v>
      </c>
      <c r="F1813">
        <v>22.23</v>
      </c>
      <c r="G1813">
        <v>1</v>
      </c>
      <c r="H1813">
        <f t="shared" si="28"/>
        <v>54735.250000000029</v>
      </c>
      <c r="I1813" t="str">
        <f>IF(Sheet1[[#This Row],[Month_Revenue]] &lt; AVERAGE(Sheet1[Month_Revenue]), "Off-Peak", "Peak")</f>
        <v>Off-Peak</v>
      </c>
      <c r="J1813">
        <f xml:space="preserve"> IF(Sheet1[[#This Row],[Ad Spend]] &gt; 0, (Sheet1[[#This Row],[Profit]] / Sheet1[[#This Row],[Ad Spend]]), 0)</f>
        <v>1.1623931623931623</v>
      </c>
      <c r="K1813">
        <f>Sheet1[[#This Row],[Revenue]]-Sheet1[[#This Row],[Ad Spend]]</f>
        <v>25.84</v>
      </c>
      <c r="L1813" s="2" t="s">
        <v>14</v>
      </c>
      <c r="M1813">
        <v>3</v>
      </c>
      <c r="N1813" s="2" t="s">
        <v>19</v>
      </c>
      <c r="O1813">
        <v>48.07</v>
      </c>
    </row>
    <row r="1814" spans="1:15" x14ac:dyDescent="0.3">
      <c r="A1814" s="1">
        <v>45400</v>
      </c>
      <c r="B1814" s="2" t="s">
        <v>11</v>
      </c>
      <c r="C1814" s="2" t="s">
        <v>17</v>
      </c>
      <c r="D1814" s="2" t="s">
        <v>13</v>
      </c>
      <c r="E1814">
        <v>84.24</v>
      </c>
      <c r="F1814">
        <v>10.23</v>
      </c>
      <c r="G1814">
        <v>0</v>
      </c>
      <c r="H1814">
        <f t="shared" si="28"/>
        <v>58562.910000000018</v>
      </c>
      <c r="I1814" t="str">
        <f>IF(Sheet1[[#This Row],[Month_Revenue]] &lt; AVERAGE(Sheet1[Month_Revenue]), "Off-Peak", "Peak")</f>
        <v>Peak</v>
      </c>
      <c r="J1814">
        <f xml:space="preserve"> IF(Sheet1[[#This Row],[Ad Spend]] &gt; 0, (Sheet1[[#This Row],[Profit]] / Sheet1[[#This Row],[Ad Spend]]), 0)</f>
        <v>7.2346041055718464</v>
      </c>
      <c r="K1814">
        <f>Sheet1[[#This Row],[Revenue]]-Sheet1[[#This Row],[Ad Spend]]</f>
        <v>74.009999999999991</v>
      </c>
      <c r="L1814" s="2" t="s">
        <v>22</v>
      </c>
      <c r="M1814">
        <v>4</v>
      </c>
      <c r="N1814" s="2" t="s">
        <v>19</v>
      </c>
      <c r="O1814">
        <v>0</v>
      </c>
    </row>
    <row r="1815" spans="1:15" x14ac:dyDescent="0.3">
      <c r="A1815" s="1">
        <v>45345</v>
      </c>
      <c r="B1815" s="2" t="s">
        <v>16</v>
      </c>
      <c r="C1815" s="2" t="s">
        <v>17</v>
      </c>
      <c r="D1815" s="2" t="s">
        <v>13</v>
      </c>
      <c r="E1815">
        <v>168.65</v>
      </c>
      <c r="F1815">
        <v>42.22</v>
      </c>
      <c r="G1815">
        <v>3</v>
      </c>
      <c r="H1815">
        <f t="shared" si="28"/>
        <v>48675.899999999936</v>
      </c>
      <c r="I1815" t="str">
        <f>IF(Sheet1[[#This Row],[Month_Revenue]] &lt; AVERAGE(Sheet1[Month_Revenue]), "Off-Peak", "Peak")</f>
        <v>Off-Peak</v>
      </c>
      <c r="J1815">
        <f xml:space="preserve"> IF(Sheet1[[#This Row],[Ad Spend]] &gt; 0, (Sheet1[[#This Row],[Profit]] / Sheet1[[#This Row],[Ad Spend]]), 0)</f>
        <v>2.994552344860256</v>
      </c>
      <c r="K1815">
        <f>Sheet1[[#This Row],[Revenue]]-Sheet1[[#This Row],[Ad Spend]]</f>
        <v>126.43</v>
      </c>
      <c r="L1815" s="2" t="s">
        <v>14</v>
      </c>
      <c r="M1815">
        <v>2</v>
      </c>
      <c r="N1815" s="2" t="s">
        <v>15</v>
      </c>
      <c r="O1815">
        <v>56.216666666666669</v>
      </c>
    </row>
    <row r="1816" spans="1:15" x14ac:dyDescent="0.3">
      <c r="A1816" s="1">
        <v>45317</v>
      </c>
      <c r="B1816" s="2" t="s">
        <v>24</v>
      </c>
      <c r="C1816" s="2" t="s">
        <v>17</v>
      </c>
      <c r="D1816" s="2" t="s">
        <v>18</v>
      </c>
      <c r="E1816">
        <v>21.37</v>
      </c>
      <c r="F1816">
        <v>9.5500000000000007</v>
      </c>
      <c r="G1816">
        <v>2</v>
      </c>
      <c r="H1816">
        <f t="shared" si="28"/>
        <v>61207.979999999989</v>
      </c>
      <c r="I1816" t="str">
        <f>IF(Sheet1[[#This Row],[Month_Revenue]] &lt; AVERAGE(Sheet1[Month_Revenue]), "Off-Peak", "Peak")</f>
        <v>Peak</v>
      </c>
      <c r="J1816">
        <f xml:space="preserve"> IF(Sheet1[[#This Row],[Ad Spend]] &gt; 0, (Sheet1[[#This Row],[Profit]] / Sheet1[[#This Row],[Ad Spend]]), 0)</f>
        <v>1.2376963350785339</v>
      </c>
      <c r="K1816">
        <f>Sheet1[[#This Row],[Revenue]]-Sheet1[[#This Row],[Ad Spend]]</f>
        <v>11.82</v>
      </c>
      <c r="L1816" s="2" t="s">
        <v>22</v>
      </c>
      <c r="M1816">
        <v>1</v>
      </c>
      <c r="N1816" s="2" t="s">
        <v>15</v>
      </c>
      <c r="O1816">
        <v>10.685</v>
      </c>
    </row>
    <row r="1817" spans="1:15" x14ac:dyDescent="0.3">
      <c r="A1817" s="1">
        <v>45323</v>
      </c>
      <c r="B1817" s="2" t="s">
        <v>16</v>
      </c>
      <c r="C1817" s="2" t="s">
        <v>17</v>
      </c>
      <c r="D1817" s="2" t="s">
        <v>13</v>
      </c>
      <c r="E1817">
        <v>88.78</v>
      </c>
      <c r="F1817">
        <v>27.48</v>
      </c>
      <c r="G1817">
        <v>2</v>
      </c>
      <c r="H1817">
        <f t="shared" si="28"/>
        <v>48675.899999999936</v>
      </c>
      <c r="I1817" t="str">
        <f>IF(Sheet1[[#This Row],[Month_Revenue]] &lt; AVERAGE(Sheet1[Month_Revenue]), "Off-Peak", "Peak")</f>
        <v>Off-Peak</v>
      </c>
      <c r="J1817">
        <f xml:space="preserve"> IF(Sheet1[[#This Row],[Ad Spend]] &gt; 0, (Sheet1[[#This Row],[Profit]] / Sheet1[[#This Row],[Ad Spend]]), 0)</f>
        <v>2.2307132459970886</v>
      </c>
      <c r="K1817">
        <f>Sheet1[[#This Row],[Revenue]]-Sheet1[[#This Row],[Ad Spend]]</f>
        <v>61.3</v>
      </c>
      <c r="L1817" s="2" t="s">
        <v>22</v>
      </c>
      <c r="M1817">
        <v>2</v>
      </c>
      <c r="N1817" s="2" t="s">
        <v>15</v>
      </c>
      <c r="O1817">
        <v>44.39</v>
      </c>
    </row>
    <row r="1818" spans="1:15" x14ac:dyDescent="0.3">
      <c r="A1818" s="1">
        <v>45294</v>
      </c>
      <c r="B1818" s="2" t="s">
        <v>23</v>
      </c>
      <c r="C1818" s="2" t="s">
        <v>17</v>
      </c>
      <c r="D1818" s="2" t="s">
        <v>18</v>
      </c>
      <c r="E1818">
        <v>191.35</v>
      </c>
      <c r="F1818">
        <v>36.22</v>
      </c>
      <c r="G1818">
        <v>1</v>
      </c>
      <c r="H1818">
        <f t="shared" si="28"/>
        <v>61207.979999999989</v>
      </c>
      <c r="I1818" t="str">
        <f>IF(Sheet1[[#This Row],[Month_Revenue]] &lt; AVERAGE(Sheet1[Month_Revenue]), "Off-Peak", "Peak")</f>
        <v>Peak</v>
      </c>
      <c r="J1818">
        <f xml:space="preserve"> IF(Sheet1[[#This Row],[Ad Spend]] &gt; 0, (Sheet1[[#This Row],[Profit]] / Sheet1[[#This Row],[Ad Spend]]), 0)</f>
        <v>4.2829928216454993</v>
      </c>
      <c r="K1818">
        <f>Sheet1[[#This Row],[Revenue]]-Sheet1[[#This Row],[Ad Spend]]</f>
        <v>155.13</v>
      </c>
      <c r="L1818" s="2" t="s">
        <v>14</v>
      </c>
      <c r="M1818">
        <v>1</v>
      </c>
      <c r="N1818" s="2" t="s">
        <v>15</v>
      </c>
      <c r="O1818">
        <v>191.35</v>
      </c>
    </row>
    <row r="1819" spans="1:15" x14ac:dyDescent="0.3">
      <c r="A1819" s="1">
        <v>45406</v>
      </c>
      <c r="B1819" s="2" t="s">
        <v>23</v>
      </c>
      <c r="C1819" s="2" t="s">
        <v>12</v>
      </c>
      <c r="D1819" s="2" t="s">
        <v>13</v>
      </c>
      <c r="E1819">
        <v>104.17</v>
      </c>
      <c r="F1819">
        <v>14.26</v>
      </c>
      <c r="G1819">
        <v>1</v>
      </c>
      <c r="H1819">
        <f t="shared" si="28"/>
        <v>58562.910000000018</v>
      </c>
      <c r="I1819" t="str">
        <f>IF(Sheet1[[#This Row],[Month_Revenue]] &lt; AVERAGE(Sheet1[Month_Revenue]), "Off-Peak", "Peak")</f>
        <v>Peak</v>
      </c>
      <c r="J1819">
        <f xml:space="preserve"> IF(Sheet1[[#This Row],[Ad Spend]] &gt; 0, (Sheet1[[#This Row],[Profit]] / Sheet1[[#This Row],[Ad Spend]]), 0)</f>
        <v>6.3050490883590458</v>
      </c>
      <c r="K1819">
        <f>Sheet1[[#This Row],[Revenue]]-Sheet1[[#This Row],[Ad Spend]]</f>
        <v>89.91</v>
      </c>
      <c r="L1819" s="2" t="s">
        <v>14</v>
      </c>
      <c r="M1819">
        <v>4</v>
      </c>
      <c r="N1819" s="2" t="s">
        <v>19</v>
      </c>
      <c r="O1819">
        <v>104.17</v>
      </c>
    </row>
    <row r="1820" spans="1:15" x14ac:dyDescent="0.3">
      <c r="A1820" s="1">
        <v>45379</v>
      </c>
      <c r="B1820" s="2" t="s">
        <v>23</v>
      </c>
      <c r="C1820" s="2" t="s">
        <v>17</v>
      </c>
      <c r="D1820" s="2" t="s">
        <v>13</v>
      </c>
      <c r="E1820">
        <v>66.42</v>
      </c>
      <c r="F1820">
        <v>5.84</v>
      </c>
      <c r="G1820">
        <v>3</v>
      </c>
      <c r="H1820">
        <f t="shared" si="28"/>
        <v>54735.250000000029</v>
      </c>
      <c r="I1820" t="str">
        <f>IF(Sheet1[[#This Row],[Month_Revenue]] &lt; AVERAGE(Sheet1[Month_Revenue]), "Off-Peak", "Peak")</f>
        <v>Off-Peak</v>
      </c>
      <c r="J1820">
        <f xml:space="preserve"> IF(Sheet1[[#This Row],[Ad Spend]] &gt; 0, (Sheet1[[#This Row],[Profit]] / Sheet1[[#This Row],[Ad Spend]]), 0)</f>
        <v>10.373287671232877</v>
      </c>
      <c r="K1820">
        <f>Sheet1[[#This Row],[Revenue]]-Sheet1[[#This Row],[Ad Spend]]</f>
        <v>60.58</v>
      </c>
      <c r="L1820" s="2" t="s">
        <v>22</v>
      </c>
      <c r="M1820">
        <v>3</v>
      </c>
      <c r="N1820" s="2" t="s">
        <v>19</v>
      </c>
      <c r="O1820">
        <v>22.14</v>
      </c>
    </row>
    <row r="1821" spans="1:15" x14ac:dyDescent="0.3">
      <c r="A1821" s="1">
        <v>45394</v>
      </c>
      <c r="B1821" s="2" t="s">
        <v>16</v>
      </c>
      <c r="C1821" s="2" t="s">
        <v>17</v>
      </c>
      <c r="D1821" s="2" t="s">
        <v>18</v>
      </c>
      <c r="E1821">
        <v>88.65</v>
      </c>
      <c r="F1821">
        <v>17.149999999999999</v>
      </c>
      <c r="G1821">
        <v>0</v>
      </c>
      <c r="H1821">
        <f t="shared" si="28"/>
        <v>58562.910000000018</v>
      </c>
      <c r="I1821" t="str">
        <f>IF(Sheet1[[#This Row],[Month_Revenue]] &lt; AVERAGE(Sheet1[Month_Revenue]), "Off-Peak", "Peak")</f>
        <v>Peak</v>
      </c>
      <c r="J1821">
        <f xml:space="preserve"> IF(Sheet1[[#This Row],[Ad Spend]] &gt; 0, (Sheet1[[#This Row],[Profit]] / Sheet1[[#This Row],[Ad Spend]]), 0)</f>
        <v>4.1690962099125368</v>
      </c>
      <c r="K1821">
        <f>Sheet1[[#This Row],[Revenue]]-Sheet1[[#This Row],[Ad Spend]]</f>
        <v>71.5</v>
      </c>
      <c r="L1821" s="2" t="s">
        <v>14</v>
      </c>
      <c r="M1821">
        <v>4</v>
      </c>
      <c r="N1821" s="2" t="s">
        <v>19</v>
      </c>
      <c r="O1821">
        <v>0</v>
      </c>
    </row>
    <row r="1822" spans="1:15" x14ac:dyDescent="0.3">
      <c r="A1822" s="1">
        <v>45356</v>
      </c>
      <c r="B1822" s="2" t="s">
        <v>20</v>
      </c>
      <c r="C1822" s="2" t="s">
        <v>12</v>
      </c>
      <c r="D1822" s="2" t="s">
        <v>18</v>
      </c>
      <c r="E1822">
        <v>161.09</v>
      </c>
      <c r="F1822">
        <v>17.29</v>
      </c>
      <c r="G1822">
        <v>2</v>
      </c>
      <c r="H1822">
        <f t="shared" si="28"/>
        <v>54735.250000000029</v>
      </c>
      <c r="I1822" t="str">
        <f>IF(Sheet1[[#This Row],[Month_Revenue]] &lt; AVERAGE(Sheet1[Month_Revenue]), "Off-Peak", "Peak")</f>
        <v>Off-Peak</v>
      </c>
      <c r="J1822">
        <f xml:space="preserve"> IF(Sheet1[[#This Row],[Ad Spend]] &gt; 0, (Sheet1[[#This Row],[Profit]] / Sheet1[[#This Row],[Ad Spend]]), 0)</f>
        <v>8.3169462116830548</v>
      </c>
      <c r="K1822">
        <f>Sheet1[[#This Row],[Revenue]]-Sheet1[[#This Row],[Ad Spend]]</f>
        <v>143.80000000000001</v>
      </c>
      <c r="L1822" s="2" t="s">
        <v>22</v>
      </c>
      <c r="M1822">
        <v>3</v>
      </c>
      <c r="N1822" s="2" t="s">
        <v>19</v>
      </c>
      <c r="O1822">
        <v>80.545000000000002</v>
      </c>
    </row>
    <row r="1823" spans="1:15" x14ac:dyDescent="0.3">
      <c r="A1823" s="1">
        <v>45384</v>
      </c>
      <c r="B1823" s="2" t="s">
        <v>11</v>
      </c>
      <c r="C1823" s="2" t="s">
        <v>21</v>
      </c>
      <c r="D1823" s="2" t="s">
        <v>13</v>
      </c>
      <c r="E1823">
        <v>79.83</v>
      </c>
      <c r="F1823">
        <v>48.25</v>
      </c>
      <c r="G1823">
        <v>0</v>
      </c>
      <c r="H1823">
        <f t="shared" si="28"/>
        <v>58562.910000000018</v>
      </c>
      <c r="I1823" t="str">
        <f>IF(Sheet1[[#This Row],[Month_Revenue]] &lt; AVERAGE(Sheet1[Month_Revenue]), "Off-Peak", "Peak")</f>
        <v>Peak</v>
      </c>
      <c r="J1823">
        <f xml:space="preserve"> IF(Sheet1[[#This Row],[Ad Spend]] &gt; 0, (Sheet1[[#This Row],[Profit]] / Sheet1[[#This Row],[Ad Spend]]), 0)</f>
        <v>0.6545077720207253</v>
      </c>
      <c r="K1823">
        <f>Sheet1[[#This Row],[Revenue]]-Sheet1[[#This Row],[Ad Spend]]</f>
        <v>31.58</v>
      </c>
      <c r="L1823" s="2" t="s">
        <v>22</v>
      </c>
      <c r="M1823">
        <v>4</v>
      </c>
      <c r="N1823" s="2" t="s">
        <v>19</v>
      </c>
      <c r="O1823">
        <v>0</v>
      </c>
    </row>
    <row r="1824" spans="1:15" x14ac:dyDescent="0.3">
      <c r="A1824" s="1">
        <v>45338</v>
      </c>
      <c r="B1824" s="2" t="s">
        <v>23</v>
      </c>
      <c r="C1824" s="2" t="s">
        <v>12</v>
      </c>
      <c r="D1824" s="2" t="s">
        <v>13</v>
      </c>
      <c r="E1824">
        <v>190.69</v>
      </c>
      <c r="F1824">
        <v>15.24</v>
      </c>
      <c r="G1824">
        <v>0</v>
      </c>
      <c r="H1824">
        <f t="shared" si="28"/>
        <v>48675.899999999936</v>
      </c>
      <c r="I1824" t="str">
        <f>IF(Sheet1[[#This Row],[Month_Revenue]] &lt; AVERAGE(Sheet1[Month_Revenue]), "Off-Peak", "Peak")</f>
        <v>Off-Peak</v>
      </c>
      <c r="J1824">
        <f xml:space="preserve"> IF(Sheet1[[#This Row],[Ad Spend]] &gt; 0, (Sheet1[[#This Row],[Profit]] / Sheet1[[#This Row],[Ad Spend]]), 0)</f>
        <v>11.512467191601049</v>
      </c>
      <c r="K1824">
        <f>Sheet1[[#This Row],[Revenue]]-Sheet1[[#This Row],[Ad Spend]]</f>
        <v>175.45</v>
      </c>
      <c r="L1824" s="2" t="s">
        <v>14</v>
      </c>
      <c r="M1824">
        <v>2</v>
      </c>
      <c r="N1824" s="2" t="s">
        <v>15</v>
      </c>
      <c r="O1824">
        <v>0</v>
      </c>
    </row>
    <row r="1825" spans="1:15" x14ac:dyDescent="0.3">
      <c r="A1825" s="1">
        <v>45362</v>
      </c>
      <c r="B1825" s="2" t="s">
        <v>11</v>
      </c>
      <c r="C1825" s="2" t="s">
        <v>21</v>
      </c>
      <c r="D1825" s="2" t="s">
        <v>13</v>
      </c>
      <c r="E1825">
        <v>199.35</v>
      </c>
      <c r="F1825">
        <v>34.130000000000003</v>
      </c>
      <c r="G1825">
        <v>3</v>
      </c>
      <c r="H1825">
        <f t="shared" si="28"/>
        <v>54735.250000000029</v>
      </c>
      <c r="I1825" t="str">
        <f>IF(Sheet1[[#This Row],[Month_Revenue]] &lt; AVERAGE(Sheet1[Month_Revenue]), "Off-Peak", "Peak")</f>
        <v>Off-Peak</v>
      </c>
      <c r="J1825">
        <f xml:space="preserve"> IF(Sheet1[[#This Row],[Ad Spend]] &gt; 0, (Sheet1[[#This Row],[Profit]] / Sheet1[[#This Row],[Ad Spend]]), 0)</f>
        <v>4.8409024318781126</v>
      </c>
      <c r="K1825">
        <f>Sheet1[[#This Row],[Revenue]]-Sheet1[[#This Row],[Ad Spend]]</f>
        <v>165.22</v>
      </c>
      <c r="L1825" s="2" t="s">
        <v>22</v>
      </c>
      <c r="M1825">
        <v>3</v>
      </c>
      <c r="N1825" s="2" t="s">
        <v>19</v>
      </c>
      <c r="O1825">
        <v>66.45</v>
      </c>
    </row>
    <row r="1826" spans="1:15" x14ac:dyDescent="0.3">
      <c r="A1826" s="1">
        <v>45292</v>
      </c>
      <c r="B1826" s="2" t="s">
        <v>11</v>
      </c>
      <c r="C1826" s="2" t="s">
        <v>12</v>
      </c>
      <c r="D1826" s="2" t="s">
        <v>18</v>
      </c>
      <c r="E1826">
        <v>153.24</v>
      </c>
      <c r="F1826">
        <v>32.729999999999997</v>
      </c>
      <c r="G1826">
        <v>2</v>
      </c>
      <c r="H1826">
        <f t="shared" si="28"/>
        <v>61207.979999999989</v>
      </c>
      <c r="I1826" t="str">
        <f>IF(Sheet1[[#This Row],[Month_Revenue]] &lt; AVERAGE(Sheet1[Month_Revenue]), "Off-Peak", "Peak")</f>
        <v>Peak</v>
      </c>
      <c r="J1826">
        <f xml:space="preserve"> IF(Sheet1[[#This Row],[Ad Spend]] &gt; 0, (Sheet1[[#This Row],[Profit]] / Sheet1[[#This Row],[Ad Spend]]), 0)</f>
        <v>3.6819431714023843</v>
      </c>
      <c r="K1826">
        <f>Sheet1[[#This Row],[Revenue]]-Sheet1[[#This Row],[Ad Spend]]</f>
        <v>120.51000000000002</v>
      </c>
      <c r="L1826" s="2" t="s">
        <v>22</v>
      </c>
      <c r="M1826">
        <v>1</v>
      </c>
      <c r="N1826" s="2" t="s">
        <v>15</v>
      </c>
      <c r="O1826">
        <v>76.62</v>
      </c>
    </row>
    <row r="1827" spans="1:15" x14ac:dyDescent="0.3">
      <c r="A1827" s="1">
        <v>45308</v>
      </c>
      <c r="B1827" s="2" t="s">
        <v>20</v>
      </c>
      <c r="C1827" s="2" t="s">
        <v>21</v>
      </c>
      <c r="D1827" s="2" t="s">
        <v>18</v>
      </c>
      <c r="E1827">
        <v>114.64</v>
      </c>
      <c r="F1827">
        <v>40.520000000000003</v>
      </c>
      <c r="G1827">
        <v>0</v>
      </c>
      <c r="H1827">
        <f t="shared" si="28"/>
        <v>61207.979999999989</v>
      </c>
      <c r="I1827" t="str">
        <f>IF(Sheet1[[#This Row],[Month_Revenue]] &lt; AVERAGE(Sheet1[Month_Revenue]), "Off-Peak", "Peak")</f>
        <v>Peak</v>
      </c>
      <c r="J1827">
        <f xml:space="preserve"> IF(Sheet1[[#This Row],[Ad Spend]] &gt; 0, (Sheet1[[#This Row],[Profit]] / Sheet1[[#This Row],[Ad Spend]]), 0)</f>
        <v>1.8292201382033564</v>
      </c>
      <c r="K1827">
        <f>Sheet1[[#This Row],[Revenue]]-Sheet1[[#This Row],[Ad Spend]]</f>
        <v>74.12</v>
      </c>
      <c r="L1827" s="2" t="s">
        <v>22</v>
      </c>
      <c r="M1827">
        <v>1</v>
      </c>
      <c r="N1827" s="2" t="s">
        <v>15</v>
      </c>
      <c r="O1827">
        <v>0</v>
      </c>
    </row>
    <row r="1828" spans="1:15" x14ac:dyDescent="0.3">
      <c r="A1828" s="1">
        <v>45311</v>
      </c>
      <c r="B1828" s="2" t="s">
        <v>20</v>
      </c>
      <c r="C1828" s="2" t="s">
        <v>17</v>
      </c>
      <c r="D1828" s="2" t="s">
        <v>13</v>
      </c>
      <c r="E1828">
        <v>134.22999999999999</v>
      </c>
      <c r="F1828">
        <v>42.09</v>
      </c>
      <c r="G1828">
        <v>1</v>
      </c>
      <c r="H1828">
        <f t="shared" si="28"/>
        <v>61207.979999999989</v>
      </c>
      <c r="I1828" t="str">
        <f>IF(Sheet1[[#This Row],[Month_Revenue]] &lt; AVERAGE(Sheet1[Month_Revenue]), "Off-Peak", "Peak")</f>
        <v>Peak</v>
      </c>
      <c r="J1828">
        <f xml:space="preserve"> IF(Sheet1[[#This Row],[Ad Spend]] &gt; 0, (Sheet1[[#This Row],[Profit]] / Sheet1[[#This Row],[Ad Spend]]), 0)</f>
        <v>2.1891185554763597</v>
      </c>
      <c r="K1828">
        <f>Sheet1[[#This Row],[Revenue]]-Sheet1[[#This Row],[Ad Spend]]</f>
        <v>92.139999999999986</v>
      </c>
      <c r="L1828" s="2" t="s">
        <v>14</v>
      </c>
      <c r="M1828">
        <v>1</v>
      </c>
      <c r="N1828" s="2" t="s">
        <v>15</v>
      </c>
      <c r="O1828">
        <v>134.22999999999999</v>
      </c>
    </row>
    <row r="1829" spans="1:15" x14ac:dyDescent="0.3">
      <c r="A1829" s="1">
        <v>45365</v>
      </c>
      <c r="B1829" s="2" t="s">
        <v>24</v>
      </c>
      <c r="C1829" s="2" t="s">
        <v>12</v>
      </c>
      <c r="D1829" s="2" t="s">
        <v>18</v>
      </c>
      <c r="E1829">
        <v>22.59</v>
      </c>
      <c r="F1829">
        <v>8.8800000000000008</v>
      </c>
      <c r="G1829">
        <v>3</v>
      </c>
      <c r="H1829">
        <f t="shared" si="28"/>
        <v>54735.250000000029</v>
      </c>
      <c r="I1829" t="str">
        <f>IF(Sheet1[[#This Row],[Month_Revenue]] &lt; AVERAGE(Sheet1[Month_Revenue]), "Off-Peak", "Peak")</f>
        <v>Off-Peak</v>
      </c>
      <c r="J1829">
        <f xml:space="preserve"> IF(Sheet1[[#This Row],[Ad Spend]] &gt; 0, (Sheet1[[#This Row],[Profit]] / Sheet1[[#This Row],[Ad Spend]]), 0)</f>
        <v>1.5439189189189186</v>
      </c>
      <c r="K1829">
        <f>Sheet1[[#This Row],[Revenue]]-Sheet1[[#This Row],[Ad Spend]]</f>
        <v>13.709999999999999</v>
      </c>
      <c r="L1829" s="2" t="s">
        <v>22</v>
      </c>
      <c r="M1829">
        <v>3</v>
      </c>
      <c r="N1829" s="2" t="s">
        <v>19</v>
      </c>
      <c r="O1829">
        <v>7.53</v>
      </c>
    </row>
    <row r="1830" spans="1:15" x14ac:dyDescent="0.3">
      <c r="A1830" s="1">
        <v>45323</v>
      </c>
      <c r="B1830" s="2" t="s">
        <v>20</v>
      </c>
      <c r="C1830" s="2" t="s">
        <v>12</v>
      </c>
      <c r="D1830" s="2" t="s">
        <v>18</v>
      </c>
      <c r="E1830">
        <v>68.64</v>
      </c>
      <c r="F1830">
        <v>33.4</v>
      </c>
      <c r="G1830">
        <v>3</v>
      </c>
      <c r="H1830">
        <f t="shared" si="28"/>
        <v>48675.899999999936</v>
      </c>
      <c r="I1830" t="str">
        <f>IF(Sheet1[[#This Row],[Month_Revenue]] &lt; AVERAGE(Sheet1[Month_Revenue]), "Off-Peak", "Peak")</f>
        <v>Off-Peak</v>
      </c>
      <c r="J1830">
        <f xml:space="preserve"> IF(Sheet1[[#This Row],[Ad Spend]] &gt; 0, (Sheet1[[#This Row],[Profit]] / Sheet1[[#This Row],[Ad Spend]]), 0)</f>
        <v>1.0550898203592816</v>
      </c>
      <c r="K1830">
        <f>Sheet1[[#This Row],[Revenue]]-Sheet1[[#This Row],[Ad Spend]]</f>
        <v>35.24</v>
      </c>
      <c r="L1830" s="2" t="s">
        <v>14</v>
      </c>
      <c r="M1830">
        <v>2</v>
      </c>
      <c r="N1830" s="2" t="s">
        <v>15</v>
      </c>
      <c r="O1830">
        <v>22.88</v>
      </c>
    </row>
    <row r="1831" spans="1:15" x14ac:dyDescent="0.3">
      <c r="A1831" s="1">
        <v>45377</v>
      </c>
      <c r="B1831" s="2" t="s">
        <v>23</v>
      </c>
      <c r="C1831" s="2" t="s">
        <v>17</v>
      </c>
      <c r="D1831" s="2" t="s">
        <v>18</v>
      </c>
      <c r="E1831">
        <v>49.12</v>
      </c>
      <c r="F1831">
        <v>46.39</v>
      </c>
      <c r="G1831">
        <v>3</v>
      </c>
      <c r="H1831">
        <f t="shared" si="28"/>
        <v>54735.250000000029</v>
      </c>
      <c r="I1831" t="str">
        <f>IF(Sheet1[[#This Row],[Month_Revenue]] &lt; AVERAGE(Sheet1[Month_Revenue]), "Off-Peak", "Peak")</f>
        <v>Off-Peak</v>
      </c>
      <c r="J1831">
        <f xml:space="preserve"> IF(Sheet1[[#This Row],[Ad Spend]] &gt; 0, (Sheet1[[#This Row],[Profit]] / Sheet1[[#This Row],[Ad Spend]]), 0)</f>
        <v>5.8848889846949706E-2</v>
      </c>
      <c r="K1831">
        <f>Sheet1[[#This Row],[Revenue]]-Sheet1[[#This Row],[Ad Spend]]</f>
        <v>2.7299999999999969</v>
      </c>
      <c r="L1831" s="2" t="s">
        <v>14</v>
      </c>
      <c r="M1831">
        <v>3</v>
      </c>
      <c r="N1831" s="2" t="s">
        <v>19</v>
      </c>
      <c r="O1831">
        <v>16.373333333333331</v>
      </c>
    </row>
    <row r="1832" spans="1:15" x14ac:dyDescent="0.3">
      <c r="A1832" s="1">
        <v>45297</v>
      </c>
      <c r="B1832" s="2" t="s">
        <v>16</v>
      </c>
      <c r="C1832" s="2" t="s">
        <v>12</v>
      </c>
      <c r="D1832" s="2" t="s">
        <v>18</v>
      </c>
      <c r="E1832">
        <v>103.77</v>
      </c>
      <c r="F1832">
        <v>1.89</v>
      </c>
      <c r="G1832">
        <v>3</v>
      </c>
      <c r="H1832">
        <f t="shared" si="28"/>
        <v>61207.979999999989</v>
      </c>
      <c r="I1832" t="str">
        <f>IF(Sheet1[[#This Row],[Month_Revenue]] &lt; AVERAGE(Sheet1[Month_Revenue]), "Off-Peak", "Peak")</f>
        <v>Peak</v>
      </c>
      <c r="J1832">
        <f xml:space="preserve"> IF(Sheet1[[#This Row],[Ad Spend]] &gt; 0, (Sheet1[[#This Row],[Profit]] / Sheet1[[#This Row],[Ad Spend]]), 0)</f>
        <v>53.904761904761905</v>
      </c>
      <c r="K1832">
        <f>Sheet1[[#This Row],[Revenue]]-Sheet1[[#This Row],[Ad Spend]]</f>
        <v>101.88</v>
      </c>
      <c r="L1832" s="2" t="s">
        <v>14</v>
      </c>
      <c r="M1832">
        <v>1</v>
      </c>
      <c r="N1832" s="2" t="s">
        <v>15</v>
      </c>
      <c r="O1832">
        <v>34.589999999999996</v>
      </c>
    </row>
    <row r="1833" spans="1:15" x14ac:dyDescent="0.3">
      <c r="A1833" s="1">
        <v>45340</v>
      </c>
      <c r="B1833" s="2" t="s">
        <v>11</v>
      </c>
      <c r="C1833" s="2" t="s">
        <v>21</v>
      </c>
      <c r="D1833" s="2" t="s">
        <v>13</v>
      </c>
      <c r="E1833">
        <v>146.30000000000001</v>
      </c>
      <c r="F1833">
        <v>40.85</v>
      </c>
      <c r="G1833">
        <v>0</v>
      </c>
      <c r="H1833">
        <f t="shared" si="28"/>
        <v>48675.899999999936</v>
      </c>
      <c r="I1833" t="str">
        <f>IF(Sheet1[[#This Row],[Month_Revenue]] &lt; AVERAGE(Sheet1[Month_Revenue]), "Off-Peak", "Peak")</f>
        <v>Off-Peak</v>
      </c>
      <c r="J1833">
        <f xml:space="preserve"> IF(Sheet1[[#This Row],[Ad Spend]] &gt; 0, (Sheet1[[#This Row],[Profit]] / Sheet1[[#This Row],[Ad Spend]]), 0)</f>
        <v>2.5813953488372094</v>
      </c>
      <c r="K1833">
        <f>Sheet1[[#This Row],[Revenue]]-Sheet1[[#This Row],[Ad Spend]]</f>
        <v>105.45000000000002</v>
      </c>
      <c r="L1833" s="2" t="s">
        <v>14</v>
      </c>
      <c r="M1833">
        <v>2</v>
      </c>
      <c r="N1833" s="2" t="s">
        <v>15</v>
      </c>
      <c r="O1833">
        <v>0</v>
      </c>
    </row>
    <row r="1834" spans="1:15" x14ac:dyDescent="0.3">
      <c r="A1834" s="1">
        <v>45315</v>
      </c>
      <c r="B1834" s="2" t="s">
        <v>23</v>
      </c>
      <c r="C1834" s="2" t="s">
        <v>12</v>
      </c>
      <c r="D1834" s="2" t="s">
        <v>18</v>
      </c>
      <c r="E1834">
        <v>48.42</v>
      </c>
      <c r="F1834">
        <v>16.73</v>
      </c>
      <c r="G1834">
        <v>2</v>
      </c>
      <c r="H1834">
        <f t="shared" si="28"/>
        <v>61207.979999999989</v>
      </c>
      <c r="I1834" t="str">
        <f>IF(Sheet1[[#This Row],[Month_Revenue]] &lt; AVERAGE(Sheet1[Month_Revenue]), "Off-Peak", "Peak")</f>
        <v>Peak</v>
      </c>
      <c r="J1834">
        <f xml:space="preserve"> IF(Sheet1[[#This Row],[Ad Spend]] &gt; 0, (Sheet1[[#This Row],[Profit]] / Sheet1[[#This Row],[Ad Spend]]), 0)</f>
        <v>1.8942020322773461</v>
      </c>
      <c r="K1834">
        <f>Sheet1[[#This Row],[Revenue]]-Sheet1[[#This Row],[Ad Spend]]</f>
        <v>31.69</v>
      </c>
      <c r="L1834" s="2" t="s">
        <v>14</v>
      </c>
      <c r="M1834">
        <v>1</v>
      </c>
      <c r="N1834" s="2" t="s">
        <v>15</v>
      </c>
      <c r="O1834">
        <v>24.21</v>
      </c>
    </row>
    <row r="1835" spans="1:15" x14ac:dyDescent="0.3">
      <c r="A1835" s="1">
        <v>45376</v>
      </c>
      <c r="B1835" s="2" t="s">
        <v>11</v>
      </c>
      <c r="C1835" s="2" t="s">
        <v>21</v>
      </c>
      <c r="D1835" s="2" t="s">
        <v>18</v>
      </c>
      <c r="E1835">
        <v>123.79</v>
      </c>
      <c r="F1835">
        <v>37.53</v>
      </c>
      <c r="G1835">
        <v>2</v>
      </c>
      <c r="H1835">
        <f t="shared" si="28"/>
        <v>54735.250000000029</v>
      </c>
      <c r="I1835" t="str">
        <f>IF(Sheet1[[#This Row],[Month_Revenue]] &lt; AVERAGE(Sheet1[Month_Revenue]), "Off-Peak", "Peak")</f>
        <v>Off-Peak</v>
      </c>
      <c r="J1835">
        <f xml:space="preserve"> IF(Sheet1[[#This Row],[Ad Spend]] &gt; 0, (Sheet1[[#This Row],[Profit]] / Sheet1[[#This Row],[Ad Spend]]), 0)</f>
        <v>2.2984279243272048</v>
      </c>
      <c r="K1835">
        <f>Sheet1[[#This Row],[Revenue]]-Sheet1[[#This Row],[Ad Spend]]</f>
        <v>86.26</v>
      </c>
      <c r="L1835" s="2" t="s">
        <v>14</v>
      </c>
      <c r="M1835">
        <v>3</v>
      </c>
      <c r="N1835" s="2" t="s">
        <v>19</v>
      </c>
      <c r="O1835">
        <v>61.895000000000003</v>
      </c>
    </row>
    <row r="1836" spans="1:15" x14ac:dyDescent="0.3">
      <c r="A1836" s="1">
        <v>45354</v>
      </c>
      <c r="B1836" s="2" t="s">
        <v>23</v>
      </c>
      <c r="C1836" s="2" t="s">
        <v>21</v>
      </c>
      <c r="D1836" s="2" t="s">
        <v>13</v>
      </c>
      <c r="E1836">
        <v>163.85</v>
      </c>
      <c r="F1836">
        <v>23.84</v>
      </c>
      <c r="G1836">
        <v>2</v>
      </c>
      <c r="H1836">
        <f t="shared" si="28"/>
        <v>54735.250000000029</v>
      </c>
      <c r="I1836" t="str">
        <f>IF(Sheet1[[#This Row],[Month_Revenue]] &lt; AVERAGE(Sheet1[Month_Revenue]), "Off-Peak", "Peak")</f>
        <v>Off-Peak</v>
      </c>
      <c r="J1836">
        <f xml:space="preserve"> IF(Sheet1[[#This Row],[Ad Spend]] &gt; 0, (Sheet1[[#This Row],[Profit]] / Sheet1[[#This Row],[Ad Spend]]), 0)</f>
        <v>5.8729026845637584</v>
      </c>
      <c r="K1836">
        <f>Sheet1[[#This Row],[Revenue]]-Sheet1[[#This Row],[Ad Spend]]</f>
        <v>140.01</v>
      </c>
      <c r="L1836" s="2" t="s">
        <v>14</v>
      </c>
      <c r="M1836">
        <v>3</v>
      </c>
      <c r="N1836" s="2" t="s">
        <v>19</v>
      </c>
      <c r="O1836">
        <v>81.924999999999997</v>
      </c>
    </row>
    <row r="1837" spans="1:15" x14ac:dyDescent="0.3">
      <c r="A1837" s="1">
        <v>45355</v>
      </c>
      <c r="B1837" s="2" t="s">
        <v>11</v>
      </c>
      <c r="C1837" s="2" t="s">
        <v>12</v>
      </c>
      <c r="D1837" s="2" t="s">
        <v>18</v>
      </c>
      <c r="E1837">
        <v>23.14</v>
      </c>
      <c r="F1837">
        <v>33.24</v>
      </c>
      <c r="G1837">
        <v>3</v>
      </c>
      <c r="H1837">
        <f t="shared" si="28"/>
        <v>54735.250000000029</v>
      </c>
      <c r="I1837" t="str">
        <f>IF(Sheet1[[#This Row],[Month_Revenue]] &lt; AVERAGE(Sheet1[Month_Revenue]), "Off-Peak", "Peak")</f>
        <v>Off-Peak</v>
      </c>
      <c r="J1837">
        <f xml:space="preserve"> IF(Sheet1[[#This Row],[Ad Spend]] &gt; 0, (Sheet1[[#This Row],[Profit]] / Sheet1[[#This Row],[Ad Spend]]), 0)</f>
        <v>-0.3038507821901324</v>
      </c>
      <c r="K1837">
        <f>Sheet1[[#This Row],[Revenue]]-Sheet1[[#This Row],[Ad Spend]]</f>
        <v>-10.100000000000001</v>
      </c>
      <c r="L1837" s="2" t="s">
        <v>22</v>
      </c>
      <c r="M1837">
        <v>3</v>
      </c>
      <c r="N1837" s="2" t="s">
        <v>19</v>
      </c>
      <c r="O1837">
        <v>7.7133333333333338</v>
      </c>
    </row>
    <row r="1838" spans="1:15" x14ac:dyDescent="0.3">
      <c r="A1838" s="1">
        <v>45376</v>
      </c>
      <c r="B1838" s="2" t="s">
        <v>23</v>
      </c>
      <c r="C1838" s="2" t="s">
        <v>17</v>
      </c>
      <c r="D1838" s="2" t="s">
        <v>13</v>
      </c>
      <c r="E1838">
        <v>123.23</v>
      </c>
      <c r="F1838">
        <v>24.9</v>
      </c>
      <c r="G1838">
        <v>3</v>
      </c>
      <c r="H1838">
        <f t="shared" si="28"/>
        <v>54735.250000000029</v>
      </c>
      <c r="I1838" t="str">
        <f>IF(Sheet1[[#This Row],[Month_Revenue]] &lt; AVERAGE(Sheet1[Month_Revenue]), "Off-Peak", "Peak")</f>
        <v>Off-Peak</v>
      </c>
      <c r="J1838">
        <f xml:space="preserve"> IF(Sheet1[[#This Row],[Ad Spend]] &gt; 0, (Sheet1[[#This Row],[Profit]] / Sheet1[[#This Row],[Ad Spend]]), 0)</f>
        <v>3.9489959839357436</v>
      </c>
      <c r="K1838">
        <f>Sheet1[[#This Row],[Revenue]]-Sheet1[[#This Row],[Ad Spend]]</f>
        <v>98.330000000000013</v>
      </c>
      <c r="L1838" s="2" t="s">
        <v>22</v>
      </c>
      <c r="M1838">
        <v>3</v>
      </c>
      <c r="N1838" s="2" t="s">
        <v>19</v>
      </c>
      <c r="O1838">
        <v>41.076666666666668</v>
      </c>
    </row>
    <row r="1839" spans="1:15" x14ac:dyDescent="0.3">
      <c r="A1839" s="1">
        <v>45388</v>
      </c>
      <c r="B1839" s="2" t="s">
        <v>24</v>
      </c>
      <c r="C1839" s="2" t="s">
        <v>21</v>
      </c>
      <c r="D1839" s="2" t="s">
        <v>18</v>
      </c>
      <c r="E1839">
        <v>159.88</v>
      </c>
      <c r="F1839">
        <v>45.35</v>
      </c>
      <c r="G1839">
        <v>0</v>
      </c>
      <c r="H1839">
        <f t="shared" si="28"/>
        <v>58562.910000000018</v>
      </c>
      <c r="I1839" t="str">
        <f>IF(Sheet1[[#This Row],[Month_Revenue]] &lt; AVERAGE(Sheet1[Month_Revenue]), "Off-Peak", "Peak")</f>
        <v>Peak</v>
      </c>
      <c r="J1839">
        <f xml:space="preserve"> IF(Sheet1[[#This Row],[Ad Spend]] &gt; 0, (Sheet1[[#This Row],[Profit]] / Sheet1[[#This Row],[Ad Spend]]), 0)</f>
        <v>2.525468577728776</v>
      </c>
      <c r="K1839">
        <f>Sheet1[[#This Row],[Revenue]]-Sheet1[[#This Row],[Ad Spend]]</f>
        <v>114.53</v>
      </c>
      <c r="L1839" s="2" t="s">
        <v>14</v>
      </c>
      <c r="M1839">
        <v>4</v>
      </c>
      <c r="N1839" s="2" t="s">
        <v>19</v>
      </c>
      <c r="O1839">
        <v>0</v>
      </c>
    </row>
    <row r="1840" spans="1:15" x14ac:dyDescent="0.3">
      <c r="A1840" s="1">
        <v>45360</v>
      </c>
      <c r="B1840" s="2" t="s">
        <v>11</v>
      </c>
      <c r="C1840" s="2" t="s">
        <v>12</v>
      </c>
      <c r="D1840" s="2" t="s">
        <v>18</v>
      </c>
      <c r="E1840">
        <v>126.04</v>
      </c>
      <c r="F1840">
        <v>12.97</v>
      </c>
      <c r="G1840">
        <v>3</v>
      </c>
      <c r="H1840">
        <f t="shared" si="28"/>
        <v>54735.250000000029</v>
      </c>
      <c r="I1840" t="str">
        <f>IF(Sheet1[[#This Row],[Month_Revenue]] &lt; AVERAGE(Sheet1[Month_Revenue]), "Off-Peak", "Peak")</f>
        <v>Off-Peak</v>
      </c>
      <c r="J1840">
        <f xml:space="preserve"> IF(Sheet1[[#This Row],[Ad Spend]] &gt; 0, (Sheet1[[#This Row],[Profit]] / Sheet1[[#This Row],[Ad Spend]]), 0)</f>
        <v>8.7178103315343094</v>
      </c>
      <c r="K1840">
        <f>Sheet1[[#This Row],[Revenue]]-Sheet1[[#This Row],[Ad Spend]]</f>
        <v>113.07000000000001</v>
      </c>
      <c r="L1840" s="2" t="s">
        <v>14</v>
      </c>
      <c r="M1840">
        <v>3</v>
      </c>
      <c r="N1840" s="2" t="s">
        <v>19</v>
      </c>
      <c r="O1840">
        <v>42.013333333333335</v>
      </c>
    </row>
    <row r="1841" spans="1:15" x14ac:dyDescent="0.3">
      <c r="A1841" s="1">
        <v>45394</v>
      </c>
      <c r="B1841" s="2" t="s">
        <v>24</v>
      </c>
      <c r="C1841" s="2" t="s">
        <v>21</v>
      </c>
      <c r="D1841" s="2" t="s">
        <v>13</v>
      </c>
      <c r="E1841">
        <v>187.2</v>
      </c>
      <c r="F1841">
        <v>15.46</v>
      </c>
      <c r="G1841">
        <v>1</v>
      </c>
      <c r="H1841">
        <f t="shared" si="28"/>
        <v>58562.910000000018</v>
      </c>
      <c r="I1841" t="str">
        <f>IF(Sheet1[[#This Row],[Month_Revenue]] &lt; AVERAGE(Sheet1[Month_Revenue]), "Off-Peak", "Peak")</f>
        <v>Peak</v>
      </c>
      <c r="J1841">
        <f xml:space="preserve"> IF(Sheet1[[#This Row],[Ad Spend]] &gt; 0, (Sheet1[[#This Row],[Profit]] / Sheet1[[#This Row],[Ad Spend]]), 0)</f>
        <v>11.108667529107372</v>
      </c>
      <c r="K1841">
        <f>Sheet1[[#This Row],[Revenue]]-Sheet1[[#This Row],[Ad Spend]]</f>
        <v>171.73999999999998</v>
      </c>
      <c r="L1841" s="2" t="s">
        <v>22</v>
      </c>
      <c r="M1841">
        <v>4</v>
      </c>
      <c r="N1841" s="2" t="s">
        <v>19</v>
      </c>
      <c r="O1841">
        <v>187.2</v>
      </c>
    </row>
    <row r="1842" spans="1:15" x14ac:dyDescent="0.3">
      <c r="A1842" s="1">
        <v>45339</v>
      </c>
      <c r="B1842" s="2" t="s">
        <v>16</v>
      </c>
      <c r="C1842" s="2" t="s">
        <v>12</v>
      </c>
      <c r="D1842" s="2" t="s">
        <v>18</v>
      </c>
      <c r="E1842">
        <v>65.91</v>
      </c>
      <c r="F1842">
        <v>41.59</v>
      </c>
      <c r="G1842">
        <v>2</v>
      </c>
      <c r="H1842">
        <f t="shared" si="28"/>
        <v>48675.899999999936</v>
      </c>
      <c r="I1842" t="str">
        <f>IF(Sheet1[[#This Row],[Month_Revenue]] &lt; AVERAGE(Sheet1[Month_Revenue]), "Off-Peak", "Peak")</f>
        <v>Off-Peak</v>
      </c>
      <c r="J1842">
        <f xml:space="preserve"> IF(Sheet1[[#This Row],[Ad Spend]] &gt; 0, (Sheet1[[#This Row],[Profit]] / Sheet1[[#This Row],[Ad Spend]]), 0)</f>
        <v>0.58475595094974731</v>
      </c>
      <c r="K1842">
        <f>Sheet1[[#This Row],[Revenue]]-Sheet1[[#This Row],[Ad Spend]]</f>
        <v>24.319999999999993</v>
      </c>
      <c r="L1842" s="2" t="s">
        <v>22</v>
      </c>
      <c r="M1842">
        <v>2</v>
      </c>
      <c r="N1842" s="2" t="s">
        <v>15</v>
      </c>
      <c r="O1842">
        <v>32.954999999999998</v>
      </c>
    </row>
    <row r="1843" spans="1:15" x14ac:dyDescent="0.3">
      <c r="A1843" s="1">
        <v>45411</v>
      </c>
      <c r="B1843" s="2" t="s">
        <v>24</v>
      </c>
      <c r="C1843" s="2" t="s">
        <v>17</v>
      </c>
      <c r="D1843" s="2" t="s">
        <v>18</v>
      </c>
      <c r="E1843">
        <v>69.61</v>
      </c>
      <c r="F1843">
        <v>12.71</v>
      </c>
      <c r="G1843">
        <v>1</v>
      </c>
      <c r="H1843">
        <f t="shared" si="28"/>
        <v>58562.910000000018</v>
      </c>
      <c r="I1843" t="str">
        <f>IF(Sheet1[[#This Row],[Month_Revenue]] &lt; AVERAGE(Sheet1[Month_Revenue]), "Off-Peak", "Peak")</f>
        <v>Peak</v>
      </c>
      <c r="J1843">
        <f xml:space="preserve"> IF(Sheet1[[#This Row],[Ad Spend]] &gt; 0, (Sheet1[[#This Row],[Profit]] / Sheet1[[#This Row],[Ad Spend]]), 0)</f>
        <v>4.4767899291896143</v>
      </c>
      <c r="K1843">
        <f>Sheet1[[#This Row],[Revenue]]-Sheet1[[#This Row],[Ad Spend]]</f>
        <v>56.9</v>
      </c>
      <c r="L1843" s="2" t="s">
        <v>14</v>
      </c>
      <c r="M1843">
        <v>4</v>
      </c>
      <c r="N1843" s="2" t="s">
        <v>19</v>
      </c>
      <c r="O1843">
        <v>69.61</v>
      </c>
    </row>
    <row r="1844" spans="1:15" x14ac:dyDescent="0.3">
      <c r="A1844" s="1">
        <v>45317</v>
      </c>
      <c r="B1844" s="2" t="s">
        <v>11</v>
      </c>
      <c r="C1844" s="2" t="s">
        <v>12</v>
      </c>
      <c r="D1844" s="2" t="s">
        <v>18</v>
      </c>
      <c r="E1844">
        <v>195.84</v>
      </c>
      <c r="F1844">
        <v>43.16</v>
      </c>
      <c r="G1844">
        <v>2</v>
      </c>
      <c r="H1844">
        <f t="shared" si="28"/>
        <v>61207.979999999989</v>
      </c>
      <c r="I1844" t="str">
        <f>IF(Sheet1[[#This Row],[Month_Revenue]] &lt; AVERAGE(Sheet1[Month_Revenue]), "Off-Peak", "Peak")</f>
        <v>Peak</v>
      </c>
      <c r="J1844">
        <f xml:space="preserve"> IF(Sheet1[[#This Row],[Ad Spend]] &gt; 0, (Sheet1[[#This Row],[Profit]] / Sheet1[[#This Row],[Ad Spend]]), 0)</f>
        <v>3.5375347544022246</v>
      </c>
      <c r="K1844">
        <f>Sheet1[[#This Row],[Revenue]]-Sheet1[[#This Row],[Ad Spend]]</f>
        <v>152.68</v>
      </c>
      <c r="L1844" s="2" t="s">
        <v>22</v>
      </c>
      <c r="M1844">
        <v>1</v>
      </c>
      <c r="N1844" s="2" t="s">
        <v>15</v>
      </c>
      <c r="O1844">
        <v>97.92</v>
      </c>
    </row>
    <row r="1845" spans="1:15" x14ac:dyDescent="0.3">
      <c r="A1845" s="1">
        <v>45297</v>
      </c>
      <c r="B1845" s="2" t="s">
        <v>24</v>
      </c>
      <c r="C1845" s="2" t="s">
        <v>21</v>
      </c>
      <c r="D1845" s="2" t="s">
        <v>18</v>
      </c>
      <c r="E1845">
        <v>64.66</v>
      </c>
      <c r="F1845">
        <v>41.83</v>
      </c>
      <c r="G1845">
        <v>3</v>
      </c>
      <c r="H1845">
        <f t="shared" si="28"/>
        <v>61207.979999999989</v>
      </c>
      <c r="I1845" t="str">
        <f>IF(Sheet1[[#This Row],[Month_Revenue]] &lt; AVERAGE(Sheet1[Month_Revenue]), "Off-Peak", "Peak")</f>
        <v>Peak</v>
      </c>
      <c r="J1845">
        <f xml:space="preserve"> IF(Sheet1[[#This Row],[Ad Spend]] &gt; 0, (Sheet1[[#This Row],[Profit]] / Sheet1[[#This Row],[Ad Spend]]), 0)</f>
        <v>0.54578054028209422</v>
      </c>
      <c r="K1845">
        <f>Sheet1[[#This Row],[Revenue]]-Sheet1[[#This Row],[Ad Spend]]</f>
        <v>22.83</v>
      </c>
      <c r="L1845" s="2" t="s">
        <v>14</v>
      </c>
      <c r="M1845">
        <v>1</v>
      </c>
      <c r="N1845" s="2" t="s">
        <v>15</v>
      </c>
      <c r="O1845">
        <v>21.553333333333331</v>
      </c>
    </row>
    <row r="1846" spans="1:15" x14ac:dyDescent="0.3">
      <c r="A1846" s="1">
        <v>45299</v>
      </c>
      <c r="B1846" s="2" t="s">
        <v>16</v>
      </c>
      <c r="C1846" s="2" t="s">
        <v>17</v>
      </c>
      <c r="D1846" s="2" t="s">
        <v>18</v>
      </c>
      <c r="E1846">
        <v>32.31</v>
      </c>
      <c r="F1846">
        <v>36.15</v>
      </c>
      <c r="G1846">
        <v>2</v>
      </c>
      <c r="H1846">
        <f t="shared" si="28"/>
        <v>61207.979999999989</v>
      </c>
      <c r="I1846" t="str">
        <f>IF(Sheet1[[#This Row],[Month_Revenue]] &lt; AVERAGE(Sheet1[Month_Revenue]), "Off-Peak", "Peak")</f>
        <v>Peak</v>
      </c>
      <c r="J1846">
        <f xml:space="preserve"> IF(Sheet1[[#This Row],[Ad Spend]] &gt; 0, (Sheet1[[#This Row],[Profit]] / Sheet1[[#This Row],[Ad Spend]]), 0)</f>
        <v>-0.10622406639004139</v>
      </c>
      <c r="K1846">
        <f>Sheet1[[#This Row],[Revenue]]-Sheet1[[#This Row],[Ad Spend]]</f>
        <v>-3.8399999999999963</v>
      </c>
      <c r="L1846" s="2" t="s">
        <v>14</v>
      </c>
      <c r="M1846">
        <v>1</v>
      </c>
      <c r="N1846" s="2" t="s">
        <v>15</v>
      </c>
      <c r="O1846">
        <v>16.155000000000001</v>
      </c>
    </row>
    <row r="1847" spans="1:15" x14ac:dyDescent="0.3">
      <c r="A1847" s="1">
        <v>45402</v>
      </c>
      <c r="B1847" s="2" t="s">
        <v>23</v>
      </c>
      <c r="C1847" s="2" t="s">
        <v>12</v>
      </c>
      <c r="D1847" s="2" t="s">
        <v>18</v>
      </c>
      <c r="E1847">
        <v>41.05</v>
      </c>
      <c r="F1847">
        <v>41.41</v>
      </c>
      <c r="G1847">
        <v>1</v>
      </c>
      <c r="H1847">
        <f t="shared" si="28"/>
        <v>58562.910000000018</v>
      </c>
      <c r="I1847" t="str">
        <f>IF(Sheet1[[#This Row],[Month_Revenue]] &lt; AVERAGE(Sheet1[Month_Revenue]), "Off-Peak", "Peak")</f>
        <v>Peak</v>
      </c>
      <c r="J1847">
        <f xml:space="preserve"> IF(Sheet1[[#This Row],[Ad Spend]] &gt; 0, (Sheet1[[#This Row],[Profit]] / Sheet1[[#This Row],[Ad Spend]]), 0)</f>
        <v>-8.6935522820574609E-3</v>
      </c>
      <c r="K1847">
        <f>Sheet1[[#This Row],[Revenue]]-Sheet1[[#This Row],[Ad Spend]]</f>
        <v>-0.35999999999999943</v>
      </c>
      <c r="L1847" s="2" t="s">
        <v>22</v>
      </c>
      <c r="M1847">
        <v>4</v>
      </c>
      <c r="N1847" s="2" t="s">
        <v>19</v>
      </c>
      <c r="O1847">
        <v>41.05</v>
      </c>
    </row>
    <row r="1848" spans="1:15" x14ac:dyDescent="0.3">
      <c r="A1848" s="1">
        <v>45328</v>
      </c>
      <c r="B1848" s="2" t="s">
        <v>20</v>
      </c>
      <c r="C1848" s="2" t="s">
        <v>21</v>
      </c>
      <c r="D1848" s="2" t="s">
        <v>18</v>
      </c>
      <c r="E1848">
        <v>180.63</v>
      </c>
      <c r="F1848">
        <v>0.42</v>
      </c>
      <c r="G1848">
        <v>0</v>
      </c>
      <c r="H1848">
        <f t="shared" si="28"/>
        <v>48675.899999999936</v>
      </c>
      <c r="I1848" t="str">
        <f>IF(Sheet1[[#This Row],[Month_Revenue]] &lt; AVERAGE(Sheet1[Month_Revenue]), "Off-Peak", "Peak")</f>
        <v>Off-Peak</v>
      </c>
      <c r="J1848">
        <f xml:space="preserve"> IF(Sheet1[[#This Row],[Ad Spend]] &gt; 0, (Sheet1[[#This Row],[Profit]] / Sheet1[[#This Row],[Ad Spend]]), 0)</f>
        <v>429.07142857142861</v>
      </c>
      <c r="K1848">
        <f>Sheet1[[#This Row],[Revenue]]-Sheet1[[#This Row],[Ad Spend]]</f>
        <v>180.21</v>
      </c>
      <c r="L1848" s="2" t="s">
        <v>14</v>
      </c>
      <c r="M1848">
        <v>2</v>
      </c>
      <c r="N1848" s="2" t="s">
        <v>15</v>
      </c>
      <c r="O1848">
        <v>0</v>
      </c>
    </row>
    <row r="1849" spans="1:15" x14ac:dyDescent="0.3">
      <c r="A1849" s="1">
        <v>45384</v>
      </c>
      <c r="B1849" s="2" t="s">
        <v>16</v>
      </c>
      <c r="C1849" s="2" t="s">
        <v>21</v>
      </c>
      <c r="D1849" s="2" t="s">
        <v>13</v>
      </c>
      <c r="E1849">
        <v>148.53</v>
      </c>
      <c r="F1849">
        <v>11.31</v>
      </c>
      <c r="G1849">
        <v>2</v>
      </c>
      <c r="H1849">
        <f t="shared" si="28"/>
        <v>58562.910000000018</v>
      </c>
      <c r="I1849" t="str">
        <f>IF(Sheet1[[#This Row],[Month_Revenue]] &lt; AVERAGE(Sheet1[Month_Revenue]), "Off-Peak", "Peak")</f>
        <v>Peak</v>
      </c>
      <c r="J1849">
        <f xml:space="preserve"> IF(Sheet1[[#This Row],[Ad Spend]] &gt; 0, (Sheet1[[#This Row],[Profit]] / Sheet1[[#This Row],[Ad Spend]]), 0)</f>
        <v>12.13262599469496</v>
      </c>
      <c r="K1849">
        <f>Sheet1[[#This Row],[Revenue]]-Sheet1[[#This Row],[Ad Spend]]</f>
        <v>137.22</v>
      </c>
      <c r="L1849" s="2" t="s">
        <v>14</v>
      </c>
      <c r="M1849">
        <v>4</v>
      </c>
      <c r="N1849" s="2" t="s">
        <v>19</v>
      </c>
      <c r="O1849">
        <v>74.265000000000001</v>
      </c>
    </row>
    <row r="1850" spans="1:15" x14ac:dyDescent="0.3">
      <c r="A1850" s="1">
        <v>45341</v>
      </c>
      <c r="B1850" s="2" t="s">
        <v>16</v>
      </c>
      <c r="C1850" s="2" t="s">
        <v>12</v>
      </c>
      <c r="D1850" s="2" t="s">
        <v>13</v>
      </c>
      <c r="E1850">
        <v>30.33</v>
      </c>
      <c r="F1850">
        <v>36.270000000000003</v>
      </c>
      <c r="G1850">
        <v>3</v>
      </c>
      <c r="H1850">
        <f t="shared" si="28"/>
        <v>48675.899999999936</v>
      </c>
      <c r="I1850" t="str">
        <f>IF(Sheet1[[#This Row],[Month_Revenue]] &lt; AVERAGE(Sheet1[Month_Revenue]), "Off-Peak", "Peak")</f>
        <v>Off-Peak</v>
      </c>
      <c r="J1850">
        <f xml:space="preserve"> IF(Sheet1[[#This Row],[Ad Spend]] &gt; 0, (Sheet1[[#This Row],[Profit]] / Sheet1[[#This Row],[Ad Spend]]), 0)</f>
        <v>-0.16377171215880906</v>
      </c>
      <c r="K1850">
        <f>Sheet1[[#This Row],[Revenue]]-Sheet1[[#This Row],[Ad Spend]]</f>
        <v>-5.9400000000000048</v>
      </c>
      <c r="L1850" s="2" t="s">
        <v>14</v>
      </c>
      <c r="M1850">
        <v>2</v>
      </c>
      <c r="N1850" s="2" t="s">
        <v>15</v>
      </c>
      <c r="O1850">
        <v>10.11</v>
      </c>
    </row>
    <row r="1851" spans="1:15" x14ac:dyDescent="0.3">
      <c r="A1851" s="1">
        <v>45337</v>
      </c>
      <c r="B1851" s="2" t="s">
        <v>23</v>
      </c>
      <c r="C1851" s="2" t="s">
        <v>12</v>
      </c>
      <c r="D1851" s="2" t="s">
        <v>18</v>
      </c>
      <c r="E1851">
        <v>49.4</v>
      </c>
      <c r="F1851">
        <v>41.3</v>
      </c>
      <c r="G1851">
        <v>0</v>
      </c>
      <c r="H1851">
        <f t="shared" si="28"/>
        <v>48675.899999999936</v>
      </c>
      <c r="I1851" t="str">
        <f>IF(Sheet1[[#This Row],[Month_Revenue]] &lt; AVERAGE(Sheet1[Month_Revenue]), "Off-Peak", "Peak")</f>
        <v>Off-Peak</v>
      </c>
      <c r="J1851">
        <f xml:space="preserve"> IF(Sheet1[[#This Row],[Ad Spend]] &gt; 0, (Sheet1[[#This Row],[Profit]] / Sheet1[[#This Row],[Ad Spend]]), 0)</f>
        <v>0.19612590799031482</v>
      </c>
      <c r="K1851">
        <f>Sheet1[[#This Row],[Revenue]]-Sheet1[[#This Row],[Ad Spend]]</f>
        <v>8.1000000000000014</v>
      </c>
      <c r="L1851" s="2" t="s">
        <v>22</v>
      </c>
      <c r="M1851">
        <v>2</v>
      </c>
      <c r="N1851" s="2" t="s">
        <v>15</v>
      </c>
      <c r="O1851">
        <v>0</v>
      </c>
    </row>
    <row r="1852" spans="1:15" x14ac:dyDescent="0.3">
      <c r="A1852" s="1">
        <v>45352</v>
      </c>
      <c r="B1852" s="2" t="s">
        <v>20</v>
      </c>
      <c r="C1852" s="2" t="s">
        <v>17</v>
      </c>
      <c r="D1852" s="2" t="s">
        <v>18</v>
      </c>
      <c r="E1852">
        <v>128.25</v>
      </c>
      <c r="F1852">
        <v>5.0599999999999996</v>
      </c>
      <c r="G1852">
        <v>0</v>
      </c>
      <c r="H1852">
        <f t="shared" si="28"/>
        <v>54735.250000000029</v>
      </c>
      <c r="I1852" t="str">
        <f>IF(Sheet1[[#This Row],[Month_Revenue]] &lt; AVERAGE(Sheet1[Month_Revenue]), "Off-Peak", "Peak")</f>
        <v>Off-Peak</v>
      </c>
      <c r="J1852">
        <f xml:space="preserve"> IF(Sheet1[[#This Row],[Ad Spend]] &gt; 0, (Sheet1[[#This Row],[Profit]] / Sheet1[[#This Row],[Ad Spend]]), 0)</f>
        <v>24.345849802371543</v>
      </c>
      <c r="K1852">
        <f>Sheet1[[#This Row],[Revenue]]-Sheet1[[#This Row],[Ad Spend]]</f>
        <v>123.19</v>
      </c>
      <c r="L1852" s="2" t="s">
        <v>14</v>
      </c>
      <c r="M1852">
        <v>3</v>
      </c>
      <c r="N1852" s="2" t="s">
        <v>19</v>
      </c>
      <c r="O1852">
        <v>0</v>
      </c>
    </row>
    <row r="1853" spans="1:15" x14ac:dyDescent="0.3">
      <c r="A1853" s="1">
        <v>45315</v>
      </c>
      <c r="B1853" s="2" t="s">
        <v>24</v>
      </c>
      <c r="C1853" s="2" t="s">
        <v>17</v>
      </c>
      <c r="D1853" s="2" t="s">
        <v>18</v>
      </c>
      <c r="E1853">
        <v>115.09</v>
      </c>
      <c r="F1853">
        <v>46.51</v>
      </c>
      <c r="G1853">
        <v>1</v>
      </c>
      <c r="H1853">
        <f t="shared" si="28"/>
        <v>61207.979999999989</v>
      </c>
      <c r="I1853" t="str">
        <f>IF(Sheet1[[#This Row],[Month_Revenue]] &lt; AVERAGE(Sheet1[Month_Revenue]), "Off-Peak", "Peak")</f>
        <v>Peak</v>
      </c>
      <c r="J1853">
        <f xml:space="preserve"> IF(Sheet1[[#This Row],[Ad Spend]] &gt; 0, (Sheet1[[#This Row],[Profit]] / Sheet1[[#This Row],[Ad Spend]]), 0)</f>
        <v>1.4745216082562893</v>
      </c>
      <c r="K1853">
        <f>Sheet1[[#This Row],[Revenue]]-Sheet1[[#This Row],[Ad Spend]]</f>
        <v>68.580000000000013</v>
      </c>
      <c r="L1853" s="2" t="s">
        <v>22</v>
      </c>
      <c r="M1853">
        <v>1</v>
      </c>
      <c r="N1853" s="2" t="s">
        <v>15</v>
      </c>
      <c r="O1853">
        <v>115.09</v>
      </c>
    </row>
    <row r="1854" spans="1:15" x14ac:dyDescent="0.3">
      <c r="A1854" s="1">
        <v>45365</v>
      </c>
      <c r="B1854" s="2" t="s">
        <v>23</v>
      </c>
      <c r="C1854" s="2" t="s">
        <v>21</v>
      </c>
      <c r="D1854" s="2" t="s">
        <v>18</v>
      </c>
      <c r="E1854">
        <v>70.75</v>
      </c>
      <c r="F1854">
        <v>44.08</v>
      </c>
      <c r="G1854">
        <v>0</v>
      </c>
      <c r="H1854">
        <f t="shared" si="28"/>
        <v>54735.250000000029</v>
      </c>
      <c r="I1854" t="str">
        <f>IF(Sheet1[[#This Row],[Month_Revenue]] &lt; AVERAGE(Sheet1[Month_Revenue]), "Off-Peak", "Peak")</f>
        <v>Off-Peak</v>
      </c>
      <c r="J1854">
        <f xml:space="preserve"> IF(Sheet1[[#This Row],[Ad Spend]] &gt; 0, (Sheet1[[#This Row],[Profit]] / Sheet1[[#This Row],[Ad Spend]]), 0)</f>
        <v>0.60503629764065336</v>
      </c>
      <c r="K1854">
        <f>Sheet1[[#This Row],[Revenue]]-Sheet1[[#This Row],[Ad Spend]]</f>
        <v>26.67</v>
      </c>
      <c r="L1854" s="2" t="s">
        <v>14</v>
      </c>
      <c r="M1854">
        <v>3</v>
      </c>
      <c r="N1854" s="2" t="s">
        <v>19</v>
      </c>
      <c r="O1854">
        <v>0</v>
      </c>
    </row>
    <row r="1855" spans="1:15" x14ac:dyDescent="0.3">
      <c r="A1855" s="1">
        <v>45349</v>
      </c>
      <c r="B1855" s="2" t="s">
        <v>23</v>
      </c>
      <c r="C1855" s="2" t="s">
        <v>21</v>
      </c>
      <c r="D1855" s="2" t="s">
        <v>18</v>
      </c>
      <c r="E1855">
        <v>113.99</v>
      </c>
      <c r="F1855">
        <v>44.36</v>
      </c>
      <c r="G1855">
        <v>2</v>
      </c>
      <c r="H1855">
        <f t="shared" si="28"/>
        <v>48675.899999999936</v>
      </c>
      <c r="I1855" t="str">
        <f>IF(Sheet1[[#This Row],[Month_Revenue]] &lt; AVERAGE(Sheet1[Month_Revenue]), "Off-Peak", "Peak")</f>
        <v>Off-Peak</v>
      </c>
      <c r="J1855">
        <f xml:space="preserve"> IF(Sheet1[[#This Row],[Ad Spend]] &gt; 0, (Sheet1[[#This Row],[Profit]] / Sheet1[[#This Row],[Ad Spend]]), 0)</f>
        <v>1.5696573489630297</v>
      </c>
      <c r="K1855">
        <f>Sheet1[[#This Row],[Revenue]]-Sheet1[[#This Row],[Ad Spend]]</f>
        <v>69.63</v>
      </c>
      <c r="L1855" s="2" t="s">
        <v>14</v>
      </c>
      <c r="M1855">
        <v>2</v>
      </c>
      <c r="N1855" s="2" t="s">
        <v>15</v>
      </c>
      <c r="O1855">
        <v>56.994999999999997</v>
      </c>
    </row>
    <row r="1856" spans="1:15" x14ac:dyDescent="0.3">
      <c r="A1856" s="1">
        <v>45366</v>
      </c>
      <c r="B1856" s="2" t="s">
        <v>24</v>
      </c>
      <c r="C1856" s="2" t="s">
        <v>17</v>
      </c>
      <c r="D1856" s="2" t="s">
        <v>13</v>
      </c>
      <c r="E1856">
        <v>36.479999999999997</v>
      </c>
      <c r="F1856">
        <v>47.03</v>
      </c>
      <c r="G1856">
        <v>3</v>
      </c>
      <c r="H1856">
        <f t="shared" si="28"/>
        <v>54735.250000000029</v>
      </c>
      <c r="I1856" t="str">
        <f>IF(Sheet1[[#This Row],[Month_Revenue]] &lt; AVERAGE(Sheet1[Month_Revenue]), "Off-Peak", "Peak")</f>
        <v>Off-Peak</v>
      </c>
      <c r="J1856">
        <f xml:space="preserve"> IF(Sheet1[[#This Row],[Ad Spend]] &gt; 0, (Sheet1[[#This Row],[Profit]] / Sheet1[[#This Row],[Ad Spend]]), 0)</f>
        <v>-0.22432489900063798</v>
      </c>
      <c r="K1856">
        <f>Sheet1[[#This Row],[Revenue]]-Sheet1[[#This Row],[Ad Spend]]</f>
        <v>-10.550000000000004</v>
      </c>
      <c r="L1856" s="2" t="s">
        <v>14</v>
      </c>
      <c r="M1856">
        <v>3</v>
      </c>
      <c r="N1856" s="2" t="s">
        <v>19</v>
      </c>
      <c r="O1856">
        <v>12.159999999999998</v>
      </c>
    </row>
    <row r="1857" spans="1:15" x14ac:dyDescent="0.3">
      <c r="A1857" s="1">
        <v>45374</v>
      </c>
      <c r="B1857" s="2" t="s">
        <v>24</v>
      </c>
      <c r="C1857" s="2" t="s">
        <v>17</v>
      </c>
      <c r="D1857" s="2" t="s">
        <v>13</v>
      </c>
      <c r="E1857">
        <v>34.47</v>
      </c>
      <c r="F1857">
        <v>31.85</v>
      </c>
      <c r="G1857">
        <v>3</v>
      </c>
      <c r="H1857">
        <f t="shared" si="28"/>
        <v>54735.250000000029</v>
      </c>
      <c r="I1857" t="str">
        <f>IF(Sheet1[[#This Row],[Month_Revenue]] &lt; AVERAGE(Sheet1[Month_Revenue]), "Off-Peak", "Peak")</f>
        <v>Off-Peak</v>
      </c>
      <c r="J1857">
        <f xml:space="preserve"> IF(Sheet1[[#This Row],[Ad Spend]] &gt; 0, (Sheet1[[#This Row],[Profit]] / Sheet1[[#This Row],[Ad Spend]]), 0)</f>
        <v>8.2260596546310752E-2</v>
      </c>
      <c r="K1857">
        <f>Sheet1[[#This Row],[Revenue]]-Sheet1[[#This Row],[Ad Spend]]</f>
        <v>2.6199999999999974</v>
      </c>
      <c r="L1857" s="2" t="s">
        <v>22</v>
      </c>
      <c r="M1857">
        <v>3</v>
      </c>
      <c r="N1857" s="2" t="s">
        <v>19</v>
      </c>
      <c r="O1857">
        <v>11.49</v>
      </c>
    </row>
    <row r="1858" spans="1:15" x14ac:dyDescent="0.3">
      <c r="A1858" s="1">
        <v>45399</v>
      </c>
      <c r="B1858" s="2" t="s">
        <v>23</v>
      </c>
      <c r="C1858" s="2" t="s">
        <v>21</v>
      </c>
      <c r="D1858" s="2" t="s">
        <v>18</v>
      </c>
      <c r="E1858">
        <v>94.75</v>
      </c>
      <c r="F1858">
        <v>39.909999999999997</v>
      </c>
      <c r="G1858">
        <v>0</v>
      </c>
      <c r="H1858">
        <f t="shared" ref="H1858:H1921" si="29">SUMIFS($E$2:$E$2001, $M$2:$M$2001, M1858)</f>
        <v>58562.910000000018</v>
      </c>
      <c r="I1858" t="str">
        <f>IF(Sheet1[[#This Row],[Month_Revenue]] &lt; AVERAGE(Sheet1[Month_Revenue]), "Off-Peak", "Peak")</f>
        <v>Peak</v>
      </c>
      <c r="J1858">
        <f xml:space="preserve"> IF(Sheet1[[#This Row],[Ad Spend]] &gt; 0, (Sheet1[[#This Row],[Profit]] / Sheet1[[#This Row],[Ad Spend]]), 0)</f>
        <v>1.3740917063392635</v>
      </c>
      <c r="K1858">
        <f>Sheet1[[#This Row],[Revenue]]-Sheet1[[#This Row],[Ad Spend]]</f>
        <v>54.84</v>
      </c>
      <c r="L1858" s="2" t="s">
        <v>14</v>
      </c>
      <c r="M1858">
        <v>4</v>
      </c>
      <c r="N1858" s="2" t="s">
        <v>19</v>
      </c>
      <c r="O1858">
        <v>0</v>
      </c>
    </row>
    <row r="1859" spans="1:15" x14ac:dyDescent="0.3">
      <c r="A1859" s="1">
        <v>45292</v>
      </c>
      <c r="B1859" s="2" t="s">
        <v>24</v>
      </c>
      <c r="C1859" s="2" t="s">
        <v>17</v>
      </c>
      <c r="D1859" s="2" t="s">
        <v>18</v>
      </c>
      <c r="E1859">
        <v>107.01</v>
      </c>
      <c r="F1859">
        <v>6.48</v>
      </c>
      <c r="G1859">
        <v>0</v>
      </c>
      <c r="H1859">
        <f t="shared" si="29"/>
        <v>61207.979999999989</v>
      </c>
      <c r="I1859" t="str">
        <f>IF(Sheet1[[#This Row],[Month_Revenue]] &lt; AVERAGE(Sheet1[Month_Revenue]), "Off-Peak", "Peak")</f>
        <v>Peak</v>
      </c>
      <c r="J1859">
        <f xml:space="preserve"> IF(Sheet1[[#This Row],[Ad Spend]] &gt; 0, (Sheet1[[#This Row],[Profit]] / Sheet1[[#This Row],[Ad Spend]]), 0)</f>
        <v>15.513888888888888</v>
      </c>
      <c r="K1859">
        <f>Sheet1[[#This Row],[Revenue]]-Sheet1[[#This Row],[Ad Spend]]</f>
        <v>100.53</v>
      </c>
      <c r="L1859" s="2" t="s">
        <v>14</v>
      </c>
      <c r="M1859">
        <v>1</v>
      </c>
      <c r="N1859" s="2" t="s">
        <v>15</v>
      </c>
      <c r="O1859">
        <v>0</v>
      </c>
    </row>
    <row r="1860" spans="1:15" x14ac:dyDescent="0.3">
      <c r="A1860" s="1">
        <v>45335</v>
      </c>
      <c r="B1860" s="2" t="s">
        <v>20</v>
      </c>
      <c r="C1860" s="2" t="s">
        <v>12</v>
      </c>
      <c r="D1860" s="2" t="s">
        <v>18</v>
      </c>
      <c r="E1860">
        <v>90.38</v>
      </c>
      <c r="F1860">
        <v>2.88</v>
      </c>
      <c r="G1860">
        <v>3</v>
      </c>
      <c r="H1860">
        <f t="shared" si="29"/>
        <v>48675.899999999936</v>
      </c>
      <c r="I1860" t="str">
        <f>IF(Sheet1[[#This Row],[Month_Revenue]] &lt; AVERAGE(Sheet1[Month_Revenue]), "Off-Peak", "Peak")</f>
        <v>Off-Peak</v>
      </c>
      <c r="J1860">
        <f xml:space="preserve"> IF(Sheet1[[#This Row],[Ad Spend]] &gt; 0, (Sheet1[[#This Row],[Profit]] / Sheet1[[#This Row],[Ad Spend]]), 0)</f>
        <v>30.381944444444446</v>
      </c>
      <c r="K1860">
        <f>Sheet1[[#This Row],[Revenue]]-Sheet1[[#This Row],[Ad Spend]]</f>
        <v>87.5</v>
      </c>
      <c r="L1860" s="2" t="s">
        <v>22</v>
      </c>
      <c r="M1860">
        <v>2</v>
      </c>
      <c r="N1860" s="2" t="s">
        <v>15</v>
      </c>
      <c r="O1860">
        <v>30.126666666666665</v>
      </c>
    </row>
    <row r="1861" spans="1:15" x14ac:dyDescent="0.3">
      <c r="A1861" s="1">
        <v>45320</v>
      </c>
      <c r="B1861" s="2" t="s">
        <v>11</v>
      </c>
      <c r="C1861" s="2" t="s">
        <v>12</v>
      </c>
      <c r="D1861" s="2" t="s">
        <v>18</v>
      </c>
      <c r="E1861">
        <v>171.71</v>
      </c>
      <c r="F1861">
        <v>4.8</v>
      </c>
      <c r="G1861">
        <v>3</v>
      </c>
      <c r="H1861">
        <f t="shared" si="29"/>
        <v>61207.979999999989</v>
      </c>
      <c r="I1861" t="str">
        <f>IF(Sheet1[[#This Row],[Month_Revenue]] &lt; AVERAGE(Sheet1[Month_Revenue]), "Off-Peak", "Peak")</f>
        <v>Peak</v>
      </c>
      <c r="J1861">
        <f xml:space="preserve"> IF(Sheet1[[#This Row],[Ad Spend]] &gt; 0, (Sheet1[[#This Row],[Profit]] / Sheet1[[#This Row],[Ad Spend]]), 0)</f>
        <v>34.772916666666667</v>
      </c>
      <c r="K1861">
        <f>Sheet1[[#This Row],[Revenue]]-Sheet1[[#This Row],[Ad Spend]]</f>
        <v>166.91</v>
      </c>
      <c r="L1861" s="2" t="s">
        <v>22</v>
      </c>
      <c r="M1861">
        <v>1</v>
      </c>
      <c r="N1861" s="2" t="s">
        <v>15</v>
      </c>
      <c r="O1861">
        <v>57.236666666666672</v>
      </c>
    </row>
    <row r="1862" spans="1:15" x14ac:dyDescent="0.3">
      <c r="A1862" s="1">
        <v>45359</v>
      </c>
      <c r="B1862" s="2" t="s">
        <v>24</v>
      </c>
      <c r="C1862" s="2" t="s">
        <v>21</v>
      </c>
      <c r="D1862" s="2" t="s">
        <v>18</v>
      </c>
      <c r="E1862">
        <v>72.930000000000007</v>
      </c>
      <c r="F1862">
        <v>27.13</v>
      </c>
      <c r="G1862">
        <v>2</v>
      </c>
      <c r="H1862">
        <f t="shared" si="29"/>
        <v>54735.250000000029</v>
      </c>
      <c r="I1862" t="str">
        <f>IF(Sheet1[[#This Row],[Month_Revenue]] &lt; AVERAGE(Sheet1[Month_Revenue]), "Off-Peak", "Peak")</f>
        <v>Off-Peak</v>
      </c>
      <c r="J1862">
        <f xml:space="preserve"> IF(Sheet1[[#This Row],[Ad Spend]] &gt; 0, (Sheet1[[#This Row],[Profit]] / Sheet1[[#This Row],[Ad Spend]]), 0)</f>
        <v>1.6881680796166609</v>
      </c>
      <c r="K1862">
        <f>Sheet1[[#This Row],[Revenue]]-Sheet1[[#This Row],[Ad Spend]]</f>
        <v>45.800000000000011</v>
      </c>
      <c r="L1862" s="2" t="s">
        <v>14</v>
      </c>
      <c r="M1862">
        <v>3</v>
      </c>
      <c r="N1862" s="2" t="s">
        <v>19</v>
      </c>
      <c r="O1862">
        <v>36.465000000000003</v>
      </c>
    </row>
    <row r="1863" spans="1:15" x14ac:dyDescent="0.3">
      <c r="A1863" s="1">
        <v>45331</v>
      </c>
      <c r="B1863" s="2" t="s">
        <v>16</v>
      </c>
      <c r="C1863" s="2" t="s">
        <v>12</v>
      </c>
      <c r="D1863" s="2" t="s">
        <v>13</v>
      </c>
      <c r="E1863">
        <v>118.9</v>
      </c>
      <c r="F1863">
        <v>35.79</v>
      </c>
      <c r="G1863">
        <v>0</v>
      </c>
      <c r="H1863">
        <f t="shared" si="29"/>
        <v>48675.899999999936</v>
      </c>
      <c r="I1863" t="str">
        <f>IF(Sheet1[[#This Row],[Month_Revenue]] &lt; AVERAGE(Sheet1[Month_Revenue]), "Off-Peak", "Peak")</f>
        <v>Off-Peak</v>
      </c>
      <c r="J1863">
        <f xml:space="preserve"> IF(Sheet1[[#This Row],[Ad Spend]] &gt; 0, (Sheet1[[#This Row],[Profit]] / Sheet1[[#This Row],[Ad Spend]]), 0)</f>
        <v>2.3221570271025431</v>
      </c>
      <c r="K1863">
        <f>Sheet1[[#This Row],[Revenue]]-Sheet1[[#This Row],[Ad Spend]]</f>
        <v>83.110000000000014</v>
      </c>
      <c r="L1863" s="2" t="s">
        <v>22</v>
      </c>
      <c r="M1863">
        <v>2</v>
      </c>
      <c r="N1863" s="2" t="s">
        <v>15</v>
      </c>
      <c r="O1863">
        <v>0</v>
      </c>
    </row>
    <row r="1864" spans="1:15" x14ac:dyDescent="0.3">
      <c r="A1864" s="1">
        <v>45345</v>
      </c>
      <c r="B1864" s="2" t="s">
        <v>20</v>
      </c>
      <c r="C1864" s="2" t="s">
        <v>21</v>
      </c>
      <c r="D1864" s="2" t="s">
        <v>13</v>
      </c>
      <c r="E1864">
        <v>62.19</v>
      </c>
      <c r="F1864">
        <v>12.81</v>
      </c>
      <c r="G1864">
        <v>2</v>
      </c>
      <c r="H1864">
        <f t="shared" si="29"/>
        <v>48675.899999999936</v>
      </c>
      <c r="I1864" t="str">
        <f>IF(Sheet1[[#This Row],[Month_Revenue]] &lt; AVERAGE(Sheet1[Month_Revenue]), "Off-Peak", "Peak")</f>
        <v>Off-Peak</v>
      </c>
      <c r="J1864">
        <f xml:space="preserve"> IF(Sheet1[[#This Row],[Ad Spend]] &gt; 0, (Sheet1[[#This Row],[Profit]] / Sheet1[[#This Row],[Ad Spend]]), 0)</f>
        <v>3.8548009367681493</v>
      </c>
      <c r="K1864">
        <f>Sheet1[[#This Row],[Revenue]]-Sheet1[[#This Row],[Ad Spend]]</f>
        <v>49.379999999999995</v>
      </c>
      <c r="L1864" s="2" t="s">
        <v>22</v>
      </c>
      <c r="M1864">
        <v>2</v>
      </c>
      <c r="N1864" s="2" t="s">
        <v>15</v>
      </c>
      <c r="O1864">
        <v>31.094999999999999</v>
      </c>
    </row>
    <row r="1865" spans="1:15" x14ac:dyDescent="0.3">
      <c r="A1865" s="1">
        <v>45301</v>
      </c>
      <c r="B1865" s="2" t="s">
        <v>16</v>
      </c>
      <c r="C1865" s="2" t="s">
        <v>21</v>
      </c>
      <c r="D1865" s="2" t="s">
        <v>18</v>
      </c>
      <c r="E1865">
        <v>83.16</v>
      </c>
      <c r="F1865">
        <v>16.2</v>
      </c>
      <c r="G1865">
        <v>1</v>
      </c>
      <c r="H1865">
        <f t="shared" si="29"/>
        <v>61207.979999999989</v>
      </c>
      <c r="I1865" t="str">
        <f>IF(Sheet1[[#This Row],[Month_Revenue]] &lt; AVERAGE(Sheet1[Month_Revenue]), "Off-Peak", "Peak")</f>
        <v>Peak</v>
      </c>
      <c r="J1865">
        <f xml:space="preserve"> IF(Sheet1[[#This Row],[Ad Spend]] &gt; 0, (Sheet1[[#This Row],[Profit]] / Sheet1[[#This Row],[Ad Spend]]), 0)</f>
        <v>4.1333333333333329</v>
      </c>
      <c r="K1865">
        <f>Sheet1[[#This Row],[Revenue]]-Sheet1[[#This Row],[Ad Spend]]</f>
        <v>66.959999999999994</v>
      </c>
      <c r="L1865" s="2" t="s">
        <v>14</v>
      </c>
      <c r="M1865">
        <v>1</v>
      </c>
      <c r="N1865" s="2" t="s">
        <v>15</v>
      </c>
      <c r="O1865">
        <v>83.16</v>
      </c>
    </row>
    <row r="1866" spans="1:15" x14ac:dyDescent="0.3">
      <c r="A1866" s="1">
        <v>45292</v>
      </c>
      <c r="B1866" s="2" t="s">
        <v>20</v>
      </c>
      <c r="C1866" s="2" t="s">
        <v>12</v>
      </c>
      <c r="D1866" s="2" t="s">
        <v>18</v>
      </c>
      <c r="E1866">
        <v>96</v>
      </c>
      <c r="F1866">
        <v>24.37</v>
      </c>
      <c r="G1866">
        <v>3</v>
      </c>
      <c r="H1866">
        <f t="shared" si="29"/>
        <v>61207.979999999989</v>
      </c>
      <c r="I1866" t="str">
        <f>IF(Sheet1[[#This Row],[Month_Revenue]] &lt; AVERAGE(Sheet1[Month_Revenue]), "Off-Peak", "Peak")</f>
        <v>Peak</v>
      </c>
      <c r="J1866">
        <f xml:space="preserve"> IF(Sheet1[[#This Row],[Ad Spend]] &gt; 0, (Sheet1[[#This Row],[Profit]] / Sheet1[[#This Row],[Ad Spend]]), 0)</f>
        <v>2.9392695937628228</v>
      </c>
      <c r="K1866">
        <f>Sheet1[[#This Row],[Revenue]]-Sheet1[[#This Row],[Ad Spend]]</f>
        <v>71.63</v>
      </c>
      <c r="L1866" s="2" t="s">
        <v>22</v>
      </c>
      <c r="M1866">
        <v>1</v>
      </c>
      <c r="N1866" s="2" t="s">
        <v>15</v>
      </c>
      <c r="O1866">
        <v>32</v>
      </c>
    </row>
    <row r="1867" spans="1:15" x14ac:dyDescent="0.3">
      <c r="A1867" s="1">
        <v>45340</v>
      </c>
      <c r="B1867" s="2" t="s">
        <v>16</v>
      </c>
      <c r="C1867" s="2" t="s">
        <v>21</v>
      </c>
      <c r="D1867" s="2" t="s">
        <v>18</v>
      </c>
      <c r="E1867">
        <v>192.43</v>
      </c>
      <c r="F1867">
        <v>40.270000000000003</v>
      </c>
      <c r="G1867">
        <v>3</v>
      </c>
      <c r="H1867">
        <f t="shared" si="29"/>
        <v>48675.899999999936</v>
      </c>
      <c r="I1867" t="str">
        <f>IF(Sheet1[[#This Row],[Month_Revenue]] &lt; AVERAGE(Sheet1[Month_Revenue]), "Off-Peak", "Peak")</f>
        <v>Off-Peak</v>
      </c>
      <c r="J1867">
        <f xml:space="preserve"> IF(Sheet1[[#This Row],[Ad Spend]] &gt; 0, (Sheet1[[#This Row],[Profit]] / Sheet1[[#This Row],[Ad Spend]]), 0)</f>
        <v>3.7784951576856218</v>
      </c>
      <c r="K1867">
        <f>Sheet1[[#This Row],[Revenue]]-Sheet1[[#This Row],[Ad Spend]]</f>
        <v>152.16</v>
      </c>
      <c r="L1867" s="2" t="s">
        <v>14</v>
      </c>
      <c r="M1867">
        <v>2</v>
      </c>
      <c r="N1867" s="2" t="s">
        <v>15</v>
      </c>
      <c r="O1867">
        <v>64.143333333333331</v>
      </c>
    </row>
    <row r="1868" spans="1:15" x14ac:dyDescent="0.3">
      <c r="A1868" s="1">
        <v>45379</v>
      </c>
      <c r="B1868" s="2" t="s">
        <v>20</v>
      </c>
      <c r="C1868" s="2" t="s">
        <v>17</v>
      </c>
      <c r="D1868" s="2" t="s">
        <v>18</v>
      </c>
      <c r="E1868">
        <v>75.2</v>
      </c>
      <c r="F1868">
        <v>10.58</v>
      </c>
      <c r="G1868">
        <v>1</v>
      </c>
      <c r="H1868">
        <f t="shared" si="29"/>
        <v>54735.250000000029</v>
      </c>
      <c r="I1868" t="str">
        <f>IF(Sheet1[[#This Row],[Month_Revenue]] &lt; AVERAGE(Sheet1[Month_Revenue]), "Off-Peak", "Peak")</f>
        <v>Off-Peak</v>
      </c>
      <c r="J1868">
        <f xml:space="preserve"> IF(Sheet1[[#This Row],[Ad Spend]] &gt; 0, (Sheet1[[#This Row],[Profit]] / Sheet1[[#This Row],[Ad Spend]]), 0)</f>
        <v>6.1077504725897924</v>
      </c>
      <c r="K1868">
        <f>Sheet1[[#This Row],[Revenue]]-Sheet1[[#This Row],[Ad Spend]]</f>
        <v>64.62</v>
      </c>
      <c r="L1868" s="2" t="s">
        <v>22</v>
      </c>
      <c r="M1868">
        <v>3</v>
      </c>
      <c r="N1868" s="2" t="s">
        <v>19</v>
      </c>
      <c r="O1868">
        <v>75.2</v>
      </c>
    </row>
    <row r="1869" spans="1:15" x14ac:dyDescent="0.3">
      <c r="A1869" s="1">
        <v>45379</v>
      </c>
      <c r="B1869" s="2" t="s">
        <v>24</v>
      </c>
      <c r="C1869" s="2" t="s">
        <v>21</v>
      </c>
      <c r="D1869" s="2" t="s">
        <v>13</v>
      </c>
      <c r="E1869">
        <v>54.13</v>
      </c>
      <c r="F1869">
        <v>29.01</v>
      </c>
      <c r="G1869">
        <v>3</v>
      </c>
      <c r="H1869">
        <f t="shared" si="29"/>
        <v>54735.250000000029</v>
      </c>
      <c r="I1869" t="str">
        <f>IF(Sheet1[[#This Row],[Month_Revenue]] &lt; AVERAGE(Sheet1[Month_Revenue]), "Off-Peak", "Peak")</f>
        <v>Off-Peak</v>
      </c>
      <c r="J1869">
        <f xml:space="preserve"> IF(Sheet1[[#This Row],[Ad Spend]] &gt; 0, (Sheet1[[#This Row],[Profit]] / Sheet1[[#This Row],[Ad Spend]]), 0)</f>
        <v>0.86590830748017922</v>
      </c>
      <c r="K1869">
        <f>Sheet1[[#This Row],[Revenue]]-Sheet1[[#This Row],[Ad Spend]]</f>
        <v>25.12</v>
      </c>
      <c r="L1869" s="2" t="s">
        <v>14</v>
      </c>
      <c r="M1869">
        <v>3</v>
      </c>
      <c r="N1869" s="2" t="s">
        <v>19</v>
      </c>
      <c r="O1869">
        <v>18.043333333333333</v>
      </c>
    </row>
    <row r="1870" spans="1:15" x14ac:dyDescent="0.3">
      <c r="A1870" s="1">
        <v>45322</v>
      </c>
      <c r="B1870" s="2" t="s">
        <v>20</v>
      </c>
      <c r="C1870" s="2" t="s">
        <v>21</v>
      </c>
      <c r="D1870" s="2" t="s">
        <v>13</v>
      </c>
      <c r="E1870">
        <v>178.08</v>
      </c>
      <c r="F1870">
        <v>27.92</v>
      </c>
      <c r="G1870">
        <v>1</v>
      </c>
      <c r="H1870">
        <f t="shared" si="29"/>
        <v>61207.979999999989</v>
      </c>
      <c r="I1870" t="str">
        <f>IF(Sheet1[[#This Row],[Month_Revenue]] &lt; AVERAGE(Sheet1[Month_Revenue]), "Off-Peak", "Peak")</f>
        <v>Peak</v>
      </c>
      <c r="J1870">
        <f xml:space="preserve"> IF(Sheet1[[#This Row],[Ad Spend]] &gt; 0, (Sheet1[[#This Row],[Profit]] / Sheet1[[#This Row],[Ad Spend]]), 0)</f>
        <v>5.3782234957020059</v>
      </c>
      <c r="K1870">
        <f>Sheet1[[#This Row],[Revenue]]-Sheet1[[#This Row],[Ad Spend]]</f>
        <v>150.16000000000003</v>
      </c>
      <c r="L1870" s="2" t="s">
        <v>14</v>
      </c>
      <c r="M1870">
        <v>1</v>
      </c>
      <c r="N1870" s="2" t="s">
        <v>15</v>
      </c>
      <c r="O1870">
        <v>178.08</v>
      </c>
    </row>
    <row r="1871" spans="1:15" x14ac:dyDescent="0.3">
      <c r="A1871" s="1">
        <v>45297</v>
      </c>
      <c r="B1871" s="2" t="s">
        <v>20</v>
      </c>
      <c r="C1871" s="2" t="s">
        <v>12</v>
      </c>
      <c r="D1871" s="2" t="s">
        <v>18</v>
      </c>
      <c r="E1871">
        <v>176.24</v>
      </c>
      <c r="F1871">
        <v>46.89</v>
      </c>
      <c r="G1871">
        <v>3</v>
      </c>
      <c r="H1871">
        <f t="shared" si="29"/>
        <v>61207.979999999989</v>
      </c>
      <c r="I1871" t="str">
        <f>IF(Sheet1[[#This Row],[Month_Revenue]] &lt; AVERAGE(Sheet1[Month_Revenue]), "Off-Peak", "Peak")</f>
        <v>Peak</v>
      </c>
      <c r="J1871">
        <f xml:space="preserve"> IF(Sheet1[[#This Row],[Ad Spend]] &gt; 0, (Sheet1[[#This Row],[Profit]] / Sheet1[[#This Row],[Ad Spend]]), 0)</f>
        <v>2.758583919812327</v>
      </c>
      <c r="K1871">
        <f>Sheet1[[#This Row],[Revenue]]-Sheet1[[#This Row],[Ad Spend]]</f>
        <v>129.35000000000002</v>
      </c>
      <c r="L1871" s="2" t="s">
        <v>14</v>
      </c>
      <c r="M1871">
        <v>1</v>
      </c>
      <c r="N1871" s="2" t="s">
        <v>15</v>
      </c>
      <c r="O1871">
        <v>58.74666666666667</v>
      </c>
    </row>
    <row r="1872" spans="1:15" x14ac:dyDescent="0.3">
      <c r="A1872" s="1">
        <v>45410</v>
      </c>
      <c r="B1872" s="2" t="s">
        <v>16</v>
      </c>
      <c r="C1872" s="2" t="s">
        <v>12</v>
      </c>
      <c r="D1872" s="2" t="s">
        <v>18</v>
      </c>
      <c r="E1872">
        <v>128.75</v>
      </c>
      <c r="F1872">
        <v>47.39</v>
      </c>
      <c r="G1872">
        <v>2</v>
      </c>
      <c r="H1872">
        <f t="shared" si="29"/>
        <v>58562.910000000018</v>
      </c>
      <c r="I1872" t="str">
        <f>IF(Sheet1[[#This Row],[Month_Revenue]] &lt; AVERAGE(Sheet1[Month_Revenue]), "Off-Peak", "Peak")</f>
        <v>Peak</v>
      </c>
      <c r="J1872">
        <f xml:space="preserve"> IF(Sheet1[[#This Row],[Ad Spend]] &gt; 0, (Sheet1[[#This Row],[Profit]] / Sheet1[[#This Row],[Ad Spend]]), 0)</f>
        <v>1.716817894070479</v>
      </c>
      <c r="K1872">
        <f>Sheet1[[#This Row],[Revenue]]-Sheet1[[#This Row],[Ad Spend]]</f>
        <v>81.36</v>
      </c>
      <c r="L1872" s="2" t="s">
        <v>22</v>
      </c>
      <c r="M1872">
        <v>4</v>
      </c>
      <c r="N1872" s="2" t="s">
        <v>19</v>
      </c>
      <c r="O1872">
        <v>64.375</v>
      </c>
    </row>
    <row r="1873" spans="1:15" x14ac:dyDescent="0.3">
      <c r="A1873" s="1">
        <v>45293</v>
      </c>
      <c r="B1873" s="2" t="s">
        <v>24</v>
      </c>
      <c r="C1873" s="2" t="s">
        <v>21</v>
      </c>
      <c r="D1873" s="2" t="s">
        <v>18</v>
      </c>
      <c r="E1873">
        <v>111.4</v>
      </c>
      <c r="F1873">
        <v>23.86</v>
      </c>
      <c r="G1873">
        <v>2</v>
      </c>
      <c r="H1873">
        <f t="shared" si="29"/>
        <v>61207.979999999989</v>
      </c>
      <c r="I1873" t="str">
        <f>IF(Sheet1[[#This Row],[Month_Revenue]] &lt; AVERAGE(Sheet1[Month_Revenue]), "Off-Peak", "Peak")</f>
        <v>Peak</v>
      </c>
      <c r="J1873">
        <f xml:space="preserve"> IF(Sheet1[[#This Row],[Ad Spend]] &gt; 0, (Sheet1[[#This Row],[Profit]] / Sheet1[[#This Row],[Ad Spend]]), 0)</f>
        <v>3.6689019279128252</v>
      </c>
      <c r="K1873">
        <f>Sheet1[[#This Row],[Revenue]]-Sheet1[[#This Row],[Ad Spend]]</f>
        <v>87.54</v>
      </c>
      <c r="L1873" s="2" t="s">
        <v>14</v>
      </c>
      <c r="M1873">
        <v>1</v>
      </c>
      <c r="N1873" s="2" t="s">
        <v>15</v>
      </c>
      <c r="O1873">
        <v>55.7</v>
      </c>
    </row>
    <row r="1874" spans="1:15" x14ac:dyDescent="0.3">
      <c r="A1874" s="1">
        <v>45381</v>
      </c>
      <c r="B1874" s="2" t="s">
        <v>11</v>
      </c>
      <c r="C1874" s="2" t="s">
        <v>21</v>
      </c>
      <c r="D1874" s="2" t="s">
        <v>18</v>
      </c>
      <c r="E1874">
        <v>67.819999999999993</v>
      </c>
      <c r="F1874">
        <v>41.51</v>
      </c>
      <c r="G1874">
        <v>0</v>
      </c>
      <c r="H1874">
        <f t="shared" si="29"/>
        <v>54735.250000000029</v>
      </c>
      <c r="I1874" t="str">
        <f>IF(Sheet1[[#This Row],[Month_Revenue]] &lt; AVERAGE(Sheet1[Month_Revenue]), "Off-Peak", "Peak")</f>
        <v>Off-Peak</v>
      </c>
      <c r="J1874">
        <f xml:space="preserve"> IF(Sheet1[[#This Row],[Ad Spend]] &gt; 0, (Sheet1[[#This Row],[Profit]] / Sheet1[[#This Row],[Ad Spend]]), 0)</f>
        <v>0.63382317513852071</v>
      </c>
      <c r="K1874">
        <f>Sheet1[[#This Row],[Revenue]]-Sheet1[[#This Row],[Ad Spend]]</f>
        <v>26.309999999999995</v>
      </c>
      <c r="L1874" s="2" t="s">
        <v>22</v>
      </c>
      <c r="M1874">
        <v>3</v>
      </c>
      <c r="N1874" s="2" t="s">
        <v>19</v>
      </c>
      <c r="O1874">
        <v>0</v>
      </c>
    </row>
    <row r="1875" spans="1:15" x14ac:dyDescent="0.3">
      <c r="A1875" s="1">
        <v>45380</v>
      </c>
      <c r="B1875" s="2" t="s">
        <v>20</v>
      </c>
      <c r="C1875" s="2" t="s">
        <v>17</v>
      </c>
      <c r="D1875" s="2" t="s">
        <v>18</v>
      </c>
      <c r="E1875">
        <v>120.44</v>
      </c>
      <c r="F1875">
        <v>14.54</v>
      </c>
      <c r="G1875">
        <v>0</v>
      </c>
      <c r="H1875">
        <f t="shared" si="29"/>
        <v>54735.250000000029</v>
      </c>
      <c r="I1875" t="str">
        <f>IF(Sheet1[[#This Row],[Month_Revenue]] &lt; AVERAGE(Sheet1[Month_Revenue]), "Off-Peak", "Peak")</f>
        <v>Off-Peak</v>
      </c>
      <c r="J1875">
        <f xml:space="preserve"> IF(Sheet1[[#This Row],[Ad Spend]] &gt; 0, (Sheet1[[#This Row],[Profit]] / Sheet1[[#This Row],[Ad Spend]]), 0)</f>
        <v>7.2833562585969744</v>
      </c>
      <c r="K1875">
        <f>Sheet1[[#This Row],[Revenue]]-Sheet1[[#This Row],[Ad Spend]]</f>
        <v>105.9</v>
      </c>
      <c r="L1875" s="2" t="s">
        <v>22</v>
      </c>
      <c r="M1875">
        <v>3</v>
      </c>
      <c r="N1875" s="2" t="s">
        <v>19</v>
      </c>
      <c r="O1875">
        <v>0</v>
      </c>
    </row>
    <row r="1876" spans="1:15" x14ac:dyDescent="0.3">
      <c r="A1876" s="1">
        <v>45341</v>
      </c>
      <c r="B1876" s="2" t="s">
        <v>23</v>
      </c>
      <c r="C1876" s="2" t="s">
        <v>21</v>
      </c>
      <c r="D1876" s="2" t="s">
        <v>13</v>
      </c>
      <c r="E1876">
        <v>36.19</v>
      </c>
      <c r="F1876">
        <v>7.56</v>
      </c>
      <c r="G1876">
        <v>1</v>
      </c>
      <c r="H1876">
        <f t="shared" si="29"/>
        <v>48675.899999999936</v>
      </c>
      <c r="I1876" t="str">
        <f>IF(Sheet1[[#This Row],[Month_Revenue]] &lt; AVERAGE(Sheet1[Month_Revenue]), "Off-Peak", "Peak")</f>
        <v>Off-Peak</v>
      </c>
      <c r="J1876">
        <f xml:space="preserve"> IF(Sheet1[[#This Row],[Ad Spend]] &gt; 0, (Sheet1[[#This Row],[Profit]] / Sheet1[[#This Row],[Ad Spend]]), 0)</f>
        <v>3.7870370370370372</v>
      </c>
      <c r="K1876">
        <f>Sheet1[[#This Row],[Revenue]]-Sheet1[[#This Row],[Ad Spend]]</f>
        <v>28.63</v>
      </c>
      <c r="L1876" s="2" t="s">
        <v>14</v>
      </c>
      <c r="M1876">
        <v>2</v>
      </c>
      <c r="N1876" s="2" t="s">
        <v>15</v>
      </c>
      <c r="O1876">
        <v>36.19</v>
      </c>
    </row>
    <row r="1877" spans="1:15" x14ac:dyDescent="0.3">
      <c r="A1877" s="1">
        <v>45361</v>
      </c>
      <c r="B1877" s="2" t="s">
        <v>20</v>
      </c>
      <c r="C1877" s="2" t="s">
        <v>21</v>
      </c>
      <c r="D1877" s="2" t="s">
        <v>13</v>
      </c>
      <c r="E1877">
        <v>192.73</v>
      </c>
      <c r="F1877">
        <v>46.21</v>
      </c>
      <c r="G1877">
        <v>3</v>
      </c>
      <c r="H1877">
        <f t="shared" si="29"/>
        <v>54735.250000000029</v>
      </c>
      <c r="I1877" t="str">
        <f>IF(Sheet1[[#This Row],[Month_Revenue]] &lt; AVERAGE(Sheet1[Month_Revenue]), "Off-Peak", "Peak")</f>
        <v>Off-Peak</v>
      </c>
      <c r="J1877">
        <f xml:space="preserve"> IF(Sheet1[[#This Row],[Ad Spend]] &gt; 0, (Sheet1[[#This Row],[Profit]] / Sheet1[[#This Row],[Ad Spend]]), 0)</f>
        <v>3.1707422635793114</v>
      </c>
      <c r="K1877">
        <f>Sheet1[[#This Row],[Revenue]]-Sheet1[[#This Row],[Ad Spend]]</f>
        <v>146.51999999999998</v>
      </c>
      <c r="L1877" s="2" t="s">
        <v>22</v>
      </c>
      <c r="M1877">
        <v>3</v>
      </c>
      <c r="N1877" s="2" t="s">
        <v>19</v>
      </c>
      <c r="O1877">
        <v>64.243333333333325</v>
      </c>
    </row>
    <row r="1878" spans="1:15" x14ac:dyDescent="0.3">
      <c r="A1878" s="1">
        <v>45299</v>
      </c>
      <c r="B1878" s="2" t="s">
        <v>16</v>
      </c>
      <c r="C1878" s="2" t="s">
        <v>17</v>
      </c>
      <c r="D1878" s="2" t="s">
        <v>18</v>
      </c>
      <c r="E1878">
        <v>191.92</v>
      </c>
      <c r="F1878">
        <v>29.34</v>
      </c>
      <c r="G1878">
        <v>0</v>
      </c>
      <c r="H1878">
        <f t="shared" si="29"/>
        <v>61207.979999999989</v>
      </c>
      <c r="I1878" t="str">
        <f>IF(Sheet1[[#This Row],[Month_Revenue]] &lt; AVERAGE(Sheet1[Month_Revenue]), "Off-Peak", "Peak")</f>
        <v>Peak</v>
      </c>
      <c r="J1878">
        <f xml:space="preserve"> IF(Sheet1[[#This Row],[Ad Spend]] &gt; 0, (Sheet1[[#This Row],[Profit]] / Sheet1[[#This Row],[Ad Spend]]), 0)</f>
        <v>5.5412406271301968</v>
      </c>
      <c r="K1878">
        <f>Sheet1[[#This Row],[Revenue]]-Sheet1[[#This Row],[Ad Spend]]</f>
        <v>162.57999999999998</v>
      </c>
      <c r="L1878" s="2" t="s">
        <v>14</v>
      </c>
      <c r="M1878">
        <v>1</v>
      </c>
      <c r="N1878" s="2" t="s">
        <v>15</v>
      </c>
      <c r="O1878">
        <v>0</v>
      </c>
    </row>
    <row r="1879" spans="1:15" x14ac:dyDescent="0.3">
      <c r="A1879" s="1">
        <v>45410</v>
      </c>
      <c r="B1879" s="2" t="s">
        <v>20</v>
      </c>
      <c r="C1879" s="2" t="s">
        <v>12</v>
      </c>
      <c r="D1879" s="2" t="s">
        <v>18</v>
      </c>
      <c r="E1879">
        <v>41.25</v>
      </c>
      <c r="F1879">
        <v>32.31</v>
      </c>
      <c r="G1879">
        <v>0</v>
      </c>
      <c r="H1879">
        <f t="shared" si="29"/>
        <v>58562.910000000018</v>
      </c>
      <c r="I1879" t="str">
        <f>IF(Sheet1[[#This Row],[Month_Revenue]] &lt; AVERAGE(Sheet1[Month_Revenue]), "Off-Peak", "Peak")</f>
        <v>Peak</v>
      </c>
      <c r="J1879">
        <f xml:space="preserve"> IF(Sheet1[[#This Row],[Ad Spend]] &gt; 0, (Sheet1[[#This Row],[Profit]] / Sheet1[[#This Row],[Ad Spend]]), 0)</f>
        <v>0.27669452181986992</v>
      </c>
      <c r="K1879">
        <f>Sheet1[[#This Row],[Revenue]]-Sheet1[[#This Row],[Ad Spend]]</f>
        <v>8.9399999999999977</v>
      </c>
      <c r="L1879" s="2" t="s">
        <v>22</v>
      </c>
      <c r="M1879">
        <v>4</v>
      </c>
      <c r="N1879" s="2" t="s">
        <v>19</v>
      </c>
      <c r="O1879">
        <v>0</v>
      </c>
    </row>
    <row r="1880" spans="1:15" x14ac:dyDescent="0.3">
      <c r="A1880" s="1">
        <v>45362</v>
      </c>
      <c r="B1880" s="2" t="s">
        <v>20</v>
      </c>
      <c r="C1880" s="2" t="s">
        <v>17</v>
      </c>
      <c r="D1880" s="2" t="s">
        <v>18</v>
      </c>
      <c r="E1880">
        <v>30.85</v>
      </c>
      <c r="F1880">
        <v>11.07</v>
      </c>
      <c r="G1880">
        <v>3</v>
      </c>
      <c r="H1880">
        <f t="shared" si="29"/>
        <v>54735.250000000029</v>
      </c>
      <c r="I1880" t="str">
        <f>IF(Sheet1[[#This Row],[Month_Revenue]] &lt; AVERAGE(Sheet1[Month_Revenue]), "Off-Peak", "Peak")</f>
        <v>Off-Peak</v>
      </c>
      <c r="J1880">
        <f xml:space="preserve"> IF(Sheet1[[#This Row],[Ad Spend]] &gt; 0, (Sheet1[[#This Row],[Profit]] / Sheet1[[#This Row],[Ad Spend]]), 0)</f>
        <v>1.7868112014453479</v>
      </c>
      <c r="K1880">
        <f>Sheet1[[#This Row],[Revenue]]-Sheet1[[#This Row],[Ad Spend]]</f>
        <v>19.78</v>
      </c>
      <c r="L1880" s="2" t="s">
        <v>14</v>
      </c>
      <c r="M1880">
        <v>3</v>
      </c>
      <c r="N1880" s="2" t="s">
        <v>19</v>
      </c>
      <c r="O1880">
        <v>10.283333333333333</v>
      </c>
    </row>
    <row r="1881" spans="1:15" x14ac:dyDescent="0.3">
      <c r="A1881" s="1">
        <v>45338</v>
      </c>
      <c r="B1881" s="2" t="s">
        <v>20</v>
      </c>
      <c r="C1881" s="2" t="s">
        <v>21</v>
      </c>
      <c r="D1881" s="2" t="s">
        <v>18</v>
      </c>
      <c r="E1881">
        <v>46.64</v>
      </c>
      <c r="F1881">
        <v>3.54</v>
      </c>
      <c r="G1881">
        <v>2</v>
      </c>
      <c r="H1881">
        <f t="shared" si="29"/>
        <v>48675.899999999936</v>
      </c>
      <c r="I1881" t="str">
        <f>IF(Sheet1[[#This Row],[Month_Revenue]] &lt; AVERAGE(Sheet1[Month_Revenue]), "Off-Peak", "Peak")</f>
        <v>Off-Peak</v>
      </c>
      <c r="J1881">
        <f xml:space="preserve"> IF(Sheet1[[#This Row],[Ad Spend]] &gt; 0, (Sheet1[[#This Row],[Profit]] / Sheet1[[#This Row],[Ad Spend]]), 0)</f>
        <v>12.175141242937853</v>
      </c>
      <c r="K1881">
        <f>Sheet1[[#This Row],[Revenue]]-Sheet1[[#This Row],[Ad Spend]]</f>
        <v>43.1</v>
      </c>
      <c r="L1881" s="2" t="s">
        <v>22</v>
      </c>
      <c r="M1881">
        <v>2</v>
      </c>
      <c r="N1881" s="2" t="s">
        <v>15</v>
      </c>
      <c r="O1881">
        <v>23.32</v>
      </c>
    </row>
    <row r="1882" spans="1:15" x14ac:dyDescent="0.3">
      <c r="A1882" s="1">
        <v>45306</v>
      </c>
      <c r="B1882" s="2" t="s">
        <v>23</v>
      </c>
      <c r="C1882" s="2" t="s">
        <v>21</v>
      </c>
      <c r="D1882" s="2" t="s">
        <v>18</v>
      </c>
      <c r="E1882">
        <v>190.36</v>
      </c>
      <c r="F1882">
        <v>7.64</v>
      </c>
      <c r="G1882">
        <v>0</v>
      </c>
      <c r="H1882">
        <f t="shared" si="29"/>
        <v>61207.979999999989</v>
      </c>
      <c r="I1882" t="str">
        <f>IF(Sheet1[[#This Row],[Month_Revenue]] &lt; AVERAGE(Sheet1[Month_Revenue]), "Off-Peak", "Peak")</f>
        <v>Peak</v>
      </c>
      <c r="J1882">
        <f xml:space="preserve"> IF(Sheet1[[#This Row],[Ad Spend]] &gt; 0, (Sheet1[[#This Row],[Profit]] / Sheet1[[#This Row],[Ad Spend]]), 0)</f>
        <v>23.916230366492151</v>
      </c>
      <c r="K1882">
        <f>Sheet1[[#This Row],[Revenue]]-Sheet1[[#This Row],[Ad Spend]]</f>
        <v>182.72000000000003</v>
      </c>
      <c r="L1882" s="2" t="s">
        <v>22</v>
      </c>
      <c r="M1882">
        <v>1</v>
      </c>
      <c r="N1882" s="2" t="s">
        <v>15</v>
      </c>
      <c r="O1882">
        <v>0</v>
      </c>
    </row>
    <row r="1883" spans="1:15" x14ac:dyDescent="0.3">
      <c r="A1883" s="1">
        <v>45371</v>
      </c>
      <c r="B1883" s="2" t="s">
        <v>16</v>
      </c>
      <c r="C1883" s="2" t="s">
        <v>21</v>
      </c>
      <c r="D1883" s="2" t="s">
        <v>13</v>
      </c>
      <c r="E1883">
        <v>145.68</v>
      </c>
      <c r="F1883">
        <v>6.27</v>
      </c>
      <c r="G1883">
        <v>3</v>
      </c>
      <c r="H1883">
        <f t="shared" si="29"/>
        <v>54735.250000000029</v>
      </c>
      <c r="I1883" t="str">
        <f>IF(Sheet1[[#This Row],[Month_Revenue]] &lt; AVERAGE(Sheet1[Month_Revenue]), "Off-Peak", "Peak")</f>
        <v>Off-Peak</v>
      </c>
      <c r="J1883">
        <f xml:space="preserve"> IF(Sheet1[[#This Row],[Ad Spend]] &gt; 0, (Sheet1[[#This Row],[Profit]] / Sheet1[[#This Row],[Ad Spend]]), 0)</f>
        <v>22.23444976076555</v>
      </c>
      <c r="K1883">
        <f>Sheet1[[#This Row],[Revenue]]-Sheet1[[#This Row],[Ad Spend]]</f>
        <v>139.41</v>
      </c>
      <c r="L1883" s="2" t="s">
        <v>22</v>
      </c>
      <c r="M1883">
        <v>3</v>
      </c>
      <c r="N1883" s="2" t="s">
        <v>19</v>
      </c>
      <c r="O1883">
        <v>48.56</v>
      </c>
    </row>
    <row r="1884" spans="1:15" x14ac:dyDescent="0.3">
      <c r="A1884" s="1">
        <v>45307</v>
      </c>
      <c r="B1884" s="2" t="s">
        <v>16</v>
      </c>
      <c r="C1884" s="2" t="s">
        <v>17</v>
      </c>
      <c r="D1884" s="2" t="s">
        <v>18</v>
      </c>
      <c r="E1884">
        <v>175.84</v>
      </c>
      <c r="F1884">
        <v>17.25</v>
      </c>
      <c r="G1884">
        <v>1</v>
      </c>
      <c r="H1884">
        <f t="shared" si="29"/>
        <v>61207.979999999989</v>
      </c>
      <c r="I1884" t="str">
        <f>IF(Sheet1[[#This Row],[Month_Revenue]] &lt; AVERAGE(Sheet1[Month_Revenue]), "Off-Peak", "Peak")</f>
        <v>Peak</v>
      </c>
      <c r="J1884">
        <f xml:space="preserve"> IF(Sheet1[[#This Row],[Ad Spend]] &gt; 0, (Sheet1[[#This Row],[Profit]] / Sheet1[[#This Row],[Ad Spend]]), 0)</f>
        <v>9.1936231884057982</v>
      </c>
      <c r="K1884">
        <f>Sheet1[[#This Row],[Revenue]]-Sheet1[[#This Row],[Ad Spend]]</f>
        <v>158.59</v>
      </c>
      <c r="L1884" s="2" t="s">
        <v>22</v>
      </c>
      <c r="M1884">
        <v>1</v>
      </c>
      <c r="N1884" s="2" t="s">
        <v>15</v>
      </c>
      <c r="O1884">
        <v>175.84</v>
      </c>
    </row>
    <row r="1885" spans="1:15" x14ac:dyDescent="0.3">
      <c r="A1885" s="1">
        <v>45320</v>
      </c>
      <c r="B1885" s="2" t="s">
        <v>11</v>
      </c>
      <c r="C1885" s="2" t="s">
        <v>21</v>
      </c>
      <c r="D1885" s="2" t="s">
        <v>13</v>
      </c>
      <c r="E1885">
        <v>145.24</v>
      </c>
      <c r="F1885">
        <v>28.21</v>
      </c>
      <c r="G1885">
        <v>2</v>
      </c>
      <c r="H1885">
        <f t="shared" si="29"/>
        <v>61207.979999999989</v>
      </c>
      <c r="I1885" t="str">
        <f>IF(Sheet1[[#This Row],[Month_Revenue]] &lt; AVERAGE(Sheet1[Month_Revenue]), "Off-Peak", "Peak")</f>
        <v>Peak</v>
      </c>
      <c r="J1885">
        <f xml:space="preserve"> IF(Sheet1[[#This Row],[Ad Spend]] &gt; 0, (Sheet1[[#This Row],[Profit]] / Sheet1[[#This Row],[Ad Spend]]), 0)</f>
        <v>4.148528890464374</v>
      </c>
      <c r="K1885">
        <f>Sheet1[[#This Row],[Revenue]]-Sheet1[[#This Row],[Ad Spend]]</f>
        <v>117.03</v>
      </c>
      <c r="L1885" s="2" t="s">
        <v>14</v>
      </c>
      <c r="M1885">
        <v>1</v>
      </c>
      <c r="N1885" s="2" t="s">
        <v>15</v>
      </c>
      <c r="O1885">
        <v>72.62</v>
      </c>
    </row>
    <row r="1886" spans="1:15" x14ac:dyDescent="0.3">
      <c r="A1886" s="1">
        <v>45302</v>
      </c>
      <c r="B1886" s="2" t="s">
        <v>16</v>
      </c>
      <c r="C1886" s="2" t="s">
        <v>17</v>
      </c>
      <c r="D1886" s="2" t="s">
        <v>13</v>
      </c>
      <c r="E1886">
        <v>144.4</v>
      </c>
      <c r="F1886">
        <v>33.6</v>
      </c>
      <c r="G1886">
        <v>2</v>
      </c>
      <c r="H1886">
        <f t="shared" si="29"/>
        <v>61207.979999999989</v>
      </c>
      <c r="I1886" t="str">
        <f>IF(Sheet1[[#This Row],[Month_Revenue]] &lt; AVERAGE(Sheet1[Month_Revenue]), "Off-Peak", "Peak")</f>
        <v>Peak</v>
      </c>
      <c r="J1886">
        <f xml:space="preserve"> IF(Sheet1[[#This Row],[Ad Spend]] &gt; 0, (Sheet1[[#This Row],[Profit]] / Sheet1[[#This Row],[Ad Spend]]), 0)</f>
        <v>3.2976190476190479</v>
      </c>
      <c r="K1886">
        <f>Sheet1[[#This Row],[Revenue]]-Sheet1[[#This Row],[Ad Spend]]</f>
        <v>110.80000000000001</v>
      </c>
      <c r="L1886" s="2" t="s">
        <v>22</v>
      </c>
      <c r="M1886">
        <v>1</v>
      </c>
      <c r="N1886" s="2" t="s">
        <v>15</v>
      </c>
      <c r="O1886">
        <v>72.2</v>
      </c>
    </row>
    <row r="1887" spans="1:15" x14ac:dyDescent="0.3">
      <c r="A1887" s="1">
        <v>45407</v>
      </c>
      <c r="B1887" s="2" t="s">
        <v>11</v>
      </c>
      <c r="C1887" s="2" t="s">
        <v>12</v>
      </c>
      <c r="D1887" s="2" t="s">
        <v>13</v>
      </c>
      <c r="E1887">
        <v>138.72999999999999</v>
      </c>
      <c r="F1887">
        <v>19.420000000000002</v>
      </c>
      <c r="G1887">
        <v>3</v>
      </c>
      <c r="H1887">
        <f t="shared" si="29"/>
        <v>58562.910000000018</v>
      </c>
      <c r="I1887" t="str">
        <f>IF(Sheet1[[#This Row],[Month_Revenue]] &lt; AVERAGE(Sheet1[Month_Revenue]), "Off-Peak", "Peak")</f>
        <v>Peak</v>
      </c>
      <c r="J1887">
        <f xml:space="preserve"> IF(Sheet1[[#This Row],[Ad Spend]] &gt; 0, (Sheet1[[#This Row],[Profit]] / Sheet1[[#This Row],[Ad Spend]]), 0)</f>
        <v>6.1436663233779596</v>
      </c>
      <c r="K1887">
        <f>Sheet1[[#This Row],[Revenue]]-Sheet1[[#This Row],[Ad Spend]]</f>
        <v>119.30999999999999</v>
      </c>
      <c r="L1887" s="2" t="s">
        <v>14</v>
      </c>
      <c r="M1887">
        <v>4</v>
      </c>
      <c r="N1887" s="2" t="s">
        <v>19</v>
      </c>
      <c r="O1887">
        <v>46.243333333333332</v>
      </c>
    </row>
    <row r="1888" spans="1:15" x14ac:dyDescent="0.3">
      <c r="A1888" s="1">
        <v>45331</v>
      </c>
      <c r="B1888" s="2" t="s">
        <v>16</v>
      </c>
      <c r="C1888" s="2" t="s">
        <v>12</v>
      </c>
      <c r="D1888" s="2" t="s">
        <v>18</v>
      </c>
      <c r="E1888">
        <v>22.26</v>
      </c>
      <c r="F1888">
        <v>25.94</v>
      </c>
      <c r="G1888">
        <v>2</v>
      </c>
      <c r="H1888">
        <f t="shared" si="29"/>
        <v>48675.899999999936</v>
      </c>
      <c r="I1888" t="str">
        <f>IF(Sheet1[[#This Row],[Month_Revenue]] &lt; AVERAGE(Sheet1[Month_Revenue]), "Off-Peak", "Peak")</f>
        <v>Off-Peak</v>
      </c>
      <c r="J1888">
        <f xml:space="preserve"> IF(Sheet1[[#This Row],[Ad Spend]] &gt; 0, (Sheet1[[#This Row],[Profit]] / Sheet1[[#This Row],[Ad Spend]]), 0)</f>
        <v>-0.14186584425597532</v>
      </c>
      <c r="K1888">
        <f>Sheet1[[#This Row],[Revenue]]-Sheet1[[#This Row],[Ad Spend]]</f>
        <v>-3.6799999999999997</v>
      </c>
      <c r="L1888" s="2" t="s">
        <v>14</v>
      </c>
      <c r="M1888">
        <v>2</v>
      </c>
      <c r="N1888" s="2" t="s">
        <v>15</v>
      </c>
      <c r="O1888">
        <v>11.13</v>
      </c>
    </row>
    <row r="1889" spans="1:15" x14ac:dyDescent="0.3">
      <c r="A1889" s="1">
        <v>45412</v>
      </c>
      <c r="B1889" s="2" t="s">
        <v>20</v>
      </c>
      <c r="C1889" s="2" t="s">
        <v>21</v>
      </c>
      <c r="D1889" s="2" t="s">
        <v>18</v>
      </c>
      <c r="E1889">
        <v>32.49</v>
      </c>
      <c r="F1889">
        <v>12.46</v>
      </c>
      <c r="G1889">
        <v>0</v>
      </c>
      <c r="H1889">
        <f t="shared" si="29"/>
        <v>58562.910000000018</v>
      </c>
      <c r="I1889" t="str">
        <f>IF(Sheet1[[#This Row],[Month_Revenue]] &lt; AVERAGE(Sheet1[Month_Revenue]), "Off-Peak", "Peak")</f>
        <v>Peak</v>
      </c>
      <c r="J1889">
        <f xml:space="preserve"> IF(Sheet1[[#This Row],[Ad Spend]] &gt; 0, (Sheet1[[#This Row],[Profit]] / Sheet1[[#This Row],[Ad Spend]]), 0)</f>
        <v>1.6075441412520064</v>
      </c>
      <c r="K1889">
        <f>Sheet1[[#This Row],[Revenue]]-Sheet1[[#This Row],[Ad Spend]]</f>
        <v>20.03</v>
      </c>
      <c r="L1889" s="2" t="s">
        <v>22</v>
      </c>
      <c r="M1889">
        <v>4</v>
      </c>
      <c r="N1889" s="2" t="s">
        <v>19</v>
      </c>
      <c r="O1889">
        <v>0</v>
      </c>
    </row>
    <row r="1890" spans="1:15" x14ac:dyDescent="0.3">
      <c r="A1890" s="1">
        <v>45371</v>
      </c>
      <c r="B1890" s="2" t="s">
        <v>11</v>
      </c>
      <c r="C1890" s="2" t="s">
        <v>17</v>
      </c>
      <c r="D1890" s="2" t="s">
        <v>18</v>
      </c>
      <c r="E1890">
        <v>89.52</v>
      </c>
      <c r="F1890">
        <v>21.6</v>
      </c>
      <c r="G1890">
        <v>0</v>
      </c>
      <c r="H1890">
        <f t="shared" si="29"/>
        <v>54735.250000000029</v>
      </c>
      <c r="I1890" t="str">
        <f>IF(Sheet1[[#This Row],[Month_Revenue]] &lt; AVERAGE(Sheet1[Month_Revenue]), "Off-Peak", "Peak")</f>
        <v>Off-Peak</v>
      </c>
      <c r="J1890">
        <f xml:space="preserve"> IF(Sheet1[[#This Row],[Ad Spend]] &gt; 0, (Sheet1[[#This Row],[Profit]] / Sheet1[[#This Row],[Ad Spend]]), 0)</f>
        <v>3.1444444444444435</v>
      </c>
      <c r="K1890">
        <f>Sheet1[[#This Row],[Revenue]]-Sheet1[[#This Row],[Ad Spend]]</f>
        <v>67.919999999999987</v>
      </c>
      <c r="L1890" s="2" t="s">
        <v>14</v>
      </c>
      <c r="M1890">
        <v>3</v>
      </c>
      <c r="N1890" s="2" t="s">
        <v>19</v>
      </c>
      <c r="O1890">
        <v>0</v>
      </c>
    </row>
    <row r="1891" spans="1:15" x14ac:dyDescent="0.3">
      <c r="A1891" s="1">
        <v>45375</v>
      </c>
      <c r="B1891" s="2" t="s">
        <v>20</v>
      </c>
      <c r="C1891" s="2" t="s">
        <v>21</v>
      </c>
      <c r="D1891" s="2" t="s">
        <v>18</v>
      </c>
      <c r="E1891">
        <v>143.15</v>
      </c>
      <c r="F1891">
        <v>11.14</v>
      </c>
      <c r="G1891">
        <v>3</v>
      </c>
      <c r="H1891">
        <f t="shared" si="29"/>
        <v>54735.250000000029</v>
      </c>
      <c r="I1891" t="str">
        <f>IF(Sheet1[[#This Row],[Month_Revenue]] &lt; AVERAGE(Sheet1[Month_Revenue]), "Off-Peak", "Peak")</f>
        <v>Off-Peak</v>
      </c>
      <c r="J1891">
        <f xml:space="preserve"> IF(Sheet1[[#This Row],[Ad Spend]] &gt; 0, (Sheet1[[#This Row],[Profit]] / Sheet1[[#This Row],[Ad Spend]]), 0)</f>
        <v>11.850089766606821</v>
      </c>
      <c r="K1891">
        <f>Sheet1[[#This Row],[Revenue]]-Sheet1[[#This Row],[Ad Spend]]</f>
        <v>132.01</v>
      </c>
      <c r="L1891" s="2" t="s">
        <v>14</v>
      </c>
      <c r="M1891">
        <v>3</v>
      </c>
      <c r="N1891" s="2" t="s">
        <v>19</v>
      </c>
      <c r="O1891">
        <v>47.716666666666669</v>
      </c>
    </row>
    <row r="1892" spans="1:15" x14ac:dyDescent="0.3">
      <c r="A1892" s="1">
        <v>45358</v>
      </c>
      <c r="B1892" s="2" t="s">
        <v>20</v>
      </c>
      <c r="C1892" s="2" t="s">
        <v>21</v>
      </c>
      <c r="D1892" s="2" t="s">
        <v>13</v>
      </c>
      <c r="E1892">
        <v>116.09</v>
      </c>
      <c r="F1892">
        <v>7.08</v>
      </c>
      <c r="G1892">
        <v>0</v>
      </c>
      <c r="H1892">
        <f t="shared" si="29"/>
        <v>54735.250000000029</v>
      </c>
      <c r="I1892" t="str">
        <f>IF(Sheet1[[#This Row],[Month_Revenue]] &lt; AVERAGE(Sheet1[Month_Revenue]), "Off-Peak", "Peak")</f>
        <v>Off-Peak</v>
      </c>
      <c r="J1892">
        <f xml:space="preserve"> IF(Sheet1[[#This Row],[Ad Spend]] &gt; 0, (Sheet1[[#This Row],[Profit]] / Sheet1[[#This Row],[Ad Spend]]), 0)</f>
        <v>15.396892655367232</v>
      </c>
      <c r="K1892">
        <f>Sheet1[[#This Row],[Revenue]]-Sheet1[[#This Row],[Ad Spend]]</f>
        <v>109.01</v>
      </c>
      <c r="L1892" s="2" t="s">
        <v>14</v>
      </c>
      <c r="M1892">
        <v>3</v>
      </c>
      <c r="N1892" s="2" t="s">
        <v>19</v>
      </c>
      <c r="O1892">
        <v>0</v>
      </c>
    </row>
    <row r="1893" spans="1:15" x14ac:dyDescent="0.3">
      <c r="A1893" s="1">
        <v>45322</v>
      </c>
      <c r="B1893" s="2" t="s">
        <v>20</v>
      </c>
      <c r="C1893" s="2" t="s">
        <v>21</v>
      </c>
      <c r="D1893" s="2" t="s">
        <v>13</v>
      </c>
      <c r="E1893">
        <v>95.89</v>
      </c>
      <c r="F1893">
        <v>27.34</v>
      </c>
      <c r="G1893">
        <v>0</v>
      </c>
      <c r="H1893">
        <f t="shared" si="29"/>
        <v>61207.979999999989</v>
      </c>
      <c r="I1893" t="str">
        <f>IF(Sheet1[[#This Row],[Month_Revenue]] &lt; AVERAGE(Sheet1[Month_Revenue]), "Off-Peak", "Peak")</f>
        <v>Peak</v>
      </c>
      <c r="J1893">
        <f xml:space="preserve"> IF(Sheet1[[#This Row],[Ad Spend]] &gt; 0, (Sheet1[[#This Row],[Profit]] / Sheet1[[#This Row],[Ad Spend]]), 0)</f>
        <v>2.5073152889539134</v>
      </c>
      <c r="K1893">
        <f>Sheet1[[#This Row],[Revenue]]-Sheet1[[#This Row],[Ad Spend]]</f>
        <v>68.55</v>
      </c>
      <c r="L1893" s="2" t="s">
        <v>14</v>
      </c>
      <c r="M1893">
        <v>1</v>
      </c>
      <c r="N1893" s="2" t="s">
        <v>15</v>
      </c>
      <c r="O1893">
        <v>0</v>
      </c>
    </row>
    <row r="1894" spans="1:15" x14ac:dyDescent="0.3">
      <c r="A1894" s="1">
        <v>45296</v>
      </c>
      <c r="B1894" s="2" t="s">
        <v>20</v>
      </c>
      <c r="C1894" s="2" t="s">
        <v>17</v>
      </c>
      <c r="D1894" s="2" t="s">
        <v>13</v>
      </c>
      <c r="E1894">
        <v>22.64</v>
      </c>
      <c r="F1894">
        <v>16.07</v>
      </c>
      <c r="G1894">
        <v>3</v>
      </c>
      <c r="H1894">
        <f t="shared" si="29"/>
        <v>61207.979999999989</v>
      </c>
      <c r="I1894" t="str">
        <f>IF(Sheet1[[#This Row],[Month_Revenue]] &lt; AVERAGE(Sheet1[Month_Revenue]), "Off-Peak", "Peak")</f>
        <v>Peak</v>
      </c>
      <c r="J1894">
        <f xml:space="preserve"> IF(Sheet1[[#This Row],[Ad Spend]] &gt; 0, (Sheet1[[#This Row],[Profit]] / Sheet1[[#This Row],[Ad Spend]]), 0)</f>
        <v>0.40883634100808963</v>
      </c>
      <c r="K1894">
        <f>Sheet1[[#This Row],[Revenue]]-Sheet1[[#This Row],[Ad Spend]]</f>
        <v>6.57</v>
      </c>
      <c r="L1894" s="2" t="s">
        <v>22</v>
      </c>
      <c r="M1894">
        <v>1</v>
      </c>
      <c r="N1894" s="2" t="s">
        <v>15</v>
      </c>
      <c r="O1894">
        <v>7.5466666666666669</v>
      </c>
    </row>
    <row r="1895" spans="1:15" x14ac:dyDescent="0.3">
      <c r="A1895" s="1">
        <v>45393</v>
      </c>
      <c r="B1895" s="2" t="s">
        <v>24</v>
      </c>
      <c r="C1895" s="2" t="s">
        <v>12</v>
      </c>
      <c r="D1895" s="2" t="s">
        <v>13</v>
      </c>
      <c r="E1895">
        <v>28.17</v>
      </c>
      <c r="F1895">
        <v>19.21</v>
      </c>
      <c r="G1895">
        <v>1</v>
      </c>
      <c r="H1895">
        <f t="shared" si="29"/>
        <v>58562.910000000018</v>
      </c>
      <c r="I1895" t="str">
        <f>IF(Sheet1[[#This Row],[Month_Revenue]] &lt; AVERAGE(Sheet1[Month_Revenue]), "Off-Peak", "Peak")</f>
        <v>Peak</v>
      </c>
      <c r="J1895">
        <f xml:space="preserve"> IF(Sheet1[[#This Row],[Ad Spend]] &gt; 0, (Sheet1[[#This Row],[Profit]] / Sheet1[[#This Row],[Ad Spend]]), 0)</f>
        <v>0.46642373763664763</v>
      </c>
      <c r="K1895">
        <f>Sheet1[[#This Row],[Revenue]]-Sheet1[[#This Row],[Ad Spend]]</f>
        <v>8.9600000000000009</v>
      </c>
      <c r="L1895" s="2" t="s">
        <v>14</v>
      </c>
      <c r="M1895">
        <v>4</v>
      </c>
      <c r="N1895" s="2" t="s">
        <v>19</v>
      </c>
      <c r="O1895">
        <v>28.17</v>
      </c>
    </row>
    <row r="1896" spans="1:15" x14ac:dyDescent="0.3">
      <c r="A1896" s="1">
        <v>45295</v>
      </c>
      <c r="B1896" s="2" t="s">
        <v>16</v>
      </c>
      <c r="C1896" s="2" t="s">
        <v>12</v>
      </c>
      <c r="D1896" s="2" t="s">
        <v>18</v>
      </c>
      <c r="E1896">
        <v>24.27</v>
      </c>
      <c r="F1896">
        <v>7.94</v>
      </c>
      <c r="G1896">
        <v>1</v>
      </c>
      <c r="H1896">
        <f t="shared" si="29"/>
        <v>61207.979999999989</v>
      </c>
      <c r="I1896" t="str">
        <f>IF(Sheet1[[#This Row],[Month_Revenue]] &lt; AVERAGE(Sheet1[Month_Revenue]), "Off-Peak", "Peak")</f>
        <v>Peak</v>
      </c>
      <c r="J1896">
        <f xml:space="preserve"> IF(Sheet1[[#This Row],[Ad Spend]] &gt; 0, (Sheet1[[#This Row],[Profit]] / Sheet1[[#This Row],[Ad Spend]]), 0)</f>
        <v>2.0566750629722921</v>
      </c>
      <c r="K1896">
        <f>Sheet1[[#This Row],[Revenue]]-Sheet1[[#This Row],[Ad Spend]]</f>
        <v>16.329999999999998</v>
      </c>
      <c r="L1896" s="2" t="s">
        <v>22</v>
      </c>
      <c r="M1896">
        <v>1</v>
      </c>
      <c r="N1896" s="2" t="s">
        <v>15</v>
      </c>
      <c r="O1896">
        <v>24.27</v>
      </c>
    </row>
    <row r="1897" spans="1:15" x14ac:dyDescent="0.3">
      <c r="A1897" s="1">
        <v>45397</v>
      </c>
      <c r="B1897" s="2" t="s">
        <v>11</v>
      </c>
      <c r="C1897" s="2" t="s">
        <v>12</v>
      </c>
      <c r="D1897" s="2" t="s">
        <v>13</v>
      </c>
      <c r="E1897">
        <v>133.6</v>
      </c>
      <c r="F1897">
        <v>26.15</v>
      </c>
      <c r="G1897">
        <v>1</v>
      </c>
      <c r="H1897">
        <f t="shared" si="29"/>
        <v>58562.910000000018</v>
      </c>
      <c r="I1897" t="str">
        <f>IF(Sheet1[[#This Row],[Month_Revenue]] &lt; AVERAGE(Sheet1[Month_Revenue]), "Off-Peak", "Peak")</f>
        <v>Peak</v>
      </c>
      <c r="J1897">
        <f xml:space="preserve"> IF(Sheet1[[#This Row],[Ad Spend]] &gt; 0, (Sheet1[[#This Row],[Profit]] / Sheet1[[#This Row],[Ad Spend]]), 0)</f>
        <v>4.1089866156787762</v>
      </c>
      <c r="K1897">
        <f>Sheet1[[#This Row],[Revenue]]-Sheet1[[#This Row],[Ad Spend]]</f>
        <v>107.44999999999999</v>
      </c>
      <c r="L1897" s="2" t="s">
        <v>14</v>
      </c>
      <c r="M1897">
        <v>4</v>
      </c>
      <c r="N1897" s="2" t="s">
        <v>19</v>
      </c>
      <c r="O1897">
        <v>133.6</v>
      </c>
    </row>
    <row r="1898" spans="1:15" x14ac:dyDescent="0.3">
      <c r="A1898" s="1">
        <v>45333</v>
      </c>
      <c r="B1898" s="2" t="s">
        <v>23</v>
      </c>
      <c r="C1898" s="2" t="s">
        <v>12</v>
      </c>
      <c r="D1898" s="2" t="s">
        <v>13</v>
      </c>
      <c r="E1898">
        <v>23.09</v>
      </c>
      <c r="F1898">
        <v>24.29</v>
      </c>
      <c r="G1898">
        <v>0</v>
      </c>
      <c r="H1898">
        <f t="shared" si="29"/>
        <v>48675.899999999936</v>
      </c>
      <c r="I1898" t="str">
        <f>IF(Sheet1[[#This Row],[Month_Revenue]] &lt; AVERAGE(Sheet1[Month_Revenue]), "Off-Peak", "Peak")</f>
        <v>Off-Peak</v>
      </c>
      <c r="J1898">
        <f xml:space="preserve"> IF(Sheet1[[#This Row],[Ad Spend]] &gt; 0, (Sheet1[[#This Row],[Profit]] / Sheet1[[#This Row],[Ad Spend]]), 0)</f>
        <v>-4.9403046521202115E-2</v>
      </c>
      <c r="K1898">
        <f>Sheet1[[#This Row],[Revenue]]-Sheet1[[#This Row],[Ad Spend]]</f>
        <v>-1.1999999999999993</v>
      </c>
      <c r="L1898" s="2" t="s">
        <v>14</v>
      </c>
      <c r="M1898">
        <v>2</v>
      </c>
      <c r="N1898" s="2" t="s">
        <v>15</v>
      </c>
      <c r="O1898">
        <v>0</v>
      </c>
    </row>
    <row r="1899" spans="1:15" x14ac:dyDescent="0.3">
      <c r="A1899" s="1">
        <v>45354</v>
      </c>
      <c r="B1899" s="2" t="s">
        <v>20</v>
      </c>
      <c r="C1899" s="2" t="s">
        <v>17</v>
      </c>
      <c r="D1899" s="2" t="s">
        <v>18</v>
      </c>
      <c r="E1899">
        <v>68.45</v>
      </c>
      <c r="F1899">
        <v>13.31</v>
      </c>
      <c r="G1899">
        <v>1</v>
      </c>
      <c r="H1899">
        <f t="shared" si="29"/>
        <v>54735.250000000029</v>
      </c>
      <c r="I1899" t="str">
        <f>IF(Sheet1[[#This Row],[Month_Revenue]] &lt; AVERAGE(Sheet1[Month_Revenue]), "Off-Peak", "Peak")</f>
        <v>Off-Peak</v>
      </c>
      <c r="J1899">
        <f xml:space="preserve"> IF(Sheet1[[#This Row],[Ad Spend]] &gt; 0, (Sheet1[[#This Row],[Profit]] / Sheet1[[#This Row],[Ad Spend]]), 0)</f>
        <v>4.1427498121712993</v>
      </c>
      <c r="K1899">
        <f>Sheet1[[#This Row],[Revenue]]-Sheet1[[#This Row],[Ad Spend]]</f>
        <v>55.14</v>
      </c>
      <c r="L1899" s="2" t="s">
        <v>14</v>
      </c>
      <c r="M1899">
        <v>3</v>
      </c>
      <c r="N1899" s="2" t="s">
        <v>19</v>
      </c>
      <c r="O1899">
        <v>68.45</v>
      </c>
    </row>
    <row r="1900" spans="1:15" x14ac:dyDescent="0.3">
      <c r="A1900" s="1">
        <v>45292</v>
      </c>
      <c r="B1900" s="2" t="s">
        <v>24</v>
      </c>
      <c r="C1900" s="2" t="s">
        <v>21</v>
      </c>
      <c r="D1900" s="2" t="s">
        <v>18</v>
      </c>
      <c r="E1900">
        <v>166.1</v>
      </c>
      <c r="F1900">
        <v>8.41</v>
      </c>
      <c r="G1900">
        <v>2</v>
      </c>
      <c r="H1900">
        <f t="shared" si="29"/>
        <v>61207.979999999989</v>
      </c>
      <c r="I1900" t="str">
        <f>IF(Sheet1[[#This Row],[Month_Revenue]] &lt; AVERAGE(Sheet1[Month_Revenue]), "Off-Peak", "Peak")</f>
        <v>Peak</v>
      </c>
      <c r="J1900">
        <f xml:space="preserve"> IF(Sheet1[[#This Row],[Ad Spend]] &gt; 0, (Sheet1[[#This Row],[Profit]] / Sheet1[[#This Row],[Ad Spend]]), 0)</f>
        <v>18.750297265160523</v>
      </c>
      <c r="K1900">
        <f>Sheet1[[#This Row],[Revenue]]-Sheet1[[#This Row],[Ad Spend]]</f>
        <v>157.69</v>
      </c>
      <c r="L1900" s="2" t="s">
        <v>22</v>
      </c>
      <c r="M1900">
        <v>1</v>
      </c>
      <c r="N1900" s="2" t="s">
        <v>15</v>
      </c>
      <c r="O1900">
        <v>83.05</v>
      </c>
    </row>
    <row r="1901" spans="1:15" x14ac:dyDescent="0.3">
      <c r="A1901" s="1">
        <v>45361</v>
      </c>
      <c r="B1901" s="2" t="s">
        <v>16</v>
      </c>
      <c r="C1901" s="2" t="s">
        <v>21</v>
      </c>
      <c r="D1901" s="2" t="s">
        <v>18</v>
      </c>
      <c r="E1901">
        <v>172.98</v>
      </c>
      <c r="F1901">
        <v>49.51</v>
      </c>
      <c r="G1901">
        <v>2</v>
      </c>
      <c r="H1901">
        <f t="shared" si="29"/>
        <v>54735.250000000029</v>
      </c>
      <c r="I1901" t="str">
        <f>IF(Sheet1[[#This Row],[Month_Revenue]] &lt; AVERAGE(Sheet1[Month_Revenue]), "Off-Peak", "Peak")</f>
        <v>Off-Peak</v>
      </c>
      <c r="J1901">
        <f xml:space="preserve"> IF(Sheet1[[#This Row],[Ad Spend]] &gt; 0, (Sheet1[[#This Row],[Profit]] / Sheet1[[#This Row],[Ad Spend]]), 0)</f>
        <v>2.4938396283579074</v>
      </c>
      <c r="K1901">
        <f>Sheet1[[#This Row],[Revenue]]-Sheet1[[#This Row],[Ad Spend]]</f>
        <v>123.47</v>
      </c>
      <c r="L1901" s="2" t="s">
        <v>14</v>
      </c>
      <c r="M1901">
        <v>3</v>
      </c>
      <c r="N1901" s="2" t="s">
        <v>19</v>
      </c>
      <c r="O1901">
        <v>86.49</v>
      </c>
    </row>
    <row r="1902" spans="1:15" x14ac:dyDescent="0.3">
      <c r="A1902" s="1">
        <v>45390</v>
      </c>
      <c r="B1902" s="2" t="s">
        <v>23</v>
      </c>
      <c r="C1902" s="2" t="s">
        <v>12</v>
      </c>
      <c r="D1902" s="2" t="s">
        <v>18</v>
      </c>
      <c r="E1902">
        <v>138.38</v>
      </c>
      <c r="F1902">
        <v>14.01</v>
      </c>
      <c r="G1902">
        <v>0</v>
      </c>
      <c r="H1902">
        <f t="shared" si="29"/>
        <v>58562.910000000018</v>
      </c>
      <c r="I1902" t="str">
        <f>IF(Sheet1[[#This Row],[Month_Revenue]] &lt; AVERAGE(Sheet1[Month_Revenue]), "Off-Peak", "Peak")</f>
        <v>Peak</v>
      </c>
      <c r="J1902">
        <f xml:space="preserve"> IF(Sheet1[[#This Row],[Ad Spend]] &gt; 0, (Sheet1[[#This Row],[Profit]] / Sheet1[[#This Row],[Ad Spend]]), 0)</f>
        <v>8.8772305496074235</v>
      </c>
      <c r="K1902">
        <f>Sheet1[[#This Row],[Revenue]]-Sheet1[[#This Row],[Ad Spend]]</f>
        <v>124.36999999999999</v>
      </c>
      <c r="L1902" s="2" t="s">
        <v>22</v>
      </c>
      <c r="M1902">
        <v>4</v>
      </c>
      <c r="N1902" s="2" t="s">
        <v>19</v>
      </c>
      <c r="O1902">
        <v>0</v>
      </c>
    </row>
    <row r="1903" spans="1:15" x14ac:dyDescent="0.3">
      <c r="A1903" s="1">
        <v>45340</v>
      </c>
      <c r="B1903" s="2" t="s">
        <v>11</v>
      </c>
      <c r="C1903" s="2" t="s">
        <v>17</v>
      </c>
      <c r="D1903" s="2" t="s">
        <v>13</v>
      </c>
      <c r="E1903">
        <v>139.36000000000001</v>
      </c>
      <c r="F1903">
        <v>19.440000000000001</v>
      </c>
      <c r="G1903">
        <v>1</v>
      </c>
      <c r="H1903">
        <f t="shared" si="29"/>
        <v>48675.899999999936</v>
      </c>
      <c r="I1903" t="str">
        <f>IF(Sheet1[[#This Row],[Month_Revenue]] &lt; AVERAGE(Sheet1[Month_Revenue]), "Off-Peak", "Peak")</f>
        <v>Off-Peak</v>
      </c>
      <c r="J1903">
        <f xml:space="preserve"> IF(Sheet1[[#This Row],[Ad Spend]] &gt; 0, (Sheet1[[#This Row],[Profit]] / Sheet1[[#This Row],[Ad Spend]]), 0)</f>
        <v>6.1687242798353914</v>
      </c>
      <c r="K1903">
        <f>Sheet1[[#This Row],[Revenue]]-Sheet1[[#This Row],[Ad Spend]]</f>
        <v>119.92000000000002</v>
      </c>
      <c r="L1903" s="2" t="s">
        <v>22</v>
      </c>
      <c r="M1903">
        <v>2</v>
      </c>
      <c r="N1903" s="2" t="s">
        <v>15</v>
      </c>
      <c r="O1903">
        <v>139.36000000000001</v>
      </c>
    </row>
    <row r="1904" spans="1:15" x14ac:dyDescent="0.3">
      <c r="A1904" s="1">
        <v>45411</v>
      </c>
      <c r="B1904" s="2" t="s">
        <v>24</v>
      </c>
      <c r="C1904" s="2" t="s">
        <v>12</v>
      </c>
      <c r="D1904" s="2" t="s">
        <v>13</v>
      </c>
      <c r="E1904">
        <v>60.35</v>
      </c>
      <c r="F1904">
        <v>14.92</v>
      </c>
      <c r="G1904">
        <v>3</v>
      </c>
      <c r="H1904">
        <f t="shared" si="29"/>
        <v>58562.910000000018</v>
      </c>
      <c r="I1904" t="str">
        <f>IF(Sheet1[[#This Row],[Month_Revenue]] &lt; AVERAGE(Sheet1[Month_Revenue]), "Off-Peak", "Peak")</f>
        <v>Peak</v>
      </c>
      <c r="J1904">
        <f xml:space="preserve"> IF(Sheet1[[#This Row],[Ad Spend]] &gt; 0, (Sheet1[[#This Row],[Profit]] / Sheet1[[#This Row],[Ad Spend]]), 0)</f>
        <v>3.0449061662198393</v>
      </c>
      <c r="K1904">
        <f>Sheet1[[#This Row],[Revenue]]-Sheet1[[#This Row],[Ad Spend]]</f>
        <v>45.43</v>
      </c>
      <c r="L1904" s="2" t="s">
        <v>14</v>
      </c>
      <c r="M1904">
        <v>4</v>
      </c>
      <c r="N1904" s="2" t="s">
        <v>19</v>
      </c>
      <c r="O1904">
        <v>20.116666666666667</v>
      </c>
    </row>
    <row r="1905" spans="1:15" x14ac:dyDescent="0.3">
      <c r="A1905" s="1">
        <v>45404</v>
      </c>
      <c r="B1905" s="2" t="s">
        <v>24</v>
      </c>
      <c r="C1905" s="2" t="s">
        <v>21</v>
      </c>
      <c r="D1905" s="2" t="s">
        <v>18</v>
      </c>
      <c r="E1905">
        <v>120.97</v>
      </c>
      <c r="F1905">
        <v>28.01</v>
      </c>
      <c r="G1905">
        <v>3</v>
      </c>
      <c r="H1905">
        <f t="shared" si="29"/>
        <v>58562.910000000018</v>
      </c>
      <c r="I1905" t="str">
        <f>IF(Sheet1[[#This Row],[Month_Revenue]] &lt; AVERAGE(Sheet1[Month_Revenue]), "Off-Peak", "Peak")</f>
        <v>Peak</v>
      </c>
      <c r="J1905">
        <f xml:space="preserve"> IF(Sheet1[[#This Row],[Ad Spend]] &gt; 0, (Sheet1[[#This Row],[Profit]] / Sheet1[[#This Row],[Ad Spend]]), 0)</f>
        <v>3.318814709032488</v>
      </c>
      <c r="K1905">
        <f>Sheet1[[#This Row],[Revenue]]-Sheet1[[#This Row],[Ad Spend]]</f>
        <v>92.96</v>
      </c>
      <c r="L1905" s="2" t="s">
        <v>22</v>
      </c>
      <c r="M1905">
        <v>4</v>
      </c>
      <c r="N1905" s="2" t="s">
        <v>19</v>
      </c>
      <c r="O1905">
        <v>40.323333333333331</v>
      </c>
    </row>
    <row r="1906" spans="1:15" x14ac:dyDescent="0.3">
      <c r="A1906" s="1">
        <v>45361</v>
      </c>
      <c r="B1906" s="2" t="s">
        <v>23</v>
      </c>
      <c r="C1906" s="2" t="s">
        <v>12</v>
      </c>
      <c r="D1906" s="2" t="s">
        <v>13</v>
      </c>
      <c r="E1906">
        <v>152.80000000000001</v>
      </c>
      <c r="F1906">
        <v>34.51</v>
      </c>
      <c r="G1906">
        <v>2</v>
      </c>
      <c r="H1906">
        <f t="shared" si="29"/>
        <v>54735.250000000029</v>
      </c>
      <c r="I1906" t="str">
        <f>IF(Sheet1[[#This Row],[Month_Revenue]] &lt; AVERAGE(Sheet1[Month_Revenue]), "Off-Peak", "Peak")</f>
        <v>Off-Peak</v>
      </c>
      <c r="J1906">
        <f xml:space="preserve"> IF(Sheet1[[#This Row],[Ad Spend]] &gt; 0, (Sheet1[[#This Row],[Profit]] / Sheet1[[#This Row],[Ad Spend]]), 0)</f>
        <v>3.4277021153288909</v>
      </c>
      <c r="K1906">
        <f>Sheet1[[#This Row],[Revenue]]-Sheet1[[#This Row],[Ad Spend]]</f>
        <v>118.29000000000002</v>
      </c>
      <c r="L1906" s="2" t="s">
        <v>22</v>
      </c>
      <c r="M1906">
        <v>3</v>
      </c>
      <c r="N1906" s="2" t="s">
        <v>19</v>
      </c>
      <c r="O1906">
        <v>76.400000000000006</v>
      </c>
    </row>
    <row r="1907" spans="1:15" x14ac:dyDescent="0.3">
      <c r="A1907" s="1">
        <v>45382</v>
      </c>
      <c r="B1907" s="2" t="s">
        <v>23</v>
      </c>
      <c r="C1907" s="2" t="s">
        <v>12</v>
      </c>
      <c r="D1907" s="2" t="s">
        <v>18</v>
      </c>
      <c r="E1907">
        <v>112.32</v>
      </c>
      <c r="F1907">
        <v>33.26</v>
      </c>
      <c r="G1907">
        <v>1</v>
      </c>
      <c r="H1907">
        <f t="shared" si="29"/>
        <v>54735.250000000029</v>
      </c>
      <c r="I1907" t="str">
        <f>IF(Sheet1[[#This Row],[Month_Revenue]] &lt; AVERAGE(Sheet1[Month_Revenue]), "Off-Peak", "Peak")</f>
        <v>Off-Peak</v>
      </c>
      <c r="J1907">
        <f xml:space="preserve"> IF(Sheet1[[#This Row],[Ad Spend]] &gt; 0, (Sheet1[[#This Row],[Profit]] / Sheet1[[#This Row],[Ad Spend]]), 0)</f>
        <v>2.37702946482261</v>
      </c>
      <c r="K1907">
        <f>Sheet1[[#This Row],[Revenue]]-Sheet1[[#This Row],[Ad Spend]]</f>
        <v>79.06</v>
      </c>
      <c r="L1907" s="2" t="s">
        <v>22</v>
      </c>
      <c r="M1907">
        <v>3</v>
      </c>
      <c r="N1907" s="2" t="s">
        <v>19</v>
      </c>
      <c r="O1907">
        <v>112.32</v>
      </c>
    </row>
    <row r="1908" spans="1:15" x14ac:dyDescent="0.3">
      <c r="A1908" s="1">
        <v>45363</v>
      </c>
      <c r="B1908" s="2" t="s">
        <v>16</v>
      </c>
      <c r="C1908" s="2" t="s">
        <v>12</v>
      </c>
      <c r="D1908" s="2" t="s">
        <v>18</v>
      </c>
      <c r="E1908">
        <v>104.84</v>
      </c>
      <c r="F1908">
        <v>28.12</v>
      </c>
      <c r="G1908">
        <v>1</v>
      </c>
      <c r="H1908">
        <f t="shared" si="29"/>
        <v>54735.250000000029</v>
      </c>
      <c r="I1908" t="str">
        <f>IF(Sheet1[[#This Row],[Month_Revenue]] &lt; AVERAGE(Sheet1[Month_Revenue]), "Off-Peak", "Peak")</f>
        <v>Off-Peak</v>
      </c>
      <c r="J1908">
        <f xml:space="preserve"> IF(Sheet1[[#This Row],[Ad Spend]] &gt; 0, (Sheet1[[#This Row],[Profit]] / Sheet1[[#This Row],[Ad Spend]]), 0)</f>
        <v>2.728307254623044</v>
      </c>
      <c r="K1908">
        <f>Sheet1[[#This Row],[Revenue]]-Sheet1[[#This Row],[Ad Spend]]</f>
        <v>76.72</v>
      </c>
      <c r="L1908" s="2" t="s">
        <v>22</v>
      </c>
      <c r="M1908">
        <v>3</v>
      </c>
      <c r="N1908" s="2" t="s">
        <v>19</v>
      </c>
      <c r="O1908">
        <v>104.84</v>
      </c>
    </row>
    <row r="1909" spans="1:15" x14ac:dyDescent="0.3">
      <c r="A1909" s="1">
        <v>45331</v>
      </c>
      <c r="B1909" s="2" t="s">
        <v>24</v>
      </c>
      <c r="C1909" s="2" t="s">
        <v>17</v>
      </c>
      <c r="D1909" s="2" t="s">
        <v>13</v>
      </c>
      <c r="E1909">
        <v>189.18</v>
      </c>
      <c r="F1909">
        <v>1.47</v>
      </c>
      <c r="G1909">
        <v>1</v>
      </c>
      <c r="H1909">
        <f t="shared" si="29"/>
        <v>48675.899999999936</v>
      </c>
      <c r="I1909" t="str">
        <f>IF(Sheet1[[#This Row],[Month_Revenue]] &lt; AVERAGE(Sheet1[Month_Revenue]), "Off-Peak", "Peak")</f>
        <v>Off-Peak</v>
      </c>
      <c r="J1909">
        <f xml:space="preserve"> IF(Sheet1[[#This Row],[Ad Spend]] &gt; 0, (Sheet1[[#This Row],[Profit]] / Sheet1[[#This Row],[Ad Spend]]), 0)</f>
        <v>127.69387755102042</v>
      </c>
      <c r="K1909">
        <f>Sheet1[[#This Row],[Revenue]]-Sheet1[[#This Row],[Ad Spend]]</f>
        <v>187.71</v>
      </c>
      <c r="L1909" s="2" t="s">
        <v>22</v>
      </c>
      <c r="M1909">
        <v>2</v>
      </c>
      <c r="N1909" s="2" t="s">
        <v>15</v>
      </c>
      <c r="O1909">
        <v>189.18</v>
      </c>
    </row>
    <row r="1910" spans="1:15" x14ac:dyDescent="0.3">
      <c r="A1910" s="1">
        <v>45412</v>
      </c>
      <c r="B1910" s="2" t="s">
        <v>23</v>
      </c>
      <c r="C1910" s="2" t="s">
        <v>17</v>
      </c>
      <c r="D1910" s="2" t="s">
        <v>13</v>
      </c>
      <c r="E1910">
        <v>29.94</v>
      </c>
      <c r="F1910">
        <v>22.04</v>
      </c>
      <c r="G1910">
        <v>2</v>
      </c>
      <c r="H1910">
        <f t="shared" si="29"/>
        <v>58562.910000000018</v>
      </c>
      <c r="I1910" t="str">
        <f>IF(Sheet1[[#This Row],[Month_Revenue]] &lt; AVERAGE(Sheet1[Month_Revenue]), "Off-Peak", "Peak")</f>
        <v>Peak</v>
      </c>
      <c r="J1910">
        <f xml:space="preserve"> IF(Sheet1[[#This Row],[Ad Spend]] &gt; 0, (Sheet1[[#This Row],[Profit]] / Sheet1[[#This Row],[Ad Spend]]), 0)</f>
        <v>0.35843920145190572</v>
      </c>
      <c r="K1910">
        <f>Sheet1[[#This Row],[Revenue]]-Sheet1[[#This Row],[Ad Spend]]</f>
        <v>7.9000000000000021</v>
      </c>
      <c r="L1910" s="2" t="s">
        <v>14</v>
      </c>
      <c r="M1910">
        <v>4</v>
      </c>
      <c r="N1910" s="2" t="s">
        <v>19</v>
      </c>
      <c r="O1910">
        <v>14.97</v>
      </c>
    </row>
    <row r="1911" spans="1:15" x14ac:dyDescent="0.3">
      <c r="A1911" s="1">
        <v>45390</v>
      </c>
      <c r="B1911" s="2" t="s">
        <v>24</v>
      </c>
      <c r="C1911" s="2" t="s">
        <v>12</v>
      </c>
      <c r="D1911" s="2" t="s">
        <v>13</v>
      </c>
      <c r="E1911">
        <v>162.37</v>
      </c>
      <c r="F1911">
        <v>47.41</v>
      </c>
      <c r="G1911">
        <v>0</v>
      </c>
      <c r="H1911">
        <f t="shared" si="29"/>
        <v>58562.910000000018</v>
      </c>
      <c r="I1911" t="str">
        <f>IF(Sheet1[[#This Row],[Month_Revenue]] &lt; AVERAGE(Sheet1[Month_Revenue]), "Off-Peak", "Peak")</f>
        <v>Peak</v>
      </c>
      <c r="J1911">
        <f xml:space="preserve"> IF(Sheet1[[#This Row],[Ad Spend]] &gt; 0, (Sheet1[[#This Row],[Profit]] / Sheet1[[#This Row],[Ad Spend]]), 0)</f>
        <v>2.424804893482388</v>
      </c>
      <c r="K1911">
        <f>Sheet1[[#This Row],[Revenue]]-Sheet1[[#This Row],[Ad Spend]]</f>
        <v>114.96000000000001</v>
      </c>
      <c r="L1911" s="2" t="s">
        <v>14</v>
      </c>
      <c r="M1911">
        <v>4</v>
      </c>
      <c r="N1911" s="2" t="s">
        <v>19</v>
      </c>
      <c r="O1911">
        <v>0</v>
      </c>
    </row>
    <row r="1912" spans="1:15" x14ac:dyDescent="0.3">
      <c r="A1912" s="1">
        <v>45368</v>
      </c>
      <c r="B1912" s="2" t="s">
        <v>20</v>
      </c>
      <c r="C1912" s="2" t="s">
        <v>21</v>
      </c>
      <c r="D1912" s="2" t="s">
        <v>13</v>
      </c>
      <c r="E1912">
        <v>94.47</v>
      </c>
      <c r="F1912">
        <v>16.899999999999999</v>
      </c>
      <c r="G1912">
        <v>0</v>
      </c>
      <c r="H1912">
        <f t="shared" si="29"/>
        <v>54735.250000000029</v>
      </c>
      <c r="I1912" t="str">
        <f>IF(Sheet1[[#This Row],[Month_Revenue]] &lt; AVERAGE(Sheet1[Month_Revenue]), "Off-Peak", "Peak")</f>
        <v>Off-Peak</v>
      </c>
      <c r="J1912">
        <f xml:space="preserve"> IF(Sheet1[[#This Row],[Ad Spend]] &gt; 0, (Sheet1[[#This Row],[Profit]] / Sheet1[[#This Row],[Ad Spend]]), 0)</f>
        <v>4.5899408284023666</v>
      </c>
      <c r="K1912">
        <f>Sheet1[[#This Row],[Revenue]]-Sheet1[[#This Row],[Ad Spend]]</f>
        <v>77.569999999999993</v>
      </c>
      <c r="L1912" s="2" t="s">
        <v>14</v>
      </c>
      <c r="M1912">
        <v>3</v>
      </c>
      <c r="N1912" s="2" t="s">
        <v>19</v>
      </c>
      <c r="O1912">
        <v>0</v>
      </c>
    </row>
    <row r="1913" spans="1:15" x14ac:dyDescent="0.3">
      <c r="A1913" s="1">
        <v>45391</v>
      </c>
      <c r="B1913" s="2" t="s">
        <v>24</v>
      </c>
      <c r="C1913" s="2" t="s">
        <v>21</v>
      </c>
      <c r="D1913" s="2" t="s">
        <v>18</v>
      </c>
      <c r="E1913">
        <v>162.71</v>
      </c>
      <c r="F1913">
        <v>32.21</v>
      </c>
      <c r="G1913">
        <v>1</v>
      </c>
      <c r="H1913">
        <f t="shared" si="29"/>
        <v>58562.910000000018</v>
      </c>
      <c r="I1913" t="str">
        <f>IF(Sheet1[[#This Row],[Month_Revenue]] &lt; AVERAGE(Sheet1[Month_Revenue]), "Off-Peak", "Peak")</f>
        <v>Peak</v>
      </c>
      <c r="J1913">
        <f xml:space="preserve"> IF(Sheet1[[#This Row],[Ad Spend]] &gt; 0, (Sheet1[[#This Row],[Profit]] / Sheet1[[#This Row],[Ad Spend]]), 0)</f>
        <v>4.0515367898168266</v>
      </c>
      <c r="K1913">
        <f>Sheet1[[#This Row],[Revenue]]-Sheet1[[#This Row],[Ad Spend]]</f>
        <v>130.5</v>
      </c>
      <c r="L1913" s="2" t="s">
        <v>22</v>
      </c>
      <c r="M1913">
        <v>4</v>
      </c>
      <c r="N1913" s="2" t="s">
        <v>19</v>
      </c>
      <c r="O1913">
        <v>162.71</v>
      </c>
    </row>
    <row r="1914" spans="1:15" x14ac:dyDescent="0.3">
      <c r="A1914" s="1">
        <v>45334</v>
      </c>
      <c r="B1914" s="2" t="s">
        <v>24</v>
      </c>
      <c r="C1914" s="2" t="s">
        <v>21</v>
      </c>
      <c r="D1914" s="2" t="s">
        <v>13</v>
      </c>
      <c r="E1914">
        <v>124.51</v>
      </c>
      <c r="F1914">
        <v>6.74</v>
      </c>
      <c r="G1914">
        <v>2</v>
      </c>
      <c r="H1914">
        <f t="shared" si="29"/>
        <v>48675.899999999936</v>
      </c>
      <c r="I1914" t="str">
        <f>IF(Sheet1[[#This Row],[Month_Revenue]] &lt; AVERAGE(Sheet1[Month_Revenue]), "Off-Peak", "Peak")</f>
        <v>Off-Peak</v>
      </c>
      <c r="J1914">
        <f xml:space="preserve"> IF(Sheet1[[#This Row],[Ad Spend]] &gt; 0, (Sheet1[[#This Row],[Profit]] / Sheet1[[#This Row],[Ad Spend]]), 0)</f>
        <v>17.473293768545997</v>
      </c>
      <c r="K1914">
        <f>Sheet1[[#This Row],[Revenue]]-Sheet1[[#This Row],[Ad Spend]]</f>
        <v>117.77000000000001</v>
      </c>
      <c r="L1914" s="2" t="s">
        <v>22</v>
      </c>
      <c r="M1914">
        <v>2</v>
      </c>
      <c r="N1914" s="2" t="s">
        <v>15</v>
      </c>
      <c r="O1914">
        <v>62.255000000000003</v>
      </c>
    </row>
    <row r="1915" spans="1:15" x14ac:dyDescent="0.3">
      <c r="A1915" s="1">
        <v>45364</v>
      </c>
      <c r="B1915" s="2" t="s">
        <v>11</v>
      </c>
      <c r="C1915" s="2" t="s">
        <v>21</v>
      </c>
      <c r="D1915" s="2" t="s">
        <v>18</v>
      </c>
      <c r="E1915">
        <v>119.55</v>
      </c>
      <c r="F1915">
        <v>29.19</v>
      </c>
      <c r="G1915">
        <v>2</v>
      </c>
      <c r="H1915">
        <f t="shared" si="29"/>
        <v>54735.250000000029</v>
      </c>
      <c r="I1915" t="str">
        <f>IF(Sheet1[[#This Row],[Month_Revenue]] &lt; AVERAGE(Sheet1[Month_Revenue]), "Off-Peak", "Peak")</f>
        <v>Off-Peak</v>
      </c>
      <c r="J1915">
        <f xml:space="preserve"> IF(Sheet1[[#This Row],[Ad Spend]] &gt; 0, (Sheet1[[#This Row],[Profit]] / Sheet1[[#This Row],[Ad Spend]]), 0)</f>
        <v>3.0955806783144912</v>
      </c>
      <c r="K1915">
        <f>Sheet1[[#This Row],[Revenue]]-Sheet1[[#This Row],[Ad Spend]]</f>
        <v>90.36</v>
      </c>
      <c r="L1915" s="2" t="s">
        <v>14</v>
      </c>
      <c r="M1915">
        <v>3</v>
      </c>
      <c r="N1915" s="2" t="s">
        <v>19</v>
      </c>
      <c r="O1915">
        <v>59.774999999999999</v>
      </c>
    </row>
    <row r="1916" spans="1:15" x14ac:dyDescent="0.3">
      <c r="A1916" s="1">
        <v>45412</v>
      </c>
      <c r="B1916" s="2" t="s">
        <v>16</v>
      </c>
      <c r="C1916" s="2" t="s">
        <v>17</v>
      </c>
      <c r="D1916" s="2" t="s">
        <v>13</v>
      </c>
      <c r="E1916">
        <v>113.79</v>
      </c>
      <c r="F1916">
        <v>21.28</v>
      </c>
      <c r="G1916">
        <v>3</v>
      </c>
      <c r="H1916">
        <f t="shared" si="29"/>
        <v>58562.910000000018</v>
      </c>
      <c r="I1916" t="str">
        <f>IF(Sheet1[[#This Row],[Month_Revenue]] &lt; AVERAGE(Sheet1[Month_Revenue]), "Off-Peak", "Peak")</f>
        <v>Peak</v>
      </c>
      <c r="J1916">
        <f xml:space="preserve"> IF(Sheet1[[#This Row],[Ad Spend]] &gt; 0, (Sheet1[[#This Row],[Profit]] / Sheet1[[#This Row],[Ad Spend]]), 0)</f>
        <v>4.3472744360902258</v>
      </c>
      <c r="K1916">
        <f>Sheet1[[#This Row],[Revenue]]-Sheet1[[#This Row],[Ad Spend]]</f>
        <v>92.51</v>
      </c>
      <c r="L1916" s="2" t="s">
        <v>14</v>
      </c>
      <c r="M1916">
        <v>4</v>
      </c>
      <c r="N1916" s="2" t="s">
        <v>19</v>
      </c>
      <c r="O1916">
        <v>37.93</v>
      </c>
    </row>
    <row r="1917" spans="1:15" x14ac:dyDescent="0.3">
      <c r="A1917" s="1">
        <v>45385</v>
      </c>
      <c r="B1917" s="2" t="s">
        <v>23</v>
      </c>
      <c r="C1917" s="2" t="s">
        <v>12</v>
      </c>
      <c r="D1917" s="2" t="s">
        <v>13</v>
      </c>
      <c r="E1917">
        <v>21.76</v>
      </c>
      <c r="F1917">
        <v>13.25</v>
      </c>
      <c r="G1917">
        <v>3</v>
      </c>
      <c r="H1917">
        <f t="shared" si="29"/>
        <v>58562.910000000018</v>
      </c>
      <c r="I1917" t="str">
        <f>IF(Sheet1[[#This Row],[Month_Revenue]] &lt; AVERAGE(Sheet1[Month_Revenue]), "Off-Peak", "Peak")</f>
        <v>Peak</v>
      </c>
      <c r="J1917">
        <f xml:space="preserve"> IF(Sheet1[[#This Row],[Ad Spend]] &gt; 0, (Sheet1[[#This Row],[Profit]] / Sheet1[[#This Row],[Ad Spend]]), 0)</f>
        <v>0.64226415094339639</v>
      </c>
      <c r="K1917">
        <f>Sheet1[[#This Row],[Revenue]]-Sheet1[[#This Row],[Ad Spend]]</f>
        <v>8.5100000000000016</v>
      </c>
      <c r="L1917" s="2" t="s">
        <v>14</v>
      </c>
      <c r="M1917">
        <v>4</v>
      </c>
      <c r="N1917" s="2" t="s">
        <v>19</v>
      </c>
      <c r="O1917">
        <v>7.2533333333333339</v>
      </c>
    </row>
    <row r="1918" spans="1:15" x14ac:dyDescent="0.3">
      <c r="A1918" s="1">
        <v>45396</v>
      </c>
      <c r="B1918" s="2" t="s">
        <v>16</v>
      </c>
      <c r="C1918" s="2" t="s">
        <v>17</v>
      </c>
      <c r="D1918" s="2" t="s">
        <v>18</v>
      </c>
      <c r="E1918">
        <v>151.47</v>
      </c>
      <c r="F1918">
        <v>36.840000000000003</v>
      </c>
      <c r="G1918">
        <v>2</v>
      </c>
      <c r="H1918">
        <f t="shared" si="29"/>
        <v>58562.910000000018</v>
      </c>
      <c r="I1918" t="str">
        <f>IF(Sheet1[[#This Row],[Month_Revenue]] &lt; AVERAGE(Sheet1[Month_Revenue]), "Off-Peak", "Peak")</f>
        <v>Peak</v>
      </c>
      <c r="J1918">
        <f xml:space="preserve"> IF(Sheet1[[#This Row],[Ad Spend]] &gt; 0, (Sheet1[[#This Row],[Profit]] / Sheet1[[#This Row],[Ad Spend]]), 0)</f>
        <v>3.1115635179153092</v>
      </c>
      <c r="K1918">
        <f>Sheet1[[#This Row],[Revenue]]-Sheet1[[#This Row],[Ad Spend]]</f>
        <v>114.63</v>
      </c>
      <c r="L1918" s="2" t="s">
        <v>14</v>
      </c>
      <c r="M1918">
        <v>4</v>
      </c>
      <c r="N1918" s="2" t="s">
        <v>19</v>
      </c>
      <c r="O1918">
        <v>75.734999999999999</v>
      </c>
    </row>
    <row r="1919" spans="1:15" x14ac:dyDescent="0.3">
      <c r="A1919" s="1">
        <v>45321</v>
      </c>
      <c r="B1919" s="2" t="s">
        <v>23</v>
      </c>
      <c r="C1919" s="2" t="s">
        <v>12</v>
      </c>
      <c r="D1919" s="2" t="s">
        <v>18</v>
      </c>
      <c r="E1919">
        <v>43.66</v>
      </c>
      <c r="F1919">
        <v>42.49</v>
      </c>
      <c r="G1919">
        <v>3</v>
      </c>
      <c r="H1919">
        <f t="shared" si="29"/>
        <v>61207.979999999989</v>
      </c>
      <c r="I1919" t="str">
        <f>IF(Sheet1[[#This Row],[Month_Revenue]] &lt; AVERAGE(Sheet1[Month_Revenue]), "Off-Peak", "Peak")</f>
        <v>Peak</v>
      </c>
      <c r="J1919">
        <f xml:space="preserve"> IF(Sheet1[[#This Row],[Ad Spend]] &gt; 0, (Sheet1[[#This Row],[Profit]] / Sheet1[[#This Row],[Ad Spend]]), 0)</f>
        <v>2.7535890797834656E-2</v>
      </c>
      <c r="K1919">
        <f>Sheet1[[#This Row],[Revenue]]-Sheet1[[#This Row],[Ad Spend]]</f>
        <v>1.1699999999999946</v>
      </c>
      <c r="L1919" s="2" t="s">
        <v>14</v>
      </c>
      <c r="M1919">
        <v>1</v>
      </c>
      <c r="N1919" s="2" t="s">
        <v>15</v>
      </c>
      <c r="O1919">
        <v>14.553333333333333</v>
      </c>
    </row>
    <row r="1920" spans="1:15" x14ac:dyDescent="0.3">
      <c r="A1920" s="1">
        <v>45335</v>
      </c>
      <c r="B1920" s="2" t="s">
        <v>16</v>
      </c>
      <c r="C1920" s="2" t="s">
        <v>12</v>
      </c>
      <c r="D1920" s="2" t="s">
        <v>13</v>
      </c>
      <c r="E1920">
        <v>93.36</v>
      </c>
      <c r="F1920">
        <v>25.25</v>
      </c>
      <c r="G1920">
        <v>3</v>
      </c>
      <c r="H1920">
        <f t="shared" si="29"/>
        <v>48675.899999999936</v>
      </c>
      <c r="I1920" t="str">
        <f>IF(Sheet1[[#This Row],[Month_Revenue]] &lt; AVERAGE(Sheet1[Month_Revenue]), "Off-Peak", "Peak")</f>
        <v>Off-Peak</v>
      </c>
      <c r="J1920">
        <f xml:space="preserve"> IF(Sheet1[[#This Row],[Ad Spend]] &gt; 0, (Sheet1[[#This Row],[Profit]] / Sheet1[[#This Row],[Ad Spend]]), 0)</f>
        <v>2.6974257425742576</v>
      </c>
      <c r="K1920">
        <f>Sheet1[[#This Row],[Revenue]]-Sheet1[[#This Row],[Ad Spend]]</f>
        <v>68.11</v>
      </c>
      <c r="L1920" s="2" t="s">
        <v>14</v>
      </c>
      <c r="M1920">
        <v>2</v>
      </c>
      <c r="N1920" s="2" t="s">
        <v>15</v>
      </c>
      <c r="O1920">
        <v>31.12</v>
      </c>
    </row>
    <row r="1921" spans="1:15" x14ac:dyDescent="0.3">
      <c r="A1921" s="1">
        <v>45320</v>
      </c>
      <c r="B1921" s="2" t="s">
        <v>16</v>
      </c>
      <c r="C1921" s="2" t="s">
        <v>17</v>
      </c>
      <c r="D1921" s="2" t="s">
        <v>18</v>
      </c>
      <c r="E1921">
        <v>82.27</v>
      </c>
      <c r="F1921">
        <v>18.239999999999998</v>
      </c>
      <c r="G1921">
        <v>2</v>
      </c>
      <c r="H1921">
        <f t="shared" si="29"/>
        <v>61207.979999999989</v>
      </c>
      <c r="I1921" t="str">
        <f>IF(Sheet1[[#This Row],[Month_Revenue]] &lt; AVERAGE(Sheet1[Month_Revenue]), "Off-Peak", "Peak")</f>
        <v>Peak</v>
      </c>
      <c r="J1921">
        <f xml:space="preserve"> IF(Sheet1[[#This Row],[Ad Spend]] &gt; 0, (Sheet1[[#This Row],[Profit]] / Sheet1[[#This Row],[Ad Spend]]), 0)</f>
        <v>3.510416666666667</v>
      </c>
      <c r="K1921">
        <f>Sheet1[[#This Row],[Revenue]]-Sheet1[[#This Row],[Ad Spend]]</f>
        <v>64.03</v>
      </c>
      <c r="L1921" s="2" t="s">
        <v>14</v>
      </c>
      <c r="M1921">
        <v>1</v>
      </c>
      <c r="N1921" s="2" t="s">
        <v>15</v>
      </c>
      <c r="O1921">
        <v>41.134999999999998</v>
      </c>
    </row>
    <row r="1922" spans="1:15" x14ac:dyDescent="0.3">
      <c r="A1922" s="1">
        <v>45308</v>
      </c>
      <c r="B1922" s="2" t="s">
        <v>23</v>
      </c>
      <c r="C1922" s="2" t="s">
        <v>17</v>
      </c>
      <c r="D1922" s="2" t="s">
        <v>18</v>
      </c>
      <c r="E1922">
        <v>54.54</v>
      </c>
      <c r="F1922">
        <v>5.86</v>
      </c>
      <c r="G1922">
        <v>2</v>
      </c>
      <c r="H1922">
        <f t="shared" ref="H1922:H1985" si="30">SUMIFS($E$2:$E$2001, $M$2:$M$2001, M1922)</f>
        <v>61207.979999999989</v>
      </c>
      <c r="I1922" t="str">
        <f>IF(Sheet1[[#This Row],[Month_Revenue]] &lt; AVERAGE(Sheet1[Month_Revenue]), "Off-Peak", "Peak")</f>
        <v>Peak</v>
      </c>
      <c r="J1922">
        <f xml:space="preserve"> IF(Sheet1[[#This Row],[Ad Spend]] &gt; 0, (Sheet1[[#This Row],[Profit]] / Sheet1[[#This Row],[Ad Spend]]), 0)</f>
        <v>8.3071672354948802</v>
      </c>
      <c r="K1922">
        <f>Sheet1[[#This Row],[Revenue]]-Sheet1[[#This Row],[Ad Spend]]</f>
        <v>48.68</v>
      </c>
      <c r="L1922" s="2" t="s">
        <v>14</v>
      </c>
      <c r="M1922">
        <v>1</v>
      </c>
      <c r="N1922" s="2" t="s">
        <v>15</v>
      </c>
      <c r="O1922">
        <v>27.27</v>
      </c>
    </row>
    <row r="1923" spans="1:15" x14ac:dyDescent="0.3">
      <c r="A1923" s="1">
        <v>45329</v>
      </c>
      <c r="B1923" s="2" t="s">
        <v>11</v>
      </c>
      <c r="C1923" s="2" t="s">
        <v>12</v>
      </c>
      <c r="D1923" s="2" t="s">
        <v>18</v>
      </c>
      <c r="E1923">
        <v>115.51</v>
      </c>
      <c r="F1923">
        <v>4.42</v>
      </c>
      <c r="G1923">
        <v>3</v>
      </c>
      <c r="H1923">
        <f t="shared" si="30"/>
        <v>48675.899999999936</v>
      </c>
      <c r="I1923" t="str">
        <f>IF(Sheet1[[#This Row],[Month_Revenue]] &lt; AVERAGE(Sheet1[Month_Revenue]), "Off-Peak", "Peak")</f>
        <v>Off-Peak</v>
      </c>
      <c r="J1923">
        <f xml:space="preserve"> IF(Sheet1[[#This Row],[Ad Spend]] &gt; 0, (Sheet1[[#This Row],[Profit]] / Sheet1[[#This Row],[Ad Spend]]), 0)</f>
        <v>25.133484162895929</v>
      </c>
      <c r="K1923">
        <f>Sheet1[[#This Row],[Revenue]]-Sheet1[[#This Row],[Ad Spend]]</f>
        <v>111.09</v>
      </c>
      <c r="L1923" s="2" t="s">
        <v>22</v>
      </c>
      <c r="M1923">
        <v>2</v>
      </c>
      <c r="N1923" s="2" t="s">
        <v>15</v>
      </c>
      <c r="O1923">
        <v>38.503333333333337</v>
      </c>
    </row>
    <row r="1924" spans="1:15" x14ac:dyDescent="0.3">
      <c r="A1924" s="1">
        <v>45351</v>
      </c>
      <c r="B1924" s="2" t="s">
        <v>20</v>
      </c>
      <c r="C1924" s="2" t="s">
        <v>12</v>
      </c>
      <c r="D1924" s="2" t="s">
        <v>18</v>
      </c>
      <c r="E1924">
        <v>155.11000000000001</v>
      </c>
      <c r="F1924">
        <v>20.6</v>
      </c>
      <c r="G1924">
        <v>2</v>
      </c>
      <c r="H1924">
        <f t="shared" si="30"/>
        <v>48675.899999999936</v>
      </c>
      <c r="I1924" t="str">
        <f>IF(Sheet1[[#This Row],[Month_Revenue]] &lt; AVERAGE(Sheet1[Month_Revenue]), "Off-Peak", "Peak")</f>
        <v>Off-Peak</v>
      </c>
      <c r="J1924">
        <f xml:space="preserve"> IF(Sheet1[[#This Row],[Ad Spend]] &gt; 0, (Sheet1[[#This Row],[Profit]] / Sheet1[[#This Row],[Ad Spend]]), 0)</f>
        <v>6.5296116504854371</v>
      </c>
      <c r="K1924">
        <f>Sheet1[[#This Row],[Revenue]]-Sheet1[[#This Row],[Ad Spend]]</f>
        <v>134.51000000000002</v>
      </c>
      <c r="L1924" s="2" t="s">
        <v>22</v>
      </c>
      <c r="M1924">
        <v>2</v>
      </c>
      <c r="N1924" s="2" t="s">
        <v>15</v>
      </c>
      <c r="O1924">
        <v>77.555000000000007</v>
      </c>
    </row>
    <row r="1925" spans="1:15" x14ac:dyDescent="0.3">
      <c r="A1925" s="1">
        <v>45345</v>
      </c>
      <c r="B1925" s="2" t="s">
        <v>24</v>
      </c>
      <c r="C1925" s="2" t="s">
        <v>12</v>
      </c>
      <c r="D1925" s="2" t="s">
        <v>13</v>
      </c>
      <c r="E1925">
        <v>81.95</v>
      </c>
      <c r="F1925">
        <v>27.47</v>
      </c>
      <c r="G1925">
        <v>0</v>
      </c>
      <c r="H1925">
        <f t="shared" si="30"/>
        <v>48675.899999999936</v>
      </c>
      <c r="I1925" t="str">
        <f>IF(Sheet1[[#This Row],[Month_Revenue]] &lt; AVERAGE(Sheet1[Month_Revenue]), "Off-Peak", "Peak")</f>
        <v>Off-Peak</v>
      </c>
      <c r="J1925">
        <f xml:space="preserve"> IF(Sheet1[[#This Row],[Ad Spend]] &gt; 0, (Sheet1[[#This Row],[Profit]] / Sheet1[[#This Row],[Ad Spend]]), 0)</f>
        <v>1.9832544594102659</v>
      </c>
      <c r="K1925">
        <f>Sheet1[[#This Row],[Revenue]]-Sheet1[[#This Row],[Ad Spend]]</f>
        <v>54.480000000000004</v>
      </c>
      <c r="L1925" s="2" t="s">
        <v>22</v>
      </c>
      <c r="M1925">
        <v>2</v>
      </c>
      <c r="N1925" s="2" t="s">
        <v>15</v>
      </c>
      <c r="O1925">
        <v>0</v>
      </c>
    </row>
    <row r="1926" spans="1:15" x14ac:dyDescent="0.3">
      <c r="A1926" s="1">
        <v>45338</v>
      </c>
      <c r="B1926" s="2" t="s">
        <v>24</v>
      </c>
      <c r="C1926" s="2" t="s">
        <v>12</v>
      </c>
      <c r="D1926" s="2" t="s">
        <v>18</v>
      </c>
      <c r="E1926">
        <v>154.4</v>
      </c>
      <c r="F1926">
        <v>19.53</v>
      </c>
      <c r="G1926">
        <v>2</v>
      </c>
      <c r="H1926">
        <f t="shared" si="30"/>
        <v>48675.899999999936</v>
      </c>
      <c r="I1926" t="str">
        <f>IF(Sheet1[[#This Row],[Month_Revenue]] &lt; AVERAGE(Sheet1[Month_Revenue]), "Off-Peak", "Peak")</f>
        <v>Off-Peak</v>
      </c>
      <c r="J1926">
        <f xml:space="preserve"> IF(Sheet1[[#This Row],[Ad Spend]] &gt; 0, (Sheet1[[#This Row],[Profit]] / Sheet1[[#This Row],[Ad Spend]]), 0)</f>
        <v>6.905785970302099</v>
      </c>
      <c r="K1926">
        <f>Sheet1[[#This Row],[Revenue]]-Sheet1[[#This Row],[Ad Spend]]</f>
        <v>134.87</v>
      </c>
      <c r="L1926" s="2" t="s">
        <v>14</v>
      </c>
      <c r="M1926">
        <v>2</v>
      </c>
      <c r="N1926" s="2" t="s">
        <v>15</v>
      </c>
      <c r="O1926">
        <v>77.2</v>
      </c>
    </row>
    <row r="1927" spans="1:15" x14ac:dyDescent="0.3">
      <c r="A1927" s="1">
        <v>45410</v>
      </c>
      <c r="B1927" s="2" t="s">
        <v>23</v>
      </c>
      <c r="C1927" s="2" t="s">
        <v>17</v>
      </c>
      <c r="D1927" s="2" t="s">
        <v>13</v>
      </c>
      <c r="E1927">
        <v>72.44</v>
      </c>
      <c r="F1927">
        <v>37.78</v>
      </c>
      <c r="G1927">
        <v>0</v>
      </c>
      <c r="H1927">
        <f t="shared" si="30"/>
        <v>58562.910000000018</v>
      </c>
      <c r="I1927" t="str">
        <f>IF(Sheet1[[#This Row],[Month_Revenue]] &lt; AVERAGE(Sheet1[Month_Revenue]), "Off-Peak", "Peak")</f>
        <v>Peak</v>
      </c>
      <c r="J1927">
        <f xml:space="preserve"> IF(Sheet1[[#This Row],[Ad Spend]] &gt; 0, (Sheet1[[#This Row],[Profit]] / Sheet1[[#This Row],[Ad Spend]]), 0)</f>
        <v>0.91741662255161449</v>
      </c>
      <c r="K1927">
        <f>Sheet1[[#This Row],[Revenue]]-Sheet1[[#This Row],[Ad Spend]]</f>
        <v>34.659999999999997</v>
      </c>
      <c r="L1927" s="2" t="s">
        <v>14</v>
      </c>
      <c r="M1927">
        <v>4</v>
      </c>
      <c r="N1927" s="2" t="s">
        <v>19</v>
      </c>
      <c r="O1927">
        <v>0</v>
      </c>
    </row>
    <row r="1928" spans="1:15" x14ac:dyDescent="0.3">
      <c r="A1928" s="1">
        <v>45400</v>
      </c>
      <c r="B1928" s="2" t="s">
        <v>16</v>
      </c>
      <c r="C1928" s="2" t="s">
        <v>21</v>
      </c>
      <c r="D1928" s="2" t="s">
        <v>13</v>
      </c>
      <c r="E1928">
        <v>101.46</v>
      </c>
      <c r="F1928">
        <v>33.82</v>
      </c>
      <c r="G1928">
        <v>3</v>
      </c>
      <c r="H1928">
        <f t="shared" si="30"/>
        <v>58562.910000000018</v>
      </c>
      <c r="I1928" t="str">
        <f>IF(Sheet1[[#This Row],[Month_Revenue]] &lt; AVERAGE(Sheet1[Month_Revenue]), "Off-Peak", "Peak")</f>
        <v>Peak</v>
      </c>
      <c r="J1928">
        <f xml:space="preserve"> IF(Sheet1[[#This Row],[Ad Spend]] &gt; 0, (Sheet1[[#This Row],[Profit]] / Sheet1[[#This Row],[Ad Spend]]), 0)</f>
        <v>1.9999999999999996</v>
      </c>
      <c r="K1928">
        <f>Sheet1[[#This Row],[Revenue]]-Sheet1[[#This Row],[Ad Spend]]</f>
        <v>67.639999999999986</v>
      </c>
      <c r="L1928" s="2" t="s">
        <v>22</v>
      </c>
      <c r="M1928">
        <v>4</v>
      </c>
      <c r="N1928" s="2" t="s">
        <v>19</v>
      </c>
      <c r="O1928">
        <v>33.82</v>
      </c>
    </row>
    <row r="1929" spans="1:15" x14ac:dyDescent="0.3">
      <c r="A1929" s="1">
        <v>45406</v>
      </c>
      <c r="B1929" s="2" t="s">
        <v>20</v>
      </c>
      <c r="C1929" s="2" t="s">
        <v>17</v>
      </c>
      <c r="D1929" s="2" t="s">
        <v>18</v>
      </c>
      <c r="E1929">
        <v>100.86</v>
      </c>
      <c r="F1929">
        <v>4.0199999999999996</v>
      </c>
      <c r="G1929">
        <v>0</v>
      </c>
      <c r="H1929">
        <f t="shared" si="30"/>
        <v>58562.910000000018</v>
      </c>
      <c r="I1929" t="str">
        <f>IF(Sheet1[[#This Row],[Month_Revenue]] &lt; AVERAGE(Sheet1[Month_Revenue]), "Off-Peak", "Peak")</f>
        <v>Peak</v>
      </c>
      <c r="J1929">
        <f xml:space="preserve"> IF(Sheet1[[#This Row],[Ad Spend]] &gt; 0, (Sheet1[[#This Row],[Profit]] / Sheet1[[#This Row],[Ad Spend]]), 0)</f>
        <v>24.089552238805975</v>
      </c>
      <c r="K1929">
        <f>Sheet1[[#This Row],[Revenue]]-Sheet1[[#This Row],[Ad Spend]]</f>
        <v>96.84</v>
      </c>
      <c r="L1929" s="2" t="s">
        <v>14</v>
      </c>
      <c r="M1929">
        <v>4</v>
      </c>
      <c r="N1929" s="2" t="s">
        <v>19</v>
      </c>
      <c r="O1929">
        <v>0</v>
      </c>
    </row>
    <row r="1930" spans="1:15" x14ac:dyDescent="0.3">
      <c r="A1930" s="1">
        <v>45399</v>
      </c>
      <c r="B1930" s="2" t="s">
        <v>16</v>
      </c>
      <c r="C1930" s="2" t="s">
        <v>21</v>
      </c>
      <c r="D1930" s="2" t="s">
        <v>13</v>
      </c>
      <c r="E1930">
        <v>137.61000000000001</v>
      </c>
      <c r="F1930">
        <v>40.94</v>
      </c>
      <c r="G1930">
        <v>1</v>
      </c>
      <c r="H1930">
        <f t="shared" si="30"/>
        <v>58562.910000000018</v>
      </c>
      <c r="I1930" t="str">
        <f>IF(Sheet1[[#This Row],[Month_Revenue]] &lt; AVERAGE(Sheet1[Month_Revenue]), "Off-Peak", "Peak")</f>
        <v>Peak</v>
      </c>
      <c r="J1930">
        <f xml:space="preserve"> IF(Sheet1[[#This Row],[Ad Spend]] &gt; 0, (Sheet1[[#This Row],[Profit]] / Sheet1[[#This Row],[Ad Spend]]), 0)</f>
        <v>2.3612603810454327</v>
      </c>
      <c r="K1930">
        <f>Sheet1[[#This Row],[Revenue]]-Sheet1[[#This Row],[Ad Spend]]</f>
        <v>96.670000000000016</v>
      </c>
      <c r="L1930" s="2" t="s">
        <v>14</v>
      </c>
      <c r="M1930">
        <v>4</v>
      </c>
      <c r="N1930" s="2" t="s">
        <v>19</v>
      </c>
      <c r="O1930">
        <v>137.61000000000001</v>
      </c>
    </row>
    <row r="1931" spans="1:15" x14ac:dyDescent="0.3">
      <c r="A1931" s="1">
        <v>45345</v>
      </c>
      <c r="B1931" s="2" t="s">
        <v>11</v>
      </c>
      <c r="C1931" s="2" t="s">
        <v>17</v>
      </c>
      <c r="D1931" s="2" t="s">
        <v>13</v>
      </c>
      <c r="E1931">
        <v>198.64</v>
      </c>
      <c r="F1931">
        <v>41.92</v>
      </c>
      <c r="G1931">
        <v>2</v>
      </c>
      <c r="H1931">
        <f t="shared" si="30"/>
        <v>48675.899999999936</v>
      </c>
      <c r="I1931" t="str">
        <f>IF(Sheet1[[#This Row],[Month_Revenue]] &lt; AVERAGE(Sheet1[Month_Revenue]), "Off-Peak", "Peak")</f>
        <v>Off-Peak</v>
      </c>
      <c r="J1931">
        <f xml:space="preserve"> IF(Sheet1[[#This Row],[Ad Spend]] &gt; 0, (Sheet1[[#This Row],[Profit]] / Sheet1[[#This Row],[Ad Spend]]), 0)</f>
        <v>3.7385496183206097</v>
      </c>
      <c r="K1931">
        <f>Sheet1[[#This Row],[Revenue]]-Sheet1[[#This Row],[Ad Spend]]</f>
        <v>156.71999999999997</v>
      </c>
      <c r="L1931" s="2" t="s">
        <v>22</v>
      </c>
      <c r="M1931">
        <v>2</v>
      </c>
      <c r="N1931" s="2" t="s">
        <v>15</v>
      </c>
      <c r="O1931">
        <v>99.32</v>
      </c>
    </row>
    <row r="1932" spans="1:15" x14ac:dyDescent="0.3">
      <c r="A1932" s="1">
        <v>45344</v>
      </c>
      <c r="B1932" s="2" t="s">
        <v>20</v>
      </c>
      <c r="C1932" s="2" t="s">
        <v>17</v>
      </c>
      <c r="D1932" s="2" t="s">
        <v>13</v>
      </c>
      <c r="E1932">
        <v>187.8</v>
      </c>
      <c r="F1932">
        <v>49.27</v>
      </c>
      <c r="G1932">
        <v>2</v>
      </c>
      <c r="H1932">
        <f t="shared" si="30"/>
        <v>48675.899999999936</v>
      </c>
      <c r="I1932" t="str">
        <f>IF(Sheet1[[#This Row],[Month_Revenue]] &lt; AVERAGE(Sheet1[Month_Revenue]), "Off-Peak", "Peak")</f>
        <v>Off-Peak</v>
      </c>
      <c r="J1932">
        <f xml:space="preserve"> IF(Sheet1[[#This Row],[Ad Spend]] &gt; 0, (Sheet1[[#This Row],[Profit]] / Sheet1[[#This Row],[Ad Spend]]), 0)</f>
        <v>2.8116500913334685</v>
      </c>
      <c r="K1932">
        <f>Sheet1[[#This Row],[Revenue]]-Sheet1[[#This Row],[Ad Spend]]</f>
        <v>138.53</v>
      </c>
      <c r="L1932" s="2" t="s">
        <v>14</v>
      </c>
      <c r="M1932">
        <v>2</v>
      </c>
      <c r="N1932" s="2" t="s">
        <v>15</v>
      </c>
      <c r="O1932">
        <v>93.9</v>
      </c>
    </row>
    <row r="1933" spans="1:15" x14ac:dyDescent="0.3">
      <c r="A1933" s="1">
        <v>45383</v>
      </c>
      <c r="B1933" s="2" t="s">
        <v>24</v>
      </c>
      <c r="C1933" s="2" t="s">
        <v>21</v>
      </c>
      <c r="D1933" s="2" t="s">
        <v>18</v>
      </c>
      <c r="E1933">
        <v>94.02</v>
      </c>
      <c r="F1933">
        <v>30.6</v>
      </c>
      <c r="G1933">
        <v>0</v>
      </c>
      <c r="H1933">
        <f t="shared" si="30"/>
        <v>58562.910000000018</v>
      </c>
      <c r="I1933" t="str">
        <f>IF(Sheet1[[#This Row],[Month_Revenue]] &lt; AVERAGE(Sheet1[Month_Revenue]), "Off-Peak", "Peak")</f>
        <v>Peak</v>
      </c>
      <c r="J1933">
        <f xml:space="preserve"> IF(Sheet1[[#This Row],[Ad Spend]] &gt; 0, (Sheet1[[#This Row],[Profit]] / Sheet1[[#This Row],[Ad Spend]]), 0)</f>
        <v>2.0725490196078429</v>
      </c>
      <c r="K1933">
        <f>Sheet1[[#This Row],[Revenue]]-Sheet1[[#This Row],[Ad Spend]]</f>
        <v>63.419999999999995</v>
      </c>
      <c r="L1933" s="2" t="s">
        <v>14</v>
      </c>
      <c r="M1933">
        <v>4</v>
      </c>
      <c r="N1933" s="2" t="s">
        <v>19</v>
      </c>
      <c r="O1933">
        <v>0</v>
      </c>
    </row>
    <row r="1934" spans="1:15" x14ac:dyDescent="0.3">
      <c r="A1934" s="1">
        <v>45406</v>
      </c>
      <c r="B1934" s="2" t="s">
        <v>11</v>
      </c>
      <c r="C1934" s="2" t="s">
        <v>21</v>
      </c>
      <c r="D1934" s="2" t="s">
        <v>18</v>
      </c>
      <c r="E1934">
        <v>104.78</v>
      </c>
      <c r="F1934">
        <v>37.67</v>
      </c>
      <c r="G1934">
        <v>3</v>
      </c>
      <c r="H1934">
        <f t="shared" si="30"/>
        <v>58562.910000000018</v>
      </c>
      <c r="I1934" t="str">
        <f>IF(Sheet1[[#This Row],[Month_Revenue]] &lt; AVERAGE(Sheet1[Month_Revenue]), "Off-Peak", "Peak")</f>
        <v>Peak</v>
      </c>
      <c r="J1934">
        <f xml:space="preserve"> IF(Sheet1[[#This Row],[Ad Spend]] &gt; 0, (Sheet1[[#This Row],[Profit]] / Sheet1[[#This Row],[Ad Spend]]), 0)</f>
        <v>1.781523758959384</v>
      </c>
      <c r="K1934">
        <f>Sheet1[[#This Row],[Revenue]]-Sheet1[[#This Row],[Ad Spend]]</f>
        <v>67.11</v>
      </c>
      <c r="L1934" s="2" t="s">
        <v>14</v>
      </c>
      <c r="M1934">
        <v>4</v>
      </c>
      <c r="N1934" s="2" t="s">
        <v>19</v>
      </c>
      <c r="O1934">
        <v>34.926666666666669</v>
      </c>
    </row>
    <row r="1935" spans="1:15" x14ac:dyDescent="0.3">
      <c r="A1935" s="1">
        <v>45376</v>
      </c>
      <c r="B1935" s="2" t="s">
        <v>23</v>
      </c>
      <c r="C1935" s="2" t="s">
        <v>17</v>
      </c>
      <c r="D1935" s="2" t="s">
        <v>18</v>
      </c>
      <c r="E1935">
        <v>164.98</v>
      </c>
      <c r="F1935">
        <v>14.96</v>
      </c>
      <c r="G1935">
        <v>0</v>
      </c>
      <c r="H1935">
        <f t="shared" si="30"/>
        <v>54735.250000000029</v>
      </c>
      <c r="I1935" t="str">
        <f>IF(Sheet1[[#This Row],[Month_Revenue]] &lt; AVERAGE(Sheet1[Month_Revenue]), "Off-Peak", "Peak")</f>
        <v>Off-Peak</v>
      </c>
      <c r="J1935">
        <f xml:space="preserve"> IF(Sheet1[[#This Row],[Ad Spend]] &gt; 0, (Sheet1[[#This Row],[Profit]] / Sheet1[[#This Row],[Ad Spend]]), 0)</f>
        <v>10.028074866310158</v>
      </c>
      <c r="K1935">
        <f>Sheet1[[#This Row],[Revenue]]-Sheet1[[#This Row],[Ad Spend]]</f>
        <v>150.01999999999998</v>
      </c>
      <c r="L1935" s="2" t="s">
        <v>22</v>
      </c>
      <c r="M1935">
        <v>3</v>
      </c>
      <c r="N1935" s="2" t="s">
        <v>19</v>
      </c>
      <c r="O1935">
        <v>0</v>
      </c>
    </row>
    <row r="1936" spans="1:15" x14ac:dyDescent="0.3">
      <c r="A1936" s="1">
        <v>45300</v>
      </c>
      <c r="B1936" s="2" t="s">
        <v>20</v>
      </c>
      <c r="C1936" s="2" t="s">
        <v>12</v>
      </c>
      <c r="D1936" s="2" t="s">
        <v>18</v>
      </c>
      <c r="E1936">
        <v>96.12</v>
      </c>
      <c r="F1936">
        <v>28.55</v>
      </c>
      <c r="G1936">
        <v>0</v>
      </c>
      <c r="H1936">
        <f t="shared" si="30"/>
        <v>61207.979999999989</v>
      </c>
      <c r="I1936" t="str">
        <f>IF(Sheet1[[#This Row],[Month_Revenue]] &lt; AVERAGE(Sheet1[Month_Revenue]), "Off-Peak", "Peak")</f>
        <v>Peak</v>
      </c>
      <c r="J1936">
        <f xml:space="preserve"> IF(Sheet1[[#This Row],[Ad Spend]] &gt; 0, (Sheet1[[#This Row],[Profit]] / Sheet1[[#This Row],[Ad Spend]]), 0)</f>
        <v>2.3667250437828375</v>
      </c>
      <c r="K1936">
        <f>Sheet1[[#This Row],[Revenue]]-Sheet1[[#This Row],[Ad Spend]]</f>
        <v>67.570000000000007</v>
      </c>
      <c r="L1936" s="2" t="s">
        <v>22</v>
      </c>
      <c r="M1936">
        <v>1</v>
      </c>
      <c r="N1936" s="2" t="s">
        <v>15</v>
      </c>
      <c r="O1936">
        <v>0</v>
      </c>
    </row>
    <row r="1937" spans="1:15" x14ac:dyDescent="0.3">
      <c r="A1937" s="1">
        <v>45347</v>
      </c>
      <c r="B1937" s="2" t="s">
        <v>11</v>
      </c>
      <c r="C1937" s="2" t="s">
        <v>17</v>
      </c>
      <c r="D1937" s="2" t="s">
        <v>18</v>
      </c>
      <c r="E1937">
        <v>110.28</v>
      </c>
      <c r="F1937">
        <v>22.62</v>
      </c>
      <c r="G1937">
        <v>3</v>
      </c>
      <c r="H1937">
        <f t="shared" si="30"/>
        <v>48675.899999999936</v>
      </c>
      <c r="I1937" t="str">
        <f>IF(Sheet1[[#This Row],[Month_Revenue]] &lt; AVERAGE(Sheet1[Month_Revenue]), "Off-Peak", "Peak")</f>
        <v>Off-Peak</v>
      </c>
      <c r="J1937">
        <f xml:space="preserve"> IF(Sheet1[[#This Row],[Ad Spend]] &gt; 0, (Sheet1[[#This Row],[Profit]] / Sheet1[[#This Row],[Ad Spend]]), 0)</f>
        <v>3.875331564986737</v>
      </c>
      <c r="K1937">
        <f>Sheet1[[#This Row],[Revenue]]-Sheet1[[#This Row],[Ad Spend]]</f>
        <v>87.66</v>
      </c>
      <c r="L1937" s="2" t="s">
        <v>22</v>
      </c>
      <c r="M1937">
        <v>2</v>
      </c>
      <c r="N1937" s="2" t="s">
        <v>15</v>
      </c>
      <c r="O1937">
        <v>36.76</v>
      </c>
    </row>
    <row r="1938" spans="1:15" x14ac:dyDescent="0.3">
      <c r="A1938" s="1">
        <v>45366</v>
      </c>
      <c r="B1938" s="2" t="s">
        <v>23</v>
      </c>
      <c r="C1938" s="2" t="s">
        <v>21</v>
      </c>
      <c r="D1938" s="2" t="s">
        <v>18</v>
      </c>
      <c r="E1938">
        <v>82.31</v>
      </c>
      <c r="F1938">
        <v>9.3800000000000008</v>
      </c>
      <c r="G1938">
        <v>3</v>
      </c>
      <c r="H1938">
        <f t="shared" si="30"/>
        <v>54735.250000000029</v>
      </c>
      <c r="I1938" t="str">
        <f>IF(Sheet1[[#This Row],[Month_Revenue]] &lt; AVERAGE(Sheet1[Month_Revenue]), "Off-Peak", "Peak")</f>
        <v>Off-Peak</v>
      </c>
      <c r="J1938">
        <f xml:space="preserve"> IF(Sheet1[[#This Row],[Ad Spend]] &gt; 0, (Sheet1[[#This Row],[Profit]] / Sheet1[[#This Row],[Ad Spend]]), 0)</f>
        <v>7.7750533049040511</v>
      </c>
      <c r="K1938">
        <f>Sheet1[[#This Row],[Revenue]]-Sheet1[[#This Row],[Ad Spend]]</f>
        <v>72.930000000000007</v>
      </c>
      <c r="L1938" s="2" t="s">
        <v>22</v>
      </c>
      <c r="M1938">
        <v>3</v>
      </c>
      <c r="N1938" s="2" t="s">
        <v>19</v>
      </c>
      <c r="O1938">
        <v>27.436666666666667</v>
      </c>
    </row>
    <row r="1939" spans="1:15" x14ac:dyDescent="0.3">
      <c r="A1939" s="1">
        <v>45330</v>
      </c>
      <c r="B1939" s="2" t="s">
        <v>23</v>
      </c>
      <c r="C1939" s="2" t="s">
        <v>17</v>
      </c>
      <c r="D1939" s="2" t="s">
        <v>18</v>
      </c>
      <c r="E1939">
        <v>156.85</v>
      </c>
      <c r="F1939">
        <v>11.9</v>
      </c>
      <c r="G1939">
        <v>1</v>
      </c>
      <c r="H1939">
        <f t="shared" si="30"/>
        <v>48675.899999999936</v>
      </c>
      <c r="I1939" t="str">
        <f>IF(Sheet1[[#This Row],[Month_Revenue]] &lt; AVERAGE(Sheet1[Month_Revenue]), "Off-Peak", "Peak")</f>
        <v>Off-Peak</v>
      </c>
      <c r="J1939">
        <f xml:space="preserve"> IF(Sheet1[[#This Row],[Ad Spend]] &gt; 0, (Sheet1[[#This Row],[Profit]] / Sheet1[[#This Row],[Ad Spend]]), 0)</f>
        <v>12.180672268907562</v>
      </c>
      <c r="K1939">
        <f>Sheet1[[#This Row],[Revenue]]-Sheet1[[#This Row],[Ad Spend]]</f>
        <v>144.94999999999999</v>
      </c>
      <c r="L1939" s="2" t="s">
        <v>14</v>
      </c>
      <c r="M1939">
        <v>2</v>
      </c>
      <c r="N1939" s="2" t="s">
        <v>15</v>
      </c>
      <c r="O1939">
        <v>156.85</v>
      </c>
    </row>
    <row r="1940" spans="1:15" x14ac:dyDescent="0.3">
      <c r="A1940" s="1">
        <v>45404</v>
      </c>
      <c r="B1940" s="2" t="s">
        <v>24</v>
      </c>
      <c r="C1940" s="2" t="s">
        <v>17</v>
      </c>
      <c r="D1940" s="2" t="s">
        <v>18</v>
      </c>
      <c r="E1940">
        <v>146.25</v>
      </c>
      <c r="F1940">
        <v>45.58</v>
      </c>
      <c r="G1940">
        <v>0</v>
      </c>
      <c r="H1940">
        <f t="shared" si="30"/>
        <v>58562.910000000018</v>
      </c>
      <c r="I1940" t="str">
        <f>IF(Sheet1[[#This Row],[Month_Revenue]] &lt; AVERAGE(Sheet1[Month_Revenue]), "Off-Peak", "Peak")</f>
        <v>Peak</v>
      </c>
      <c r="J1940">
        <f xml:space="preserve"> IF(Sheet1[[#This Row],[Ad Spend]] &gt; 0, (Sheet1[[#This Row],[Profit]] / Sheet1[[#This Row],[Ad Spend]]), 0)</f>
        <v>2.2086441421676173</v>
      </c>
      <c r="K1940">
        <f>Sheet1[[#This Row],[Revenue]]-Sheet1[[#This Row],[Ad Spend]]</f>
        <v>100.67</v>
      </c>
      <c r="L1940" s="2" t="s">
        <v>14</v>
      </c>
      <c r="M1940">
        <v>4</v>
      </c>
      <c r="N1940" s="2" t="s">
        <v>19</v>
      </c>
      <c r="O1940">
        <v>0</v>
      </c>
    </row>
    <row r="1941" spans="1:15" x14ac:dyDescent="0.3">
      <c r="A1941" s="1">
        <v>45295</v>
      </c>
      <c r="B1941" s="2" t="s">
        <v>23</v>
      </c>
      <c r="C1941" s="2" t="s">
        <v>17</v>
      </c>
      <c r="D1941" s="2" t="s">
        <v>18</v>
      </c>
      <c r="E1941">
        <v>193.47</v>
      </c>
      <c r="F1941">
        <v>34.43</v>
      </c>
      <c r="G1941">
        <v>3</v>
      </c>
      <c r="H1941">
        <f t="shared" si="30"/>
        <v>61207.979999999989</v>
      </c>
      <c r="I1941" t="str">
        <f>IF(Sheet1[[#This Row],[Month_Revenue]] &lt; AVERAGE(Sheet1[Month_Revenue]), "Off-Peak", "Peak")</f>
        <v>Peak</v>
      </c>
      <c r="J1941">
        <f xml:space="preserve"> IF(Sheet1[[#This Row],[Ad Spend]] &gt; 0, (Sheet1[[#This Row],[Profit]] / Sheet1[[#This Row],[Ad Spend]]), 0)</f>
        <v>4.6192274179494621</v>
      </c>
      <c r="K1941">
        <f>Sheet1[[#This Row],[Revenue]]-Sheet1[[#This Row],[Ad Spend]]</f>
        <v>159.04</v>
      </c>
      <c r="L1941" s="2" t="s">
        <v>14</v>
      </c>
      <c r="M1941">
        <v>1</v>
      </c>
      <c r="N1941" s="2" t="s">
        <v>15</v>
      </c>
      <c r="O1941">
        <v>64.489999999999995</v>
      </c>
    </row>
    <row r="1942" spans="1:15" x14ac:dyDescent="0.3">
      <c r="A1942" s="1">
        <v>45356</v>
      </c>
      <c r="B1942" s="2" t="s">
        <v>23</v>
      </c>
      <c r="C1942" s="2" t="s">
        <v>21</v>
      </c>
      <c r="D1942" s="2" t="s">
        <v>18</v>
      </c>
      <c r="E1942">
        <v>82.99</v>
      </c>
      <c r="F1942">
        <v>40.74</v>
      </c>
      <c r="G1942">
        <v>0</v>
      </c>
      <c r="H1942">
        <f t="shared" si="30"/>
        <v>54735.250000000029</v>
      </c>
      <c r="I1942" t="str">
        <f>IF(Sheet1[[#This Row],[Month_Revenue]] &lt; AVERAGE(Sheet1[Month_Revenue]), "Off-Peak", "Peak")</f>
        <v>Off-Peak</v>
      </c>
      <c r="J1942">
        <f xml:space="preserve"> IF(Sheet1[[#This Row],[Ad Spend]] &gt; 0, (Sheet1[[#This Row],[Profit]] / Sheet1[[#This Row],[Ad Spend]]), 0)</f>
        <v>1.0370643102601864</v>
      </c>
      <c r="K1942">
        <f>Sheet1[[#This Row],[Revenue]]-Sheet1[[#This Row],[Ad Spend]]</f>
        <v>42.249999999999993</v>
      </c>
      <c r="L1942" s="2" t="s">
        <v>14</v>
      </c>
      <c r="M1942">
        <v>3</v>
      </c>
      <c r="N1942" s="2" t="s">
        <v>19</v>
      </c>
      <c r="O1942">
        <v>0</v>
      </c>
    </row>
    <row r="1943" spans="1:15" x14ac:dyDescent="0.3">
      <c r="A1943" s="1">
        <v>45388</v>
      </c>
      <c r="B1943" s="2" t="s">
        <v>20</v>
      </c>
      <c r="C1943" s="2" t="s">
        <v>21</v>
      </c>
      <c r="D1943" s="2" t="s">
        <v>18</v>
      </c>
      <c r="E1943">
        <v>34.4</v>
      </c>
      <c r="F1943">
        <v>13.01</v>
      </c>
      <c r="G1943">
        <v>3</v>
      </c>
      <c r="H1943">
        <f t="shared" si="30"/>
        <v>58562.910000000018</v>
      </c>
      <c r="I1943" t="str">
        <f>IF(Sheet1[[#This Row],[Month_Revenue]] &lt; AVERAGE(Sheet1[Month_Revenue]), "Off-Peak", "Peak")</f>
        <v>Peak</v>
      </c>
      <c r="J1943">
        <f xml:space="preserve"> IF(Sheet1[[#This Row],[Ad Spend]] &gt; 0, (Sheet1[[#This Row],[Profit]] / Sheet1[[#This Row],[Ad Spend]]), 0)</f>
        <v>1.6441199077632591</v>
      </c>
      <c r="K1943">
        <f>Sheet1[[#This Row],[Revenue]]-Sheet1[[#This Row],[Ad Spend]]</f>
        <v>21.39</v>
      </c>
      <c r="L1943" s="2" t="s">
        <v>14</v>
      </c>
      <c r="M1943">
        <v>4</v>
      </c>
      <c r="N1943" s="2" t="s">
        <v>19</v>
      </c>
      <c r="O1943">
        <v>11.466666666666667</v>
      </c>
    </row>
    <row r="1944" spans="1:15" x14ac:dyDescent="0.3">
      <c r="A1944" s="1">
        <v>45398</v>
      </c>
      <c r="B1944" s="2" t="s">
        <v>11</v>
      </c>
      <c r="C1944" s="2" t="s">
        <v>17</v>
      </c>
      <c r="D1944" s="2" t="s">
        <v>18</v>
      </c>
      <c r="E1944">
        <v>100.38</v>
      </c>
      <c r="F1944">
        <v>19.13</v>
      </c>
      <c r="G1944">
        <v>2</v>
      </c>
      <c r="H1944">
        <f t="shared" si="30"/>
        <v>58562.910000000018</v>
      </c>
      <c r="I1944" t="str">
        <f>IF(Sheet1[[#This Row],[Month_Revenue]] &lt; AVERAGE(Sheet1[Month_Revenue]), "Off-Peak", "Peak")</f>
        <v>Peak</v>
      </c>
      <c r="J1944">
        <f xml:space="preserve"> IF(Sheet1[[#This Row],[Ad Spend]] &gt; 0, (Sheet1[[#This Row],[Profit]] / Sheet1[[#This Row],[Ad Spend]]), 0)</f>
        <v>4.2472556194458964</v>
      </c>
      <c r="K1944">
        <f>Sheet1[[#This Row],[Revenue]]-Sheet1[[#This Row],[Ad Spend]]</f>
        <v>81.25</v>
      </c>
      <c r="L1944" s="2" t="s">
        <v>22</v>
      </c>
      <c r="M1944">
        <v>4</v>
      </c>
      <c r="N1944" s="2" t="s">
        <v>19</v>
      </c>
      <c r="O1944">
        <v>50.19</v>
      </c>
    </row>
    <row r="1945" spans="1:15" x14ac:dyDescent="0.3">
      <c r="A1945" s="1">
        <v>45369</v>
      </c>
      <c r="B1945" s="2" t="s">
        <v>24</v>
      </c>
      <c r="C1945" s="2" t="s">
        <v>21</v>
      </c>
      <c r="D1945" s="2" t="s">
        <v>18</v>
      </c>
      <c r="E1945">
        <v>177.75</v>
      </c>
      <c r="F1945">
        <v>3.7</v>
      </c>
      <c r="G1945">
        <v>2</v>
      </c>
      <c r="H1945">
        <f t="shared" si="30"/>
        <v>54735.250000000029</v>
      </c>
      <c r="I1945" t="str">
        <f>IF(Sheet1[[#This Row],[Month_Revenue]] &lt; AVERAGE(Sheet1[Month_Revenue]), "Off-Peak", "Peak")</f>
        <v>Off-Peak</v>
      </c>
      <c r="J1945">
        <f xml:space="preserve"> IF(Sheet1[[#This Row],[Ad Spend]] &gt; 0, (Sheet1[[#This Row],[Profit]] / Sheet1[[#This Row],[Ad Spend]]), 0)</f>
        <v>47.04054054054054</v>
      </c>
      <c r="K1945">
        <f>Sheet1[[#This Row],[Revenue]]-Sheet1[[#This Row],[Ad Spend]]</f>
        <v>174.05</v>
      </c>
      <c r="L1945" s="2" t="s">
        <v>22</v>
      </c>
      <c r="M1945">
        <v>3</v>
      </c>
      <c r="N1945" s="2" t="s">
        <v>19</v>
      </c>
      <c r="O1945">
        <v>88.875</v>
      </c>
    </row>
    <row r="1946" spans="1:15" x14ac:dyDescent="0.3">
      <c r="A1946" s="1">
        <v>45399</v>
      </c>
      <c r="B1946" s="2" t="s">
        <v>24</v>
      </c>
      <c r="C1946" s="2" t="s">
        <v>17</v>
      </c>
      <c r="D1946" s="2" t="s">
        <v>13</v>
      </c>
      <c r="E1946">
        <v>162.62</v>
      </c>
      <c r="F1946">
        <v>11.62</v>
      </c>
      <c r="G1946">
        <v>2</v>
      </c>
      <c r="H1946">
        <f t="shared" si="30"/>
        <v>58562.910000000018</v>
      </c>
      <c r="I1946" t="str">
        <f>IF(Sheet1[[#This Row],[Month_Revenue]] &lt; AVERAGE(Sheet1[Month_Revenue]), "Off-Peak", "Peak")</f>
        <v>Peak</v>
      </c>
      <c r="J1946">
        <f xml:space="preserve"> IF(Sheet1[[#This Row],[Ad Spend]] &gt; 0, (Sheet1[[#This Row],[Profit]] / Sheet1[[#This Row],[Ad Spend]]), 0)</f>
        <v>12.994836488812393</v>
      </c>
      <c r="K1946">
        <f>Sheet1[[#This Row],[Revenue]]-Sheet1[[#This Row],[Ad Spend]]</f>
        <v>151</v>
      </c>
      <c r="L1946" s="2" t="s">
        <v>22</v>
      </c>
      <c r="M1946">
        <v>4</v>
      </c>
      <c r="N1946" s="2" t="s">
        <v>19</v>
      </c>
      <c r="O1946">
        <v>81.31</v>
      </c>
    </row>
    <row r="1947" spans="1:15" x14ac:dyDescent="0.3">
      <c r="A1947" s="1">
        <v>45358</v>
      </c>
      <c r="B1947" s="2" t="s">
        <v>20</v>
      </c>
      <c r="C1947" s="2" t="s">
        <v>12</v>
      </c>
      <c r="D1947" s="2" t="s">
        <v>13</v>
      </c>
      <c r="E1947">
        <v>22.83</v>
      </c>
      <c r="F1947">
        <v>30.37</v>
      </c>
      <c r="G1947">
        <v>1</v>
      </c>
      <c r="H1947">
        <f t="shared" si="30"/>
        <v>54735.250000000029</v>
      </c>
      <c r="I1947" t="str">
        <f>IF(Sheet1[[#This Row],[Month_Revenue]] &lt; AVERAGE(Sheet1[Month_Revenue]), "Off-Peak", "Peak")</f>
        <v>Off-Peak</v>
      </c>
      <c r="J1947">
        <f xml:space="preserve"> IF(Sheet1[[#This Row],[Ad Spend]] &gt; 0, (Sheet1[[#This Row],[Profit]] / Sheet1[[#This Row],[Ad Spend]]), 0)</f>
        <v>-0.24827132038195596</v>
      </c>
      <c r="K1947">
        <f>Sheet1[[#This Row],[Revenue]]-Sheet1[[#This Row],[Ad Spend]]</f>
        <v>-7.5400000000000027</v>
      </c>
      <c r="L1947" s="2" t="s">
        <v>22</v>
      </c>
      <c r="M1947">
        <v>3</v>
      </c>
      <c r="N1947" s="2" t="s">
        <v>19</v>
      </c>
      <c r="O1947">
        <v>22.83</v>
      </c>
    </row>
    <row r="1948" spans="1:15" x14ac:dyDescent="0.3">
      <c r="A1948" s="1">
        <v>45370</v>
      </c>
      <c r="B1948" s="2" t="s">
        <v>16</v>
      </c>
      <c r="C1948" s="2" t="s">
        <v>17</v>
      </c>
      <c r="D1948" s="2" t="s">
        <v>13</v>
      </c>
      <c r="E1948">
        <v>117.54</v>
      </c>
      <c r="F1948">
        <v>46.26</v>
      </c>
      <c r="G1948">
        <v>0</v>
      </c>
      <c r="H1948">
        <f t="shared" si="30"/>
        <v>54735.250000000029</v>
      </c>
      <c r="I1948" t="str">
        <f>IF(Sheet1[[#This Row],[Month_Revenue]] &lt; AVERAGE(Sheet1[Month_Revenue]), "Off-Peak", "Peak")</f>
        <v>Off-Peak</v>
      </c>
      <c r="J1948">
        <f xml:space="preserve"> IF(Sheet1[[#This Row],[Ad Spend]] &gt; 0, (Sheet1[[#This Row],[Profit]] / Sheet1[[#This Row],[Ad Spend]]), 0)</f>
        <v>1.5408560311284047</v>
      </c>
      <c r="K1948">
        <f>Sheet1[[#This Row],[Revenue]]-Sheet1[[#This Row],[Ad Spend]]</f>
        <v>71.28</v>
      </c>
      <c r="L1948" s="2" t="s">
        <v>14</v>
      </c>
      <c r="M1948">
        <v>3</v>
      </c>
      <c r="N1948" s="2" t="s">
        <v>19</v>
      </c>
      <c r="O1948">
        <v>0</v>
      </c>
    </row>
    <row r="1949" spans="1:15" x14ac:dyDescent="0.3">
      <c r="A1949" s="1">
        <v>45406</v>
      </c>
      <c r="B1949" s="2" t="s">
        <v>11</v>
      </c>
      <c r="C1949" s="2" t="s">
        <v>17</v>
      </c>
      <c r="D1949" s="2" t="s">
        <v>13</v>
      </c>
      <c r="E1949">
        <v>118.5</v>
      </c>
      <c r="F1949">
        <v>44.32</v>
      </c>
      <c r="G1949">
        <v>3</v>
      </c>
      <c r="H1949">
        <f t="shared" si="30"/>
        <v>58562.910000000018</v>
      </c>
      <c r="I1949" t="str">
        <f>IF(Sheet1[[#This Row],[Month_Revenue]] &lt; AVERAGE(Sheet1[Month_Revenue]), "Off-Peak", "Peak")</f>
        <v>Peak</v>
      </c>
      <c r="J1949">
        <f xml:space="preserve"> IF(Sheet1[[#This Row],[Ad Spend]] &gt; 0, (Sheet1[[#This Row],[Profit]] / Sheet1[[#This Row],[Ad Spend]]), 0)</f>
        <v>1.6737364620938631</v>
      </c>
      <c r="K1949">
        <f>Sheet1[[#This Row],[Revenue]]-Sheet1[[#This Row],[Ad Spend]]</f>
        <v>74.180000000000007</v>
      </c>
      <c r="L1949" s="2" t="s">
        <v>14</v>
      </c>
      <c r="M1949">
        <v>4</v>
      </c>
      <c r="N1949" s="2" t="s">
        <v>19</v>
      </c>
      <c r="O1949">
        <v>39.5</v>
      </c>
    </row>
    <row r="1950" spans="1:15" x14ac:dyDescent="0.3">
      <c r="A1950" s="1">
        <v>45355</v>
      </c>
      <c r="B1950" s="2" t="s">
        <v>11</v>
      </c>
      <c r="C1950" s="2" t="s">
        <v>17</v>
      </c>
      <c r="D1950" s="2" t="s">
        <v>18</v>
      </c>
      <c r="E1950">
        <v>123.68</v>
      </c>
      <c r="F1950">
        <v>15.57</v>
      </c>
      <c r="G1950">
        <v>0</v>
      </c>
      <c r="H1950">
        <f t="shared" si="30"/>
        <v>54735.250000000029</v>
      </c>
      <c r="I1950" t="str">
        <f>IF(Sheet1[[#This Row],[Month_Revenue]] &lt; AVERAGE(Sheet1[Month_Revenue]), "Off-Peak", "Peak")</f>
        <v>Off-Peak</v>
      </c>
      <c r="J1950">
        <f xml:space="preserve"> IF(Sheet1[[#This Row],[Ad Spend]] &gt; 0, (Sheet1[[#This Row],[Profit]] / Sheet1[[#This Row],[Ad Spend]]), 0)</f>
        <v>6.9434810533076439</v>
      </c>
      <c r="K1950">
        <f>Sheet1[[#This Row],[Revenue]]-Sheet1[[#This Row],[Ad Spend]]</f>
        <v>108.11000000000001</v>
      </c>
      <c r="L1950" s="2" t="s">
        <v>22</v>
      </c>
      <c r="M1950">
        <v>3</v>
      </c>
      <c r="N1950" s="2" t="s">
        <v>19</v>
      </c>
      <c r="O1950">
        <v>0</v>
      </c>
    </row>
    <row r="1951" spans="1:15" x14ac:dyDescent="0.3">
      <c r="A1951" s="1">
        <v>45354</v>
      </c>
      <c r="B1951" s="2" t="s">
        <v>16</v>
      </c>
      <c r="C1951" s="2" t="s">
        <v>17</v>
      </c>
      <c r="D1951" s="2" t="s">
        <v>13</v>
      </c>
      <c r="E1951">
        <v>105.2</v>
      </c>
      <c r="F1951">
        <v>5.74</v>
      </c>
      <c r="G1951">
        <v>1</v>
      </c>
      <c r="H1951">
        <f t="shared" si="30"/>
        <v>54735.250000000029</v>
      </c>
      <c r="I1951" t="str">
        <f>IF(Sheet1[[#This Row],[Month_Revenue]] &lt; AVERAGE(Sheet1[Month_Revenue]), "Off-Peak", "Peak")</f>
        <v>Off-Peak</v>
      </c>
      <c r="J1951">
        <f xml:space="preserve"> IF(Sheet1[[#This Row],[Ad Spend]] &gt; 0, (Sheet1[[#This Row],[Profit]] / Sheet1[[#This Row],[Ad Spend]]), 0)</f>
        <v>17.327526132404181</v>
      </c>
      <c r="K1951">
        <f>Sheet1[[#This Row],[Revenue]]-Sheet1[[#This Row],[Ad Spend]]</f>
        <v>99.460000000000008</v>
      </c>
      <c r="L1951" s="2" t="s">
        <v>14</v>
      </c>
      <c r="M1951">
        <v>3</v>
      </c>
      <c r="N1951" s="2" t="s">
        <v>19</v>
      </c>
      <c r="O1951">
        <v>105.2</v>
      </c>
    </row>
    <row r="1952" spans="1:15" x14ac:dyDescent="0.3">
      <c r="A1952" s="1">
        <v>45377</v>
      </c>
      <c r="B1952" s="2" t="s">
        <v>24</v>
      </c>
      <c r="C1952" s="2" t="s">
        <v>21</v>
      </c>
      <c r="D1952" s="2" t="s">
        <v>18</v>
      </c>
      <c r="E1952">
        <v>118.76</v>
      </c>
      <c r="F1952">
        <v>44.97</v>
      </c>
      <c r="G1952">
        <v>2</v>
      </c>
      <c r="H1952">
        <f t="shared" si="30"/>
        <v>54735.250000000029</v>
      </c>
      <c r="I1952" t="str">
        <f>IF(Sheet1[[#This Row],[Month_Revenue]] &lt; AVERAGE(Sheet1[Month_Revenue]), "Off-Peak", "Peak")</f>
        <v>Off-Peak</v>
      </c>
      <c r="J1952">
        <f xml:space="preserve"> IF(Sheet1[[#This Row],[Ad Spend]] &gt; 0, (Sheet1[[#This Row],[Profit]] / Sheet1[[#This Row],[Ad Spend]]), 0)</f>
        <v>1.6408716922392708</v>
      </c>
      <c r="K1952">
        <f>Sheet1[[#This Row],[Revenue]]-Sheet1[[#This Row],[Ad Spend]]</f>
        <v>73.790000000000006</v>
      </c>
      <c r="L1952" s="2" t="s">
        <v>22</v>
      </c>
      <c r="M1952">
        <v>3</v>
      </c>
      <c r="N1952" s="2" t="s">
        <v>19</v>
      </c>
      <c r="O1952">
        <v>59.38</v>
      </c>
    </row>
    <row r="1953" spans="1:15" x14ac:dyDescent="0.3">
      <c r="A1953" s="1">
        <v>45354</v>
      </c>
      <c r="B1953" s="2" t="s">
        <v>11</v>
      </c>
      <c r="C1953" s="2" t="s">
        <v>17</v>
      </c>
      <c r="D1953" s="2" t="s">
        <v>18</v>
      </c>
      <c r="E1953">
        <v>58.53</v>
      </c>
      <c r="F1953">
        <v>1.0900000000000001</v>
      </c>
      <c r="G1953">
        <v>2</v>
      </c>
      <c r="H1953">
        <f t="shared" si="30"/>
        <v>54735.250000000029</v>
      </c>
      <c r="I1953" t="str">
        <f>IF(Sheet1[[#This Row],[Month_Revenue]] &lt; AVERAGE(Sheet1[Month_Revenue]), "Off-Peak", "Peak")</f>
        <v>Off-Peak</v>
      </c>
      <c r="J1953">
        <f xml:space="preserve"> IF(Sheet1[[#This Row],[Ad Spend]] &gt; 0, (Sheet1[[#This Row],[Profit]] / Sheet1[[#This Row],[Ad Spend]]), 0)</f>
        <v>52.697247706422012</v>
      </c>
      <c r="K1953">
        <f>Sheet1[[#This Row],[Revenue]]-Sheet1[[#This Row],[Ad Spend]]</f>
        <v>57.44</v>
      </c>
      <c r="L1953" s="2" t="s">
        <v>22</v>
      </c>
      <c r="M1953">
        <v>3</v>
      </c>
      <c r="N1953" s="2" t="s">
        <v>19</v>
      </c>
      <c r="O1953">
        <v>29.265000000000001</v>
      </c>
    </row>
    <row r="1954" spans="1:15" x14ac:dyDescent="0.3">
      <c r="A1954" s="1">
        <v>45396</v>
      </c>
      <c r="B1954" s="2" t="s">
        <v>11</v>
      </c>
      <c r="C1954" s="2" t="s">
        <v>17</v>
      </c>
      <c r="D1954" s="2" t="s">
        <v>18</v>
      </c>
      <c r="E1954">
        <v>171.14</v>
      </c>
      <c r="F1954">
        <v>48.17</v>
      </c>
      <c r="G1954">
        <v>3</v>
      </c>
      <c r="H1954">
        <f t="shared" si="30"/>
        <v>58562.910000000018</v>
      </c>
      <c r="I1954" t="str">
        <f>IF(Sheet1[[#This Row],[Month_Revenue]] &lt; AVERAGE(Sheet1[Month_Revenue]), "Off-Peak", "Peak")</f>
        <v>Peak</v>
      </c>
      <c r="J1954">
        <f xml:space="preserve"> IF(Sheet1[[#This Row],[Ad Spend]] &gt; 0, (Sheet1[[#This Row],[Profit]] / Sheet1[[#This Row],[Ad Spend]]), 0)</f>
        <v>2.5528337139298314</v>
      </c>
      <c r="K1954">
        <f>Sheet1[[#This Row],[Revenue]]-Sheet1[[#This Row],[Ad Spend]]</f>
        <v>122.96999999999998</v>
      </c>
      <c r="L1954" s="2" t="s">
        <v>22</v>
      </c>
      <c r="M1954">
        <v>4</v>
      </c>
      <c r="N1954" s="2" t="s">
        <v>19</v>
      </c>
      <c r="O1954">
        <v>57.04666666666666</v>
      </c>
    </row>
    <row r="1955" spans="1:15" x14ac:dyDescent="0.3">
      <c r="A1955" s="1">
        <v>45353</v>
      </c>
      <c r="B1955" s="2" t="s">
        <v>16</v>
      </c>
      <c r="C1955" s="2" t="s">
        <v>21</v>
      </c>
      <c r="D1955" s="2" t="s">
        <v>13</v>
      </c>
      <c r="E1955">
        <v>111.12</v>
      </c>
      <c r="F1955">
        <v>6.8</v>
      </c>
      <c r="G1955">
        <v>3</v>
      </c>
      <c r="H1955">
        <f t="shared" si="30"/>
        <v>54735.250000000029</v>
      </c>
      <c r="I1955" t="str">
        <f>IF(Sheet1[[#This Row],[Month_Revenue]] &lt; AVERAGE(Sheet1[Month_Revenue]), "Off-Peak", "Peak")</f>
        <v>Off-Peak</v>
      </c>
      <c r="J1955">
        <f xml:space="preserve"> IF(Sheet1[[#This Row],[Ad Spend]] &gt; 0, (Sheet1[[#This Row],[Profit]] / Sheet1[[#This Row],[Ad Spend]]), 0)</f>
        <v>15.341176470588238</v>
      </c>
      <c r="K1955">
        <f>Sheet1[[#This Row],[Revenue]]-Sheet1[[#This Row],[Ad Spend]]</f>
        <v>104.32000000000001</v>
      </c>
      <c r="L1955" s="2" t="s">
        <v>14</v>
      </c>
      <c r="M1955">
        <v>3</v>
      </c>
      <c r="N1955" s="2" t="s">
        <v>19</v>
      </c>
      <c r="O1955">
        <v>37.04</v>
      </c>
    </row>
    <row r="1956" spans="1:15" x14ac:dyDescent="0.3">
      <c r="A1956" s="1">
        <v>45379</v>
      </c>
      <c r="B1956" s="2" t="s">
        <v>16</v>
      </c>
      <c r="C1956" s="2" t="s">
        <v>12</v>
      </c>
      <c r="D1956" s="2" t="s">
        <v>18</v>
      </c>
      <c r="E1956">
        <v>101.75</v>
      </c>
      <c r="F1956">
        <v>35.08</v>
      </c>
      <c r="G1956">
        <v>3</v>
      </c>
      <c r="H1956">
        <f t="shared" si="30"/>
        <v>54735.250000000029</v>
      </c>
      <c r="I1956" t="str">
        <f>IF(Sheet1[[#This Row],[Month_Revenue]] &lt; AVERAGE(Sheet1[Month_Revenue]), "Off-Peak", "Peak")</f>
        <v>Off-Peak</v>
      </c>
      <c r="J1956">
        <f xml:space="preserve"> IF(Sheet1[[#This Row],[Ad Spend]] &gt; 0, (Sheet1[[#This Row],[Profit]] / Sheet1[[#This Row],[Ad Spend]]), 0)</f>
        <v>1.9005131128848347</v>
      </c>
      <c r="K1956">
        <f>Sheet1[[#This Row],[Revenue]]-Sheet1[[#This Row],[Ad Spend]]</f>
        <v>66.67</v>
      </c>
      <c r="L1956" s="2" t="s">
        <v>14</v>
      </c>
      <c r="M1956">
        <v>3</v>
      </c>
      <c r="N1956" s="2" t="s">
        <v>19</v>
      </c>
      <c r="O1956">
        <v>33.916666666666664</v>
      </c>
    </row>
    <row r="1957" spans="1:15" x14ac:dyDescent="0.3">
      <c r="A1957" s="1">
        <v>45386</v>
      </c>
      <c r="B1957" s="2" t="s">
        <v>11</v>
      </c>
      <c r="C1957" s="2" t="s">
        <v>17</v>
      </c>
      <c r="D1957" s="2" t="s">
        <v>13</v>
      </c>
      <c r="E1957">
        <v>139.25</v>
      </c>
      <c r="F1957">
        <v>5.64</v>
      </c>
      <c r="G1957">
        <v>2</v>
      </c>
      <c r="H1957">
        <f t="shared" si="30"/>
        <v>58562.910000000018</v>
      </c>
      <c r="I1957" t="str">
        <f>IF(Sheet1[[#This Row],[Month_Revenue]] &lt; AVERAGE(Sheet1[Month_Revenue]), "Off-Peak", "Peak")</f>
        <v>Peak</v>
      </c>
      <c r="J1957">
        <f xml:space="preserve"> IF(Sheet1[[#This Row],[Ad Spend]] &gt; 0, (Sheet1[[#This Row],[Profit]] / Sheet1[[#This Row],[Ad Spend]]), 0)</f>
        <v>23.689716312056742</v>
      </c>
      <c r="K1957">
        <f>Sheet1[[#This Row],[Revenue]]-Sheet1[[#This Row],[Ad Spend]]</f>
        <v>133.61000000000001</v>
      </c>
      <c r="L1957" s="2" t="s">
        <v>22</v>
      </c>
      <c r="M1957">
        <v>4</v>
      </c>
      <c r="N1957" s="2" t="s">
        <v>19</v>
      </c>
      <c r="O1957">
        <v>69.625</v>
      </c>
    </row>
    <row r="1958" spans="1:15" x14ac:dyDescent="0.3">
      <c r="A1958" s="1">
        <v>45395</v>
      </c>
      <c r="B1958" s="2" t="s">
        <v>23</v>
      </c>
      <c r="C1958" s="2" t="s">
        <v>12</v>
      </c>
      <c r="D1958" s="2" t="s">
        <v>18</v>
      </c>
      <c r="E1958">
        <v>42.39</v>
      </c>
      <c r="F1958">
        <v>18.079999999999998</v>
      </c>
      <c r="G1958">
        <v>3</v>
      </c>
      <c r="H1958">
        <f t="shared" si="30"/>
        <v>58562.910000000018</v>
      </c>
      <c r="I1958" t="str">
        <f>IF(Sheet1[[#This Row],[Month_Revenue]] &lt; AVERAGE(Sheet1[Month_Revenue]), "Off-Peak", "Peak")</f>
        <v>Peak</v>
      </c>
      <c r="J1958">
        <f xml:space="preserve"> IF(Sheet1[[#This Row],[Ad Spend]] &gt; 0, (Sheet1[[#This Row],[Profit]] / Sheet1[[#This Row],[Ad Spend]]), 0)</f>
        <v>1.3445796460176993</v>
      </c>
      <c r="K1958">
        <f>Sheet1[[#This Row],[Revenue]]-Sheet1[[#This Row],[Ad Spend]]</f>
        <v>24.310000000000002</v>
      </c>
      <c r="L1958" s="2" t="s">
        <v>22</v>
      </c>
      <c r="M1958">
        <v>4</v>
      </c>
      <c r="N1958" s="2" t="s">
        <v>19</v>
      </c>
      <c r="O1958">
        <v>14.13</v>
      </c>
    </row>
    <row r="1959" spans="1:15" x14ac:dyDescent="0.3">
      <c r="A1959" s="1">
        <v>45337</v>
      </c>
      <c r="B1959" s="2" t="s">
        <v>23</v>
      </c>
      <c r="C1959" s="2" t="s">
        <v>17</v>
      </c>
      <c r="D1959" s="2" t="s">
        <v>13</v>
      </c>
      <c r="E1959">
        <v>187.93</v>
      </c>
      <c r="F1959">
        <v>7.05</v>
      </c>
      <c r="G1959">
        <v>2</v>
      </c>
      <c r="H1959">
        <f t="shared" si="30"/>
        <v>48675.899999999936</v>
      </c>
      <c r="I1959" t="str">
        <f>IF(Sheet1[[#This Row],[Month_Revenue]] &lt; AVERAGE(Sheet1[Month_Revenue]), "Off-Peak", "Peak")</f>
        <v>Off-Peak</v>
      </c>
      <c r="J1959">
        <f xml:space="preserve"> IF(Sheet1[[#This Row],[Ad Spend]] &gt; 0, (Sheet1[[#This Row],[Profit]] / Sheet1[[#This Row],[Ad Spend]]), 0)</f>
        <v>25.656737588652483</v>
      </c>
      <c r="K1959">
        <f>Sheet1[[#This Row],[Revenue]]-Sheet1[[#This Row],[Ad Spend]]</f>
        <v>180.88</v>
      </c>
      <c r="L1959" s="2" t="s">
        <v>14</v>
      </c>
      <c r="M1959">
        <v>2</v>
      </c>
      <c r="N1959" s="2" t="s">
        <v>15</v>
      </c>
      <c r="O1959">
        <v>93.965000000000003</v>
      </c>
    </row>
    <row r="1960" spans="1:15" x14ac:dyDescent="0.3">
      <c r="A1960" s="1">
        <v>45344</v>
      </c>
      <c r="B1960" s="2" t="s">
        <v>16</v>
      </c>
      <c r="C1960" s="2" t="s">
        <v>17</v>
      </c>
      <c r="D1960" s="2" t="s">
        <v>18</v>
      </c>
      <c r="E1960">
        <v>172.5</v>
      </c>
      <c r="F1960">
        <v>8.17</v>
      </c>
      <c r="G1960">
        <v>0</v>
      </c>
      <c r="H1960">
        <f t="shared" si="30"/>
        <v>48675.899999999936</v>
      </c>
      <c r="I1960" t="str">
        <f>IF(Sheet1[[#This Row],[Month_Revenue]] &lt; AVERAGE(Sheet1[Month_Revenue]), "Off-Peak", "Peak")</f>
        <v>Off-Peak</v>
      </c>
      <c r="J1960">
        <f xml:space="preserve"> IF(Sheet1[[#This Row],[Ad Spend]] &gt; 0, (Sheet1[[#This Row],[Profit]] / Sheet1[[#This Row],[Ad Spend]]), 0)</f>
        <v>20.113831089351287</v>
      </c>
      <c r="K1960">
        <f>Sheet1[[#This Row],[Revenue]]-Sheet1[[#This Row],[Ad Spend]]</f>
        <v>164.33</v>
      </c>
      <c r="L1960" s="2" t="s">
        <v>22</v>
      </c>
      <c r="M1960">
        <v>2</v>
      </c>
      <c r="N1960" s="2" t="s">
        <v>15</v>
      </c>
      <c r="O1960">
        <v>0</v>
      </c>
    </row>
    <row r="1961" spans="1:15" x14ac:dyDescent="0.3">
      <c r="A1961" s="1">
        <v>45396</v>
      </c>
      <c r="B1961" s="2" t="s">
        <v>23</v>
      </c>
      <c r="C1961" s="2" t="s">
        <v>12</v>
      </c>
      <c r="D1961" s="2" t="s">
        <v>13</v>
      </c>
      <c r="E1961">
        <v>151.26</v>
      </c>
      <c r="F1961">
        <v>49.56</v>
      </c>
      <c r="G1961">
        <v>0</v>
      </c>
      <c r="H1961">
        <f t="shared" si="30"/>
        <v>58562.910000000018</v>
      </c>
      <c r="I1961" t="str">
        <f>IF(Sheet1[[#This Row],[Month_Revenue]] &lt; AVERAGE(Sheet1[Month_Revenue]), "Off-Peak", "Peak")</f>
        <v>Peak</v>
      </c>
      <c r="J1961">
        <f xml:space="preserve"> IF(Sheet1[[#This Row],[Ad Spend]] &gt; 0, (Sheet1[[#This Row],[Profit]] / Sheet1[[#This Row],[Ad Spend]]), 0)</f>
        <v>2.0520581113801448</v>
      </c>
      <c r="K1961">
        <f>Sheet1[[#This Row],[Revenue]]-Sheet1[[#This Row],[Ad Spend]]</f>
        <v>101.69999999999999</v>
      </c>
      <c r="L1961" s="2" t="s">
        <v>22</v>
      </c>
      <c r="M1961">
        <v>4</v>
      </c>
      <c r="N1961" s="2" t="s">
        <v>19</v>
      </c>
      <c r="O1961">
        <v>0</v>
      </c>
    </row>
    <row r="1962" spans="1:15" x14ac:dyDescent="0.3">
      <c r="A1962" s="1">
        <v>45363</v>
      </c>
      <c r="B1962" s="2" t="s">
        <v>20</v>
      </c>
      <c r="C1962" s="2" t="s">
        <v>12</v>
      </c>
      <c r="D1962" s="2" t="s">
        <v>13</v>
      </c>
      <c r="E1962">
        <v>170.72</v>
      </c>
      <c r="F1962">
        <v>21.57</v>
      </c>
      <c r="G1962">
        <v>1</v>
      </c>
      <c r="H1962">
        <f t="shared" si="30"/>
        <v>54735.250000000029</v>
      </c>
      <c r="I1962" t="str">
        <f>IF(Sheet1[[#This Row],[Month_Revenue]] &lt; AVERAGE(Sheet1[Month_Revenue]), "Off-Peak", "Peak")</f>
        <v>Off-Peak</v>
      </c>
      <c r="J1962">
        <f xml:space="preserve"> IF(Sheet1[[#This Row],[Ad Spend]] &gt; 0, (Sheet1[[#This Row],[Profit]] / Sheet1[[#This Row],[Ad Spend]]), 0)</f>
        <v>6.914696337505795</v>
      </c>
      <c r="K1962">
        <f>Sheet1[[#This Row],[Revenue]]-Sheet1[[#This Row],[Ad Spend]]</f>
        <v>149.15</v>
      </c>
      <c r="L1962" s="2" t="s">
        <v>14</v>
      </c>
      <c r="M1962">
        <v>3</v>
      </c>
      <c r="N1962" s="2" t="s">
        <v>19</v>
      </c>
      <c r="O1962">
        <v>170.72</v>
      </c>
    </row>
    <row r="1963" spans="1:15" x14ac:dyDescent="0.3">
      <c r="A1963" s="1">
        <v>45295</v>
      </c>
      <c r="B1963" s="2" t="s">
        <v>20</v>
      </c>
      <c r="C1963" s="2" t="s">
        <v>21</v>
      </c>
      <c r="D1963" s="2" t="s">
        <v>18</v>
      </c>
      <c r="E1963">
        <v>190.15</v>
      </c>
      <c r="F1963">
        <v>46.07</v>
      </c>
      <c r="G1963">
        <v>0</v>
      </c>
      <c r="H1963">
        <f t="shared" si="30"/>
        <v>61207.979999999989</v>
      </c>
      <c r="I1963" t="str">
        <f>IF(Sheet1[[#This Row],[Month_Revenue]] &lt; AVERAGE(Sheet1[Month_Revenue]), "Off-Peak", "Peak")</f>
        <v>Peak</v>
      </c>
      <c r="J1963">
        <f xml:space="preserve"> IF(Sheet1[[#This Row],[Ad Spend]] &gt; 0, (Sheet1[[#This Row],[Profit]] / Sheet1[[#This Row],[Ad Spend]]), 0)</f>
        <v>3.1274148035598004</v>
      </c>
      <c r="K1963">
        <f>Sheet1[[#This Row],[Revenue]]-Sheet1[[#This Row],[Ad Spend]]</f>
        <v>144.08000000000001</v>
      </c>
      <c r="L1963" s="2" t="s">
        <v>22</v>
      </c>
      <c r="M1963">
        <v>1</v>
      </c>
      <c r="N1963" s="2" t="s">
        <v>15</v>
      </c>
      <c r="O1963">
        <v>0</v>
      </c>
    </row>
    <row r="1964" spans="1:15" x14ac:dyDescent="0.3">
      <c r="A1964" s="1">
        <v>45393</v>
      </c>
      <c r="B1964" s="2" t="s">
        <v>11</v>
      </c>
      <c r="C1964" s="2" t="s">
        <v>17</v>
      </c>
      <c r="D1964" s="2" t="s">
        <v>13</v>
      </c>
      <c r="E1964">
        <v>158.84</v>
      </c>
      <c r="F1964">
        <v>32.17</v>
      </c>
      <c r="G1964">
        <v>3</v>
      </c>
      <c r="H1964">
        <f t="shared" si="30"/>
        <v>58562.910000000018</v>
      </c>
      <c r="I1964" t="str">
        <f>IF(Sheet1[[#This Row],[Month_Revenue]] &lt; AVERAGE(Sheet1[Month_Revenue]), "Off-Peak", "Peak")</f>
        <v>Peak</v>
      </c>
      <c r="J1964">
        <f xml:space="preserve"> IF(Sheet1[[#This Row],[Ad Spend]] &gt; 0, (Sheet1[[#This Row],[Profit]] / Sheet1[[#This Row],[Ad Spend]]), 0)</f>
        <v>3.937519428038545</v>
      </c>
      <c r="K1964">
        <f>Sheet1[[#This Row],[Revenue]]-Sheet1[[#This Row],[Ad Spend]]</f>
        <v>126.67</v>
      </c>
      <c r="L1964" s="2" t="s">
        <v>14</v>
      </c>
      <c r="M1964">
        <v>4</v>
      </c>
      <c r="N1964" s="2" t="s">
        <v>19</v>
      </c>
      <c r="O1964">
        <v>52.946666666666665</v>
      </c>
    </row>
    <row r="1965" spans="1:15" x14ac:dyDescent="0.3">
      <c r="A1965" s="1">
        <v>45368</v>
      </c>
      <c r="B1965" s="2" t="s">
        <v>11</v>
      </c>
      <c r="C1965" s="2" t="s">
        <v>21</v>
      </c>
      <c r="D1965" s="2" t="s">
        <v>13</v>
      </c>
      <c r="E1965">
        <v>81.489999999999995</v>
      </c>
      <c r="F1965">
        <v>32.619999999999997</v>
      </c>
      <c r="G1965">
        <v>2</v>
      </c>
      <c r="H1965">
        <f t="shared" si="30"/>
        <v>54735.250000000029</v>
      </c>
      <c r="I1965" t="str">
        <f>IF(Sheet1[[#This Row],[Month_Revenue]] &lt; AVERAGE(Sheet1[Month_Revenue]), "Off-Peak", "Peak")</f>
        <v>Off-Peak</v>
      </c>
      <c r="J1965">
        <f xml:space="preserve"> IF(Sheet1[[#This Row],[Ad Spend]] &gt; 0, (Sheet1[[#This Row],[Profit]] / Sheet1[[#This Row],[Ad Spend]]), 0)</f>
        <v>1.4981606376456162</v>
      </c>
      <c r="K1965">
        <f>Sheet1[[#This Row],[Revenue]]-Sheet1[[#This Row],[Ad Spend]]</f>
        <v>48.87</v>
      </c>
      <c r="L1965" s="2" t="s">
        <v>14</v>
      </c>
      <c r="M1965">
        <v>3</v>
      </c>
      <c r="N1965" s="2" t="s">
        <v>19</v>
      </c>
      <c r="O1965">
        <v>40.744999999999997</v>
      </c>
    </row>
    <row r="1966" spans="1:15" x14ac:dyDescent="0.3">
      <c r="A1966" s="1">
        <v>45394</v>
      </c>
      <c r="B1966" s="2" t="s">
        <v>24</v>
      </c>
      <c r="C1966" s="2" t="s">
        <v>21</v>
      </c>
      <c r="D1966" s="2" t="s">
        <v>18</v>
      </c>
      <c r="E1966">
        <v>28.92</v>
      </c>
      <c r="F1966">
        <v>36.99</v>
      </c>
      <c r="G1966">
        <v>0</v>
      </c>
      <c r="H1966">
        <f t="shared" si="30"/>
        <v>58562.910000000018</v>
      </c>
      <c r="I1966" t="str">
        <f>IF(Sheet1[[#This Row],[Month_Revenue]] &lt; AVERAGE(Sheet1[Month_Revenue]), "Off-Peak", "Peak")</f>
        <v>Peak</v>
      </c>
      <c r="J1966">
        <f xml:space="preserve"> IF(Sheet1[[#This Row],[Ad Spend]] &gt; 0, (Sheet1[[#This Row],[Profit]] / Sheet1[[#This Row],[Ad Spend]]), 0)</f>
        <v>-0.21816707218167072</v>
      </c>
      <c r="K1966">
        <f>Sheet1[[#This Row],[Revenue]]-Sheet1[[#This Row],[Ad Spend]]</f>
        <v>-8.07</v>
      </c>
      <c r="L1966" s="2" t="s">
        <v>22</v>
      </c>
      <c r="M1966">
        <v>4</v>
      </c>
      <c r="N1966" s="2" t="s">
        <v>19</v>
      </c>
      <c r="O1966">
        <v>0</v>
      </c>
    </row>
    <row r="1967" spans="1:15" x14ac:dyDescent="0.3">
      <c r="A1967" s="1">
        <v>45410</v>
      </c>
      <c r="B1967" s="2" t="s">
        <v>23</v>
      </c>
      <c r="C1967" s="2" t="s">
        <v>17</v>
      </c>
      <c r="D1967" s="2" t="s">
        <v>13</v>
      </c>
      <c r="E1967">
        <v>75.05</v>
      </c>
      <c r="F1967">
        <v>43.29</v>
      </c>
      <c r="G1967">
        <v>3</v>
      </c>
      <c r="H1967">
        <f t="shared" si="30"/>
        <v>58562.910000000018</v>
      </c>
      <c r="I1967" t="str">
        <f>IF(Sheet1[[#This Row],[Month_Revenue]] &lt; AVERAGE(Sheet1[Month_Revenue]), "Off-Peak", "Peak")</f>
        <v>Peak</v>
      </c>
      <c r="J1967">
        <f xml:space="preserve"> IF(Sheet1[[#This Row],[Ad Spend]] &gt; 0, (Sheet1[[#This Row],[Profit]] / Sheet1[[#This Row],[Ad Spend]]), 0)</f>
        <v>0.73365673365673367</v>
      </c>
      <c r="K1967">
        <f>Sheet1[[#This Row],[Revenue]]-Sheet1[[#This Row],[Ad Spend]]</f>
        <v>31.759999999999998</v>
      </c>
      <c r="L1967" s="2" t="s">
        <v>22</v>
      </c>
      <c r="M1967">
        <v>4</v>
      </c>
      <c r="N1967" s="2" t="s">
        <v>19</v>
      </c>
      <c r="O1967">
        <v>25.016666666666666</v>
      </c>
    </row>
    <row r="1968" spans="1:15" x14ac:dyDescent="0.3">
      <c r="A1968" s="1">
        <v>45373</v>
      </c>
      <c r="B1968" s="2" t="s">
        <v>16</v>
      </c>
      <c r="C1968" s="2" t="s">
        <v>17</v>
      </c>
      <c r="D1968" s="2" t="s">
        <v>13</v>
      </c>
      <c r="E1968">
        <v>158.76</v>
      </c>
      <c r="F1968">
        <v>43.85</v>
      </c>
      <c r="G1968">
        <v>3</v>
      </c>
      <c r="H1968">
        <f t="shared" si="30"/>
        <v>54735.250000000029</v>
      </c>
      <c r="I1968" t="str">
        <f>IF(Sheet1[[#This Row],[Month_Revenue]] &lt; AVERAGE(Sheet1[Month_Revenue]), "Off-Peak", "Peak")</f>
        <v>Off-Peak</v>
      </c>
      <c r="J1968">
        <f xml:space="preserve"> IF(Sheet1[[#This Row],[Ad Spend]] &gt; 0, (Sheet1[[#This Row],[Profit]] / Sheet1[[#This Row],[Ad Spend]]), 0)</f>
        <v>2.6205245153933863</v>
      </c>
      <c r="K1968">
        <f>Sheet1[[#This Row],[Revenue]]-Sheet1[[#This Row],[Ad Spend]]</f>
        <v>114.91</v>
      </c>
      <c r="L1968" s="2" t="s">
        <v>22</v>
      </c>
      <c r="M1968">
        <v>3</v>
      </c>
      <c r="N1968" s="2" t="s">
        <v>19</v>
      </c>
      <c r="O1968">
        <v>52.919999999999995</v>
      </c>
    </row>
    <row r="1969" spans="1:15" x14ac:dyDescent="0.3">
      <c r="A1969" s="1">
        <v>45357</v>
      </c>
      <c r="B1969" s="2" t="s">
        <v>11</v>
      </c>
      <c r="C1969" s="2" t="s">
        <v>12</v>
      </c>
      <c r="D1969" s="2" t="s">
        <v>18</v>
      </c>
      <c r="E1969">
        <v>28.39</v>
      </c>
      <c r="F1969">
        <v>44.1</v>
      </c>
      <c r="G1969">
        <v>3</v>
      </c>
      <c r="H1969">
        <f t="shared" si="30"/>
        <v>54735.250000000029</v>
      </c>
      <c r="I1969" t="str">
        <f>IF(Sheet1[[#This Row],[Month_Revenue]] &lt; AVERAGE(Sheet1[Month_Revenue]), "Off-Peak", "Peak")</f>
        <v>Off-Peak</v>
      </c>
      <c r="J1969">
        <f xml:space="preserve"> IF(Sheet1[[#This Row],[Ad Spend]] &gt; 0, (Sheet1[[#This Row],[Profit]] / Sheet1[[#This Row],[Ad Spend]]), 0)</f>
        <v>-0.3562358276643991</v>
      </c>
      <c r="K1969">
        <f>Sheet1[[#This Row],[Revenue]]-Sheet1[[#This Row],[Ad Spend]]</f>
        <v>-15.71</v>
      </c>
      <c r="L1969" s="2" t="s">
        <v>14</v>
      </c>
      <c r="M1969">
        <v>3</v>
      </c>
      <c r="N1969" s="2" t="s">
        <v>19</v>
      </c>
      <c r="O1969">
        <v>9.4633333333333329</v>
      </c>
    </row>
    <row r="1970" spans="1:15" x14ac:dyDescent="0.3">
      <c r="A1970" s="1">
        <v>45306</v>
      </c>
      <c r="B1970" s="2" t="s">
        <v>16</v>
      </c>
      <c r="C1970" s="2" t="s">
        <v>12</v>
      </c>
      <c r="D1970" s="2" t="s">
        <v>18</v>
      </c>
      <c r="E1970">
        <v>151.68</v>
      </c>
      <c r="F1970">
        <v>16.600000000000001</v>
      </c>
      <c r="G1970">
        <v>1</v>
      </c>
      <c r="H1970">
        <f t="shared" si="30"/>
        <v>61207.979999999989</v>
      </c>
      <c r="I1970" t="str">
        <f>IF(Sheet1[[#This Row],[Month_Revenue]] &lt; AVERAGE(Sheet1[Month_Revenue]), "Off-Peak", "Peak")</f>
        <v>Peak</v>
      </c>
      <c r="J1970">
        <f xml:space="preserve"> IF(Sheet1[[#This Row],[Ad Spend]] &gt; 0, (Sheet1[[#This Row],[Profit]] / Sheet1[[#This Row],[Ad Spend]]), 0)</f>
        <v>8.137349397590361</v>
      </c>
      <c r="K1970">
        <f>Sheet1[[#This Row],[Revenue]]-Sheet1[[#This Row],[Ad Spend]]</f>
        <v>135.08000000000001</v>
      </c>
      <c r="L1970" s="2" t="s">
        <v>22</v>
      </c>
      <c r="M1970">
        <v>1</v>
      </c>
      <c r="N1970" s="2" t="s">
        <v>15</v>
      </c>
      <c r="O1970">
        <v>151.68</v>
      </c>
    </row>
    <row r="1971" spans="1:15" x14ac:dyDescent="0.3">
      <c r="A1971" s="1">
        <v>45342</v>
      </c>
      <c r="B1971" s="2" t="s">
        <v>23</v>
      </c>
      <c r="C1971" s="2" t="s">
        <v>17</v>
      </c>
      <c r="D1971" s="2" t="s">
        <v>13</v>
      </c>
      <c r="E1971">
        <v>70.72</v>
      </c>
      <c r="F1971">
        <v>22.23</v>
      </c>
      <c r="G1971">
        <v>3</v>
      </c>
      <c r="H1971">
        <f t="shared" si="30"/>
        <v>48675.899999999936</v>
      </c>
      <c r="I1971" t="str">
        <f>IF(Sheet1[[#This Row],[Month_Revenue]] &lt; AVERAGE(Sheet1[Month_Revenue]), "Off-Peak", "Peak")</f>
        <v>Off-Peak</v>
      </c>
      <c r="J1971">
        <f xml:space="preserve"> IF(Sheet1[[#This Row],[Ad Spend]] &gt; 0, (Sheet1[[#This Row],[Profit]] / Sheet1[[#This Row],[Ad Spend]]), 0)</f>
        <v>2.1812865497076022</v>
      </c>
      <c r="K1971">
        <f>Sheet1[[#This Row],[Revenue]]-Sheet1[[#This Row],[Ad Spend]]</f>
        <v>48.489999999999995</v>
      </c>
      <c r="L1971" s="2" t="s">
        <v>22</v>
      </c>
      <c r="M1971">
        <v>2</v>
      </c>
      <c r="N1971" s="2" t="s">
        <v>15</v>
      </c>
      <c r="O1971">
        <v>23.573333333333334</v>
      </c>
    </row>
    <row r="1972" spans="1:15" x14ac:dyDescent="0.3">
      <c r="A1972" s="1">
        <v>45389</v>
      </c>
      <c r="B1972" s="2" t="s">
        <v>20</v>
      </c>
      <c r="C1972" s="2" t="s">
        <v>12</v>
      </c>
      <c r="D1972" s="2" t="s">
        <v>18</v>
      </c>
      <c r="E1972">
        <v>163.26</v>
      </c>
      <c r="F1972">
        <v>5.16</v>
      </c>
      <c r="G1972">
        <v>2</v>
      </c>
      <c r="H1972">
        <f t="shared" si="30"/>
        <v>58562.910000000018</v>
      </c>
      <c r="I1972" t="str">
        <f>IF(Sheet1[[#This Row],[Month_Revenue]] &lt; AVERAGE(Sheet1[Month_Revenue]), "Off-Peak", "Peak")</f>
        <v>Peak</v>
      </c>
      <c r="J1972">
        <f xml:space="preserve"> IF(Sheet1[[#This Row],[Ad Spend]] &gt; 0, (Sheet1[[#This Row],[Profit]] / Sheet1[[#This Row],[Ad Spend]]), 0)</f>
        <v>30.639534883720927</v>
      </c>
      <c r="K1972">
        <f>Sheet1[[#This Row],[Revenue]]-Sheet1[[#This Row],[Ad Spend]]</f>
        <v>158.1</v>
      </c>
      <c r="L1972" s="2" t="s">
        <v>22</v>
      </c>
      <c r="M1972">
        <v>4</v>
      </c>
      <c r="N1972" s="2" t="s">
        <v>19</v>
      </c>
      <c r="O1972">
        <v>81.63</v>
      </c>
    </row>
    <row r="1973" spans="1:15" x14ac:dyDescent="0.3">
      <c r="A1973" s="1">
        <v>45316</v>
      </c>
      <c r="B1973" s="2" t="s">
        <v>24</v>
      </c>
      <c r="C1973" s="2" t="s">
        <v>12</v>
      </c>
      <c r="D1973" s="2" t="s">
        <v>13</v>
      </c>
      <c r="E1973">
        <v>45.44</v>
      </c>
      <c r="F1973">
        <v>17.97</v>
      </c>
      <c r="G1973">
        <v>1</v>
      </c>
      <c r="H1973">
        <f t="shared" si="30"/>
        <v>61207.979999999989</v>
      </c>
      <c r="I1973" t="str">
        <f>IF(Sheet1[[#This Row],[Month_Revenue]] &lt; AVERAGE(Sheet1[Month_Revenue]), "Off-Peak", "Peak")</f>
        <v>Peak</v>
      </c>
      <c r="J1973">
        <f xml:space="preserve"> IF(Sheet1[[#This Row],[Ad Spend]] &gt; 0, (Sheet1[[#This Row],[Profit]] / Sheet1[[#This Row],[Ad Spend]]), 0)</f>
        <v>1.528658875904285</v>
      </c>
      <c r="K1973">
        <f>Sheet1[[#This Row],[Revenue]]-Sheet1[[#This Row],[Ad Spend]]</f>
        <v>27.47</v>
      </c>
      <c r="L1973" s="2" t="s">
        <v>14</v>
      </c>
      <c r="M1973">
        <v>1</v>
      </c>
      <c r="N1973" s="2" t="s">
        <v>15</v>
      </c>
      <c r="O1973">
        <v>45.44</v>
      </c>
    </row>
    <row r="1974" spans="1:15" x14ac:dyDescent="0.3">
      <c r="A1974" s="1">
        <v>45365</v>
      </c>
      <c r="B1974" s="2" t="s">
        <v>23</v>
      </c>
      <c r="C1974" s="2" t="s">
        <v>17</v>
      </c>
      <c r="D1974" s="2" t="s">
        <v>18</v>
      </c>
      <c r="E1974">
        <v>100.3</v>
      </c>
      <c r="F1974">
        <v>10.9</v>
      </c>
      <c r="G1974">
        <v>0</v>
      </c>
      <c r="H1974">
        <f t="shared" si="30"/>
        <v>54735.250000000029</v>
      </c>
      <c r="I1974" t="str">
        <f>IF(Sheet1[[#This Row],[Month_Revenue]] &lt; AVERAGE(Sheet1[Month_Revenue]), "Off-Peak", "Peak")</f>
        <v>Off-Peak</v>
      </c>
      <c r="J1974">
        <f xml:space="preserve"> IF(Sheet1[[#This Row],[Ad Spend]] &gt; 0, (Sheet1[[#This Row],[Profit]] / Sheet1[[#This Row],[Ad Spend]]), 0)</f>
        <v>8.2018348623853203</v>
      </c>
      <c r="K1974">
        <f>Sheet1[[#This Row],[Revenue]]-Sheet1[[#This Row],[Ad Spend]]</f>
        <v>89.399999999999991</v>
      </c>
      <c r="L1974" s="2" t="s">
        <v>14</v>
      </c>
      <c r="M1974">
        <v>3</v>
      </c>
      <c r="N1974" s="2" t="s">
        <v>19</v>
      </c>
      <c r="O1974">
        <v>0</v>
      </c>
    </row>
    <row r="1975" spans="1:15" x14ac:dyDescent="0.3">
      <c r="A1975" s="1">
        <v>45301</v>
      </c>
      <c r="B1975" s="2" t="s">
        <v>24</v>
      </c>
      <c r="C1975" s="2" t="s">
        <v>21</v>
      </c>
      <c r="D1975" s="2" t="s">
        <v>13</v>
      </c>
      <c r="E1975">
        <v>102.01</v>
      </c>
      <c r="F1975">
        <v>12.16</v>
      </c>
      <c r="G1975">
        <v>2</v>
      </c>
      <c r="H1975">
        <f t="shared" si="30"/>
        <v>61207.979999999989</v>
      </c>
      <c r="I1975" t="str">
        <f>IF(Sheet1[[#This Row],[Month_Revenue]] &lt; AVERAGE(Sheet1[Month_Revenue]), "Off-Peak", "Peak")</f>
        <v>Peak</v>
      </c>
      <c r="J1975">
        <f xml:space="preserve"> IF(Sheet1[[#This Row],[Ad Spend]] &gt; 0, (Sheet1[[#This Row],[Profit]] / Sheet1[[#This Row],[Ad Spend]]), 0)</f>
        <v>7.3889802631578956</v>
      </c>
      <c r="K1975">
        <f>Sheet1[[#This Row],[Revenue]]-Sheet1[[#This Row],[Ad Spend]]</f>
        <v>89.850000000000009</v>
      </c>
      <c r="L1975" s="2" t="s">
        <v>22</v>
      </c>
      <c r="M1975">
        <v>1</v>
      </c>
      <c r="N1975" s="2" t="s">
        <v>15</v>
      </c>
      <c r="O1975">
        <v>51.005000000000003</v>
      </c>
    </row>
    <row r="1976" spans="1:15" x14ac:dyDescent="0.3">
      <c r="A1976" s="1">
        <v>45310</v>
      </c>
      <c r="B1976" s="2" t="s">
        <v>24</v>
      </c>
      <c r="C1976" s="2" t="s">
        <v>21</v>
      </c>
      <c r="D1976" s="2" t="s">
        <v>18</v>
      </c>
      <c r="E1976">
        <v>111.51</v>
      </c>
      <c r="F1976">
        <v>17.39</v>
      </c>
      <c r="G1976">
        <v>1</v>
      </c>
      <c r="H1976">
        <f t="shared" si="30"/>
        <v>61207.979999999989</v>
      </c>
      <c r="I1976" t="str">
        <f>IF(Sheet1[[#This Row],[Month_Revenue]] &lt; AVERAGE(Sheet1[Month_Revenue]), "Off-Peak", "Peak")</f>
        <v>Peak</v>
      </c>
      <c r="J1976">
        <f xml:space="preserve"> IF(Sheet1[[#This Row],[Ad Spend]] &gt; 0, (Sheet1[[#This Row],[Profit]] / Sheet1[[#This Row],[Ad Spend]]), 0)</f>
        <v>5.4123059229442205</v>
      </c>
      <c r="K1976">
        <f>Sheet1[[#This Row],[Revenue]]-Sheet1[[#This Row],[Ad Spend]]</f>
        <v>94.12</v>
      </c>
      <c r="L1976" s="2" t="s">
        <v>14</v>
      </c>
      <c r="M1976">
        <v>1</v>
      </c>
      <c r="N1976" s="2" t="s">
        <v>15</v>
      </c>
      <c r="O1976">
        <v>111.51</v>
      </c>
    </row>
    <row r="1977" spans="1:15" x14ac:dyDescent="0.3">
      <c r="A1977" s="1">
        <v>45366</v>
      </c>
      <c r="B1977" s="2" t="s">
        <v>11</v>
      </c>
      <c r="C1977" s="2" t="s">
        <v>21</v>
      </c>
      <c r="D1977" s="2" t="s">
        <v>13</v>
      </c>
      <c r="E1977">
        <v>30.93</v>
      </c>
      <c r="F1977">
        <v>9.9600000000000009</v>
      </c>
      <c r="G1977">
        <v>2</v>
      </c>
      <c r="H1977">
        <f t="shared" si="30"/>
        <v>54735.250000000029</v>
      </c>
      <c r="I1977" t="str">
        <f>IF(Sheet1[[#This Row],[Month_Revenue]] &lt; AVERAGE(Sheet1[Month_Revenue]), "Off-Peak", "Peak")</f>
        <v>Off-Peak</v>
      </c>
      <c r="J1977">
        <f xml:space="preserve"> IF(Sheet1[[#This Row],[Ad Spend]] &gt; 0, (Sheet1[[#This Row],[Profit]] / Sheet1[[#This Row],[Ad Spend]]), 0)</f>
        <v>2.1054216867469875</v>
      </c>
      <c r="K1977">
        <f>Sheet1[[#This Row],[Revenue]]-Sheet1[[#This Row],[Ad Spend]]</f>
        <v>20.97</v>
      </c>
      <c r="L1977" s="2" t="s">
        <v>22</v>
      </c>
      <c r="M1977">
        <v>3</v>
      </c>
      <c r="N1977" s="2" t="s">
        <v>19</v>
      </c>
      <c r="O1977">
        <v>15.465</v>
      </c>
    </row>
    <row r="1978" spans="1:15" x14ac:dyDescent="0.3">
      <c r="A1978" s="1">
        <v>45347</v>
      </c>
      <c r="B1978" s="2" t="s">
        <v>16</v>
      </c>
      <c r="C1978" s="2" t="s">
        <v>17</v>
      </c>
      <c r="D1978" s="2" t="s">
        <v>13</v>
      </c>
      <c r="E1978">
        <v>73.209999999999994</v>
      </c>
      <c r="F1978">
        <v>17.68</v>
      </c>
      <c r="G1978">
        <v>1</v>
      </c>
      <c r="H1978">
        <f t="shared" si="30"/>
        <v>48675.899999999936</v>
      </c>
      <c r="I1978" t="str">
        <f>IF(Sheet1[[#This Row],[Month_Revenue]] &lt; AVERAGE(Sheet1[Month_Revenue]), "Off-Peak", "Peak")</f>
        <v>Off-Peak</v>
      </c>
      <c r="J1978">
        <f xml:space="preserve"> IF(Sheet1[[#This Row],[Ad Spend]] &gt; 0, (Sheet1[[#This Row],[Profit]] / Sheet1[[#This Row],[Ad Spend]]), 0)</f>
        <v>3.1408371040723977</v>
      </c>
      <c r="K1978">
        <f>Sheet1[[#This Row],[Revenue]]-Sheet1[[#This Row],[Ad Spend]]</f>
        <v>55.529999999999994</v>
      </c>
      <c r="L1978" s="2" t="s">
        <v>14</v>
      </c>
      <c r="M1978">
        <v>2</v>
      </c>
      <c r="N1978" s="2" t="s">
        <v>15</v>
      </c>
      <c r="O1978">
        <v>73.209999999999994</v>
      </c>
    </row>
    <row r="1979" spans="1:15" x14ac:dyDescent="0.3">
      <c r="A1979" s="1">
        <v>45352</v>
      </c>
      <c r="B1979" s="2" t="s">
        <v>20</v>
      </c>
      <c r="C1979" s="2" t="s">
        <v>21</v>
      </c>
      <c r="D1979" s="2" t="s">
        <v>18</v>
      </c>
      <c r="E1979">
        <v>87.25</v>
      </c>
      <c r="F1979">
        <v>43.81</v>
      </c>
      <c r="G1979">
        <v>1</v>
      </c>
      <c r="H1979">
        <f t="shared" si="30"/>
        <v>54735.250000000029</v>
      </c>
      <c r="I1979" t="str">
        <f>IF(Sheet1[[#This Row],[Month_Revenue]] &lt; AVERAGE(Sheet1[Month_Revenue]), "Off-Peak", "Peak")</f>
        <v>Off-Peak</v>
      </c>
      <c r="J1979">
        <f xml:space="preserve"> IF(Sheet1[[#This Row],[Ad Spend]] &gt; 0, (Sheet1[[#This Row],[Profit]] / Sheet1[[#This Row],[Ad Spend]]), 0)</f>
        <v>0.99155443962565615</v>
      </c>
      <c r="K1979">
        <f>Sheet1[[#This Row],[Revenue]]-Sheet1[[#This Row],[Ad Spend]]</f>
        <v>43.44</v>
      </c>
      <c r="L1979" s="2" t="s">
        <v>14</v>
      </c>
      <c r="M1979">
        <v>3</v>
      </c>
      <c r="N1979" s="2" t="s">
        <v>19</v>
      </c>
      <c r="O1979">
        <v>87.25</v>
      </c>
    </row>
    <row r="1980" spans="1:15" x14ac:dyDescent="0.3">
      <c r="A1980" s="1">
        <v>45412</v>
      </c>
      <c r="B1980" s="2" t="s">
        <v>11</v>
      </c>
      <c r="C1980" s="2" t="s">
        <v>12</v>
      </c>
      <c r="D1980" s="2" t="s">
        <v>18</v>
      </c>
      <c r="E1980">
        <v>177.51</v>
      </c>
      <c r="F1980">
        <v>48.56</v>
      </c>
      <c r="G1980">
        <v>2</v>
      </c>
      <c r="H1980">
        <f t="shared" si="30"/>
        <v>58562.910000000018</v>
      </c>
      <c r="I1980" t="str">
        <f>IF(Sheet1[[#This Row],[Month_Revenue]] &lt; AVERAGE(Sheet1[Month_Revenue]), "Off-Peak", "Peak")</f>
        <v>Peak</v>
      </c>
      <c r="J1980">
        <f xml:space="preserve"> IF(Sheet1[[#This Row],[Ad Spend]] &gt; 0, (Sheet1[[#This Row],[Profit]] / Sheet1[[#This Row],[Ad Spend]]), 0)</f>
        <v>2.6554777594728169</v>
      </c>
      <c r="K1980">
        <f>Sheet1[[#This Row],[Revenue]]-Sheet1[[#This Row],[Ad Spend]]</f>
        <v>128.94999999999999</v>
      </c>
      <c r="L1980" s="2" t="s">
        <v>22</v>
      </c>
      <c r="M1980">
        <v>4</v>
      </c>
      <c r="N1980" s="2" t="s">
        <v>19</v>
      </c>
      <c r="O1980">
        <v>88.754999999999995</v>
      </c>
    </row>
    <row r="1981" spans="1:15" x14ac:dyDescent="0.3">
      <c r="A1981" s="1">
        <v>45404</v>
      </c>
      <c r="B1981" s="2" t="s">
        <v>24</v>
      </c>
      <c r="C1981" s="2" t="s">
        <v>17</v>
      </c>
      <c r="D1981" s="2" t="s">
        <v>18</v>
      </c>
      <c r="E1981">
        <v>83.74</v>
      </c>
      <c r="F1981">
        <v>39.380000000000003</v>
      </c>
      <c r="G1981">
        <v>1</v>
      </c>
      <c r="H1981">
        <f t="shared" si="30"/>
        <v>58562.910000000018</v>
      </c>
      <c r="I1981" t="str">
        <f>IF(Sheet1[[#This Row],[Month_Revenue]] &lt; AVERAGE(Sheet1[Month_Revenue]), "Off-Peak", "Peak")</f>
        <v>Peak</v>
      </c>
      <c r="J1981">
        <f xml:space="preserve"> IF(Sheet1[[#This Row],[Ad Spend]] &gt; 0, (Sheet1[[#This Row],[Profit]] / Sheet1[[#This Row],[Ad Spend]]), 0)</f>
        <v>1.126460132046724</v>
      </c>
      <c r="K1981">
        <f>Sheet1[[#This Row],[Revenue]]-Sheet1[[#This Row],[Ad Spend]]</f>
        <v>44.359999999999992</v>
      </c>
      <c r="L1981" s="2" t="s">
        <v>22</v>
      </c>
      <c r="M1981">
        <v>4</v>
      </c>
      <c r="N1981" s="2" t="s">
        <v>19</v>
      </c>
      <c r="O1981">
        <v>83.74</v>
      </c>
    </row>
    <row r="1982" spans="1:15" x14ac:dyDescent="0.3">
      <c r="A1982" s="1">
        <v>45306</v>
      </c>
      <c r="B1982" s="2" t="s">
        <v>16</v>
      </c>
      <c r="C1982" s="2" t="s">
        <v>17</v>
      </c>
      <c r="D1982" s="2" t="s">
        <v>13</v>
      </c>
      <c r="E1982">
        <v>28.91</v>
      </c>
      <c r="F1982">
        <v>45.54</v>
      </c>
      <c r="G1982">
        <v>3</v>
      </c>
      <c r="H1982">
        <f t="shared" si="30"/>
        <v>61207.979999999989</v>
      </c>
      <c r="I1982" t="str">
        <f>IF(Sheet1[[#This Row],[Month_Revenue]] &lt; AVERAGE(Sheet1[Month_Revenue]), "Off-Peak", "Peak")</f>
        <v>Peak</v>
      </c>
      <c r="J1982">
        <f xml:space="preserve"> IF(Sheet1[[#This Row],[Ad Spend]] &gt; 0, (Sheet1[[#This Row],[Profit]] / Sheet1[[#This Row],[Ad Spend]]), 0)</f>
        <v>-0.36517347386912602</v>
      </c>
      <c r="K1982">
        <f>Sheet1[[#This Row],[Revenue]]-Sheet1[[#This Row],[Ad Spend]]</f>
        <v>-16.63</v>
      </c>
      <c r="L1982" s="2" t="s">
        <v>14</v>
      </c>
      <c r="M1982">
        <v>1</v>
      </c>
      <c r="N1982" s="2" t="s">
        <v>15</v>
      </c>
      <c r="O1982">
        <v>9.6366666666666667</v>
      </c>
    </row>
    <row r="1983" spans="1:15" x14ac:dyDescent="0.3">
      <c r="A1983" s="1">
        <v>45321</v>
      </c>
      <c r="B1983" s="2" t="s">
        <v>24</v>
      </c>
      <c r="C1983" s="2" t="s">
        <v>12</v>
      </c>
      <c r="D1983" s="2" t="s">
        <v>13</v>
      </c>
      <c r="E1983">
        <v>115.17</v>
      </c>
      <c r="F1983">
        <v>16.989999999999998</v>
      </c>
      <c r="G1983">
        <v>2</v>
      </c>
      <c r="H1983">
        <f t="shared" si="30"/>
        <v>61207.979999999989</v>
      </c>
      <c r="I1983" t="str">
        <f>IF(Sheet1[[#This Row],[Month_Revenue]] &lt; AVERAGE(Sheet1[Month_Revenue]), "Off-Peak", "Peak")</f>
        <v>Peak</v>
      </c>
      <c r="J1983">
        <f xml:space="preserve"> IF(Sheet1[[#This Row],[Ad Spend]] &gt; 0, (Sheet1[[#This Row],[Profit]] / Sheet1[[#This Row],[Ad Spend]]), 0)</f>
        <v>5.778693349028841</v>
      </c>
      <c r="K1983">
        <f>Sheet1[[#This Row],[Revenue]]-Sheet1[[#This Row],[Ad Spend]]</f>
        <v>98.18</v>
      </c>
      <c r="L1983" s="2" t="s">
        <v>22</v>
      </c>
      <c r="M1983">
        <v>1</v>
      </c>
      <c r="N1983" s="2" t="s">
        <v>15</v>
      </c>
      <c r="O1983">
        <v>57.585000000000001</v>
      </c>
    </row>
    <row r="1984" spans="1:15" x14ac:dyDescent="0.3">
      <c r="A1984" s="1">
        <v>45321</v>
      </c>
      <c r="B1984" s="2" t="s">
        <v>24</v>
      </c>
      <c r="C1984" s="2" t="s">
        <v>21</v>
      </c>
      <c r="D1984" s="2" t="s">
        <v>13</v>
      </c>
      <c r="E1984">
        <v>124.39</v>
      </c>
      <c r="F1984">
        <v>30.57</v>
      </c>
      <c r="G1984">
        <v>3</v>
      </c>
      <c r="H1984">
        <f t="shared" si="30"/>
        <v>61207.979999999989</v>
      </c>
      <c r="I1984" t="str">
        <f>IF(Sheet1[[#This Row],[Month_Revenue]] &lt; AVERAGE(Sheet1[Month_Revenue]), "Off-Peak", "Peak")</f>
        <v>Peak</v>
      </c>
      <c r="J1984">
        <f xml:space="preserve"> IF(Sheet1[[#This Row],[Ad Spend]] &gt; 0, (Sheet1[[#This Row],[Profit]] / Sheet1[[#This Row],[Ad Spend]]), 0)</f>
        <v>3.0690219169120048</v>
      </c>
      <c r="K1984">
        <f>Sheet1[[#This Row],[Revenue]]-Sheet1[[#This Row],[Ad Spend]]</f>
        <v>93.82</v>
      </c>
      <c r="L1984" s="2" t="s">
        <v>22</v>
      </c>
      <c r="M1984">
        <v>1</v>
      </c>
      <c r="N1984" s="2" t="s">
        <v>15</v>
      </c>
      <c r="O1984">
        <v>41.463333333333331</v>
      </c>
    </row>
    <row r="1985" spans="1:15" x14ac:dyDescent="0.3">
      <c r="A1985" s="1">
        <v>45306</v>
      </c>
      <c r="B1985" s="2" t="s">
        <v>16</v>
      </c>
      <c r="C1985" s="2" t="s">
        <v>12</v>
      </c>
      <c r="D1985" s="2" t="s">
        <v>13</v>
      </c>
      <c r="E1985">
        <v>129.47999999999999</v>
      </c>
      <c r="F1985">
        <v>30.56</v>
      </c>
      <c r="G1985">
        <v>0</v>
      </c>
      <c r="H1985">
        <f t="shared" si="30"/>
        <v>61207.979999999989</v>
      </c>
      <c r="I1985" t="str">
        <f>IF(Sheet1[[#This Row],[Month_Revenue]] &lt; AVERAGE(Sheet1[Month_Revenue]), "Off-Peak", "Peak")</f>
        <v>Peak</v>
      </c>
      <c r="J1985">
        <f xml:space="preserve"> IF(Sheet1[[#This Row],[Ad Spend]] &gt; 0, (Sheet1[[#This Row],[Profit]] / Sheet1[[#This Row],[Ad Spend]]), 0)</f>
        <v>3.2369109947643975</v>
      </c>
      <c r="K1985">
        <f>Sheet1[[#This Row],[Revenue]]-Sheet1[[#This Row],[Ad Spend]]</f>
        <v>98.919999999999987</v>
      </c>
      <c r="L1985" s="2" t="s">
        <v>22</v>
      </c>
      <c r="M1985">
        <v>1</v>
      </c>
      <c r="N1985" s="2" t="s">
        <v>15</v>
      </c>
      <c r="O1985">
        <v>0</v>
      </c>
    </row>
    <row r="1986" spans="1:15" x14ac:dyDescent="0.3">
      <c r="A1986" s="1">
        <v>45316</v>
      </c>
      <c r="B1986" s="2" t="s">
        <v>11</v>
      </c>
      <c r="C1986" s="2" t="s">
        <v>12</v>
      </c>
      <c r="D1986" s="2" t="s">
        <v>13</v>
      </c>
      <c r="E1986">
        <v>56.78</v>
      </c>
      <c r="F1986">
        <v>21.53</v>
      </c>
      <c r="G1986">
        <v>1</v>
      </c>
      <c r="H1986">
        <f t="shared" ref="H1986:H2001" si="31">SUMIFS($E$2:$E$2001, $M$2:$M$2001, M1986)</f>
        <v>61207.979999999989</v>
      </c>
      <c r="I1986" t="str">
        <f>IF(Sheet1[[#This Row],[Month_Revenue]] &lt; AVERAGE(Sheet1[Month_Revenue]), "Off-Peak", "Peak")</f>
        <v>Peak</v>
      </c>
      <c r="J1986">
        <f xml:space="preserve"> IF(Sheet1[[#This Row],[Ad Spend]] &gt; 0, (Sheet1[[#This Row],[Profit]] / Sheet1[[#This Row],[Ad Spend]]), 0)</f>
        <v>1.6372503483511378</v>
      </c>
      <c r="K1986">
        <f>Sheet1[[#This Row],[Revenue]]-Sheet1[[#This Row],[Ad Spend]]</f>
        <v>35.25</v>
      </c>
      <c r="L1986" s="2" t="s">
        <v>22</v>
      </c>
      <c r="M1986">
        <v>1</v>
      </c>
      <c r="N1986" s="2" t="s">
        <v>15</v>
      </c>
      <c r="O1986">
        <v>56.78</v>
      </c>
    </row>
    <row r="1987" spans="1:15" x14ac:dyDescent="0.3">
      <c r="A1987" s="1">
        <v>45409</v>
      </c>
      <c r="B1987" s="2" t="s">
        <v>23</v>
      </c>
      <c r="C1987" s="2" t="s">
        <v>12</v>
      </c>
      <c r="D1987" s="2" t="s">
        <v>18</v>
      </c>
      <c r="E1987">
        <v>111.34</v>
      </c>
      <c r="F1987">
        <v>27.11</v>
      </c>
      <c r="G1987">
        <v>3</v>
      </c>
      <c r="H1987">
        <f t="shared" si="31"/>
        <v>58562.910000000018</v>
      </c>
      <c r="I1987" t="str">
        <f>IF(Sheet1[[#This Row],[Month_Revenue]] &lt; AVERAGE(Sheet1[Month_Revenue]), "Off-Peak", "Peak")</f>
        <v>Peak</v>
      </c>
      <c r="J1987">
        <f xml:space="preserve"> IF(Sheet1[[#This Row],[Ad Spend]] &gt; 0, (Sheet1[[#This Row],[Profit]] / Sheet1[[#This Row],[Ad Spend]]), 0)</f>
        <v>3.1069715971966065</v>
      </c>
      <c r="K1987">
        <f>Sheet1[[#This Row],[Revenue]]-Sheet1[[#This Row],[Ad Spend]]</f>
        <v>84.23</v>
      </c>
      <c r="L1987" s="2" t="s">
        <v>14</v>
      </c>
      <c r="M1987">
        <v>4</v>
      </c>
      <c r="N1987" s="2" t="s">
        <v>19</v>
      </c>
      <c r="O1987">
        <v>37.113333333333337</v>
      </c>
    </row>
    <row r="1988" spans="1:15" x14ac:dyDescent="0.3">
      <c r="A1988" s="1">
        <v>45372</v>
      </c>
      <c r="B1988" s="2" t="s">
        <v>24</v>
      </c>
      <c r="C1988" s="2" t="s">
        <v>21</v>
      </c>
      <c r="D1988" s="2" t="s">
        <v>13</v>
      </c>
      <c r="E1988">
        <v>165.9</v>
      </c>
      <c r="F1988">
        <v>5.35</v>
      </c>
      <c r="G1988">
        <v>1</v>
      </c>
      <c r="H1988">
        <f t="shared" si="31"/>
        <v>54735.250000000029</v>
      </c>
      <c r="I1988" t="str">
        <f>IF(Sheet1[[#This Row],[Month_Revenue]] &lt; AVERAGE(Sheet1[Month_Revenue]), "Off-Peak", "Peak")</f>
        <v>Off-Peak</v>
      </c>
      <c r="J1988">
        <f xml:space="preserve"> IF(Sheet1[[#This Row],[Ad Spend]] &gt; 0, (Sheet1[[#This Row],[Profit]] / Sheet1[[#This Row],[Ad Spend]]), 0)</f>
        <v>30.009345794392527</v>
      </c>
      <c r="K1988">
        <f>Sheet1[[#This Row],[Revenue]]-Sheet1[[#This Row],[Ad Spend]]</f>
        <v>160.55000000000001</v>
      </c>
      <c r="L1988" s="2" t="s">
        <v>14</v>
      </c>
      <c r="M1988">
        <v>3</v>
      </c>
      <c r="N1988" s="2" t="s">
        <v>19</v>
      </c>
      <c r="O1988">
        <v>165.9</v>
      </c>
    </row>
    <row r="1989" spans="1:15" x14ac:dyDescent="0.3">
      <c r="A1989" s="1">
        <v>45401</v>
      </c>
      <c r="B1989" s="2" t="s">
        <v>23</v>
      </c>
      <c r="C1989" s="2" t="s">
        <v>21</v>
      </c>
      <c r="D1989" s="2" t="s">
        <v>13</v>
      </c>
      <c r="E1989">
        <v>122.08</v>
      </c>
      <c r="F1989">
        <v>18.97</v>
      </c>
      <c r="G1989">
        <v>2</v>
      </c>
      <c r="H1989">
        <f t="shared" si="31"/>
        <v>58562.910000000018</v>
      </c>
      <c r="I1989" t="str">
        <f>IF(Sheet1[[#This Row],[Month_Revenue]] &lt; AVERAGE(Sheet1[Month_Revenue]), "Off-Peak", "Peak")</f>
        <v>Peak</v>
      </c>
      <c r="J1989">
        <f xml:space="preserve"> IF(Sheet1[[#This Row],[Ad Spend]] &gt; 0, (Sheet1[[#This Row],[Profit]] / Sheet1[[#This Row],[Ad Spend]]), 0)</f>
        <v>5.4354243542435423</v>
      </c>
      <c r="K1989">
        <f>Sheet1[[#This Row],[Revenue]]-Sheet1[[#This Row],[Ad Spend]]</f>
        <v>103.11</v>
      </c>
      <c r="L1989" s="2" t="s">
        <v>22</v>
      </c>
      <c r="M1989">
        <v>4</v>
      </c>
      <c r="N1989" s="2" t="s">
        <v>19</v>
      </c>
      <c r="O1989">
        <v>61.04</v>
      </c>
    </row>
    <row r="1990" spans="1:15" x14ac:dyDescent="0.3">
      <c r="A1990" s="1">
        <v>45351</v>
      </c>
      <c r="B1990" s="2" t="s">
        <v>16</v>
      </c>
      <c r="C1990" s="2" t="s">
        <v>21</v>
      </c>
      <c r="D1990" s="2" t="s">
        <v>13</v>
      </c>
      <c r="E1990">
        <v>136.79</v>
      </c>
      <c r="F1990">
        <v>40.79</v>
      </c>
      <c r="G1990">
        <v>0</v>
      </c>
      <c r="H1990">
        <f t="shared" si="31"/>
        <v>48675.899999999936</v>
      </c>
      <c r="I1990" t="str">
        <f>IF(Sheet1[[#This Row],[Month_Revenue]] &lt; AVERAGE(Sheet1[Month_Revenue]), "Off-Peak", "Peak")</f>
        <v>Off-Peak</v>
      </c>
      <c r="J1990">
        <f xml:space="preserve"> IF(Sheet1[[#This Row],[Ad Spend]] &gt; 0, (Sheet1[[#This Row],[Profit]] / Sheet1[[#This Row],[Ad Spend]]), 0)</f>
        <v>2.3535180191223342</v>
      </c>
      <c r="K1990">
        <f>Sheet1[[#This Row],[Revenue]]-Sheet1[[#This Row],[Ad Spend]]</f>
        <v>96</v>
      </c>
      <c r="L1990" s="2" t="s">
        <v>14</v>
      </c>
      <c r="M1990">
        <v>2</v>
      </c>
      <c r="N1990" s="2" t="s">
        <v>15</v>
      </c>
      <c r="O1990">
        <v>0</v>
      </c>
    </row>
    <row r="1991" spans="1:15" x14ac:dyDescent="0.3">
      <c r="A1991" s="1">
        <v>45360</v>
      </c>
      <c r="B1991" s="2" t="s">
        <v>11</v>
      </c>
      <c r="C1991" s="2" t="s">
        <v>12</v>
      </c>
      <c r="D1991" s="2" t="s">
        <v>13</v>
      </c>
      <c r="E1991">
        <v>131.19999999999999</v>
      </c>
      <c r="F1991">
        <v>27.76</v>
      </c>
      <c r="G1991">
        <v>0</v>
      </c>
      <c r="H1991">
        <f t="shared" si="31"/>
        <v>54735.250000000029</v>
      </c>
      <c r="I1991" t="str">
        <f>IF(Sheet1[[#This Row],[Month_Revenue]] &lt; AVERAGE(Sheet1[Month_Revenue]), "Off-Peak", "Peak")</f>
        <v>Off-Peak</v>
      </c>
      <c r="J1991">
        <f xml:space="preserve"> IF(Sheet1[[#This Row],[Ad Spend]] &gt; 0, (Sheet1[[#This Row],[Profit]] / Sheet1[[#This Row],[Ad Spend]]), 0)</f>
        <v>3.7262247838616709</v>
      </c>
      <c r="K1991">
        <f>Sheet1[[#This Row],[Revenue]]-Sheet1[[#This Row],[Ad Spend]]</f>
        <v>103.43999999999998</v>
      </c>
      <c r="L1991" s="2" t="s">
        <v>22</v>
      </c>
      <c r="M1991">
        <v>3</v>
      </c>
      <c r="N1991" s="2" t="s">
        <v>19</v>
      </c>
      <c r="O1991">
        <v>0</v>
      </c>
    </row>
    <row r="1992" spans="1:15" x14ac:dyDescent="0.3">
      <c r="A1992" s="1">
        <v>45405</v>
      </c>
      <c r="B1992" s="2" t="s">
        <v>24</v>
      </c>
      <c r="C1992" s="2" t="s">
        <v>21</v>
      </c>
      <c r="D1992" s="2" t="s">
        <v>18</v>
      </c>
      <c r="E1992">
        <v>33.9</v>
      </c>
      <c r="F1992">
        <v>19.13</v>
      </c>
      <c r="G1992">
        <v>2</v>
      </c>
      <c r="H1992">
        <f t="shared" si="31"/>
        <v>58562.910000000018</v>
      </c>
      <c r="I1992" t="str">
        <f>IF(Sheet1[[#This Row],[Month_Revenue]] &lt; AVERAGE(Sheet1[Month_Revenue]), "Off-Peak", "Peak")</f>
        <v>Peak</v>
      </c>
      <c r="J1992">
        <f xml:space="preserve"> IF(Sheet1[[#This Row],[Ad Spend]] &gt; 0, (Sheet1[[#This Row],[Profit]] / Sheet1[[#This Row],[Ad Spend]]), 0)</f>
        <v>0.77208572922111873</v>
      </c>
      <c r="K1992">
        <f>Sheet1[[#This Row],[Revenue]]-Sheet1[[#This Row],[Ad Spend]]</f>
        <v>14.77</v>
      </c>
      <c r="L1992" s="2" t="s">
        <v>22</v>
      </c>
      <c r="M1992">
        <v>4</v>
      </c>
      <c r="N1992" s="2" t="s">
        <v>19</v>
      </c>
      <c r="O1992">
        <v>16.95</v>
      </c>
    </row>
    <row r="1993" spans="1:15" x14ac:dyDescent="0.3">
      <c r="A1993" s="1">
        <v>45310</v>
      </c>
      <c r="B1993" s="2" t="s">
        <v>16</v>
      </c>
      <c r="C1993" s="2" t="s">
        <v>12</v>
      </c>
      <c r="D1993" s="2" t="s">
        <v>18</v>
      </c>
      <c r="E1993">
        <v>143.57</v>
      </c>
      <c r="F1993">
        <v>45.5</v>
      </c>
      <c r="G1993">
        <v>0</v>
      </c>
      <c r="H1993">
        <f t="shared" si="31"/>
        <v>61207.979999999989</v>
      </c>
      <c r="I1993" t="str">
        <f>IF(Sheet1[[#This Row],[Month_Revenue]] &lt; AVERAGE(Sheet1[Month_Revenue]), "Off-Peak", "Peak")</f>
        <v>Peak</v>
      </c>
      <c r="J1993">
        <f xml:space="preserve"> IF(Sheet1[[#This Row],[Ad Spend]] &gt; 0, (Sheet1[[#This Row],[Profit]] / Sheet1[[#This Row],[Ad Spend]]), 0)</f>
        <v>2.1553846153846155</v>
      </c>
      <c r="K1993">
        <f>Sheet1[[#This Row],[Revenue]]-Sheet1[[#This Row],[Ad Spend]]</f>
        <v>98.07</v>
      </c>
      <c r="L1993" s="2" t="s">
        <v>14</v>
      </c>
      <c r="M1993">
        <v>1</v>
      </c>
      <c r="N1993" s="2" t="s">
        <v>15</v>
      </c>
      <c r="O1993">
        <v>0</v>
      </c>
    </row>
    <row r="1994" spans="1:15" x14ac:dyDescent="0.3">
      <c r="A1994" s="1">
        <v>45363</v>
      </c>
      <c r="B1994" s="2" t="s">
        <v>24</v>
      </c>
      <c r="C1994" s="2" t="s">
        <v>17</v>
      </c>
      <c r="D1994" s="2" t="s">
        <v>13</v>
      </c>
      <c r="E1994">
        <v>176.91</v>
      </c>
      <c r="F1994">
        <v>6.89</v>
      </c>
      <c r="G1994">
        <v>1</v>
      </c>
      <c r="H1994">
        <f t="shared" si="31"/>
        <v>54735.250000000029</v>
      </c>
      <c r="I1994" t="str">
        <f>IF(Sheet1[[#This Row],[Month_Revenue]] &lt; AVERAGE(Sheet1[Month_Revenue]), "Off-Peak", "Peak")</f>
        <v>Off-Peak</v>
      </c>
      <c r="J1994">
        <f xml:space="preserve"> IF(Sheet1[[#This Row],[Ad Spend]] &gt; 0, (Sheet1[[#This Row],[Profit]] / Sheet1[[#This Row],[Ad Spend]]), 0)</f>
        <v>24.676342525399132</v>
      </c>
      <c r="K1994">
        <f>Sheet1[[#This Row],[Revenue]]-Sheet1[[#This Row],[Ad Spend]]</f>
        <v>170.02</v>
      </c>
      <c r="L1994" s="2" t="s">
        <v>14</v>
      </c>
      <c r="M1994">
        <v>3</v>
      </c>
      <c r="N1994" s="2" t="s">
        <v>19</v>
      </c>
      <c r="O1994">
        <v>176.91</v>
      </c>
    </row>
    <row r="1995" spans="1:15" x14ac:dyDescent="0.3">
      <c r="A1995" s="1">
        <v>45364</v>
      </c>
      <c r="B1995" s="2" t="s">
        <v>16</v>
      </c>
      <c r="C1995" s="2" t="s">
        <v>21</v>
      </c>
      <c r="D1995" s="2" t="s">
        <v>18</v>
      </c>
      <c r="E1995">
        <v>109.94</v>
      </c>
      <c r="F1995">
        <v>32.659999999999997</v>
      </c>
      <c r="G1995">
        <v>0</v>
      </c>
      <c r="H1995">
        <f t="shared" si="31"/>
        <v>54735.250000000029</v>
      </c>
      <c r="I1995" t="str">
        <f>IF(Sheet1[[#This Row],[Month_Revenue]] &lt; AVERAGE(Sheet1[Month_Revenue]), "Off-Peak", "Peak")</f>
        <v>Off-Peak</v>
      </c>
      <c r="J1995">
        <f xml:space="preserve"> IF(Sheet1[[#This Row],[Ad Spend]] &gt; 0, (Sheet1[[#This Row],[Profit]] / Sheet1[[#This Row],[Ad Spend]]), 0)</f>
        <v>2.3661971830985919</v>
      </c>
      <c r="K1995">
        <f>Sheet1[[#This Row],[Revenue]]-Sheet1[[#This Row],[Ad Spend]]</f>
        <v>77.28</v>
      </c>
      <c r="L1995" s="2" t="s">
        <v>14</v>
      </c>
      <c r="M1995">
        <v>3</v>
      </c>
      <c r="N1995" s="2" t="s">
        <v>19</v>
      </c>
      <c r="O1995">
        <v>0</v>
      </c>
    </row>
    <row r="1996" spans="1:15" x14ac:dyDescent="0.3">
      <c r="A1996" s="1">
        <v>45347</v>
      </c>
      <c r="B1996" s="2" t="s">
        <v>24</v>
      </c>
      <c r="C1996" s="2" t="s">
        <v>17</v>
      </c>
      <c r="D1996" s="2" t="s">
        <v>13</v>
      </c>
      <c r="E1996">
        <v>113.45</v>
      </c>
      <c r="F1996">
        <v>21.86</v>
      </c>
      <c r="G1996">
        <v>2</v>
      </c>
      <c r="H1996">
        <f t="shared" si="31"/>
        <v>48675.899999999936</v>
      </c>
      <c r="I1996" t="str">
        <f>IF(Sheet1[[#This Row],[Month_Revenue]] &lt; AVERAGE(Sheet1[Month_Revenue]), "Off-Peak", "Peak")</f>
        <v>Off-Peak</v>
      </c>
      <c r="J1996">
        <f xml:space="preserve"> IF(Sheet1[[#This Row],[Ad Spend]] &gt; 0, (Sheet1[[#This Row],[Profit]] / Sheet1[[#This Row],[Ad Spend]]), 0)</f>
        <v>4.1898444647758462</v>
      </c>
      <c r="K1996">
        <f>Sheet1[[#This Row],[Revenue]]-Sheet1[[#This Row],[Ad Spend]]</f>
        <v>91.59</v>
      </c>
      <c r="L1996" s="2" t="s">
        <v>14</v>
      </c>
      <c r="M1996">
        <v>2</v>
      </c>
      <c r="N1996" s="2" t="s">
        <v>15</v>
      </c>
      <c r="O1996">
        <v>56.725000000000001</v>
      </c>
    </row>
    <row r="1997" spans="1:15" x14ac:dyDescent="0.3">
      <c r="A1997" s="1">
        <v>45379</v>
      </c>
      <c r="B1997" s="2" t="s">
        <v>20</v>
      </c>
      <c r="C1997" s="2" t="s">
        <v>12</v>
      </c>
      <c r="D1997" s="2" t="s">
        <v>18</v>
      </c>
      <c r="E1997">
        <v>49.82</v>
      </c>
      <c r="F1997">
        <v>42.69</v>
      </c>
      <c r="G1997">
        <v>0</v>
      </c>
      <c r="H1997">
        <f t="shared" si="31"/>
        <v>54735.250000000029</v>
      </c>
      <c r="I1997" t="str">
        <f>IF(Sheet1[[#This Row],[Month_Revenue]] &lt; AVERAGE(Sheet1[Month_Revenue]), "Off-Peak", "Peak")</f>
        <v>Off-Peak</v>
      </c>
      <c r="J1997">
        <f xml:space="preserve"> IF(Sheet1[[#This Row],[Ad Spend]] &gt; 0, (Sheet1[[#This Row],[Profit]] / Sheet1[[#This Row],[Ad Spend]]), 0)</f>
        <v>0.16701803701100967</v>
      </c>
      <c r="K1997">
        <f>Sheet1[[#This Row],[Revenue]]-Sheet1[[#This Row],[Ad Spend]]</f>
        <v>7.1300000000000026</v>
      </c>
      <c r="L1997" s="2" t="s">
        <v>14</v>
      </c>
      <c r="M1997">
        <v>3</v>
      </c>
      <c r="N1997" s="2" t="s">
        <v>19</v>
      </c>
      <c r="O1997">
        <v>0</v>
      </c>
    </row>
    <row r="1998" spans="1:15" x14ac:dyDescent="0.3">
      <c r="A1998" s="1">
        <v>45305</v>
      </c>
      <c r="B1998" s="2" t="s">
        <v>11</v>
      </c>
      <c r="C1998" s="2" t="s">
        <v>12</v>
      </c>
      <c r="D1998" s="2" t="s">
        <v>13</v>
      </c>
      <c r="E1998">
        <v>178.41</v>
      </c>
      <c r="F1998">
        <v>9.1</v>
      </c>
      <c r="G1998">
        <v>2</v>
      </c>
      <c r="H1998">
        <f t="shared" si="31"/>
        <v>61207.979999999989</v>
      </c>
      <c r="I1998" t="str">
        <f>IF(Sheet1[[#This Row],[Month_Revenue]] &lt; AVERAGE(Sheet1[Month_Revenue]), "Off-Peak", "Peak")</f>
        <v>Peak</v>
      </c>
      <c r="J1998">
        <f xml:space="preserve"> IF(Sheet1[[#This Row],[Ad Spend]] &gt; 0, (Sheet1[[#This Row],[Profit]] / Sheet1[[#This Row],[Ad Spend]]), 0)</f>
        <v>18.605494505494505</v>
      </c>
      <c r="K1998">
        <f>Sheet1[[#This Row],[Revenue]]-Sheet1[[#This Row],[Ad Spend]]</f>
        <v>169.31</v>
      </c>
      <c r="L1998" s="2" t="s">
        <v>22</v>
      </c>
      <c r="M1998">
        <v>1</v>
      </c>
      <c r="N1998" s="2" t="s">
        <v>15</v>
      </c>
      <c r="O1998">
        <v>89.204999999999998</v>
      </c>
    </row>
    <row r="1999" spans="1:15" x14ac:dyDescent="0.3">
      <c r="A1999" s="1">
        <v>45301</v>
      </c>
      <c r="B1999" s="2" t="s">
        <v>16</v>
      </c>
      <c r="C1999" s="2" t="s">
        <v>12</v>
      </c>
      <c r="D1999" s="2" t="s">
        <v>13</v>
      </c>
      <c r="E1999">
        <v>196.53</v>
      </c>
      <c r="F1999">
        <v>36.58</v>
      </c>
      <c r="G1999">
        <v>3</v>
      </c>
      <c r="H1999">
        <f t="shared" si="31"/>
        <v>61207.979999999989</v>
      </c>
      <c r="I1999" t="str">
        <f>IF(Sheet1[[#This Row],[Month_Revenue]] &lt; AVERAGE(Sheet1[Month_Revenue]), "Off-Peak", "Peak")</f>
        <v>Peak</v>
      </c>
      <c r="J1999">
        <f xml:space="preserve"> IF(Sheet1[[#This Row],[Ad Spend]] &gt; 0, (Sheet1[[#This Row],[Profit]] / Sheet1[[#This Row],[Ad Spend]]), 0)</f>
        <v>4.3726079825041007</v>
      </c>
      <c r="K1999">
        <f>Sheet1[[#This Row],[Revenue]]-Sheet1[[#This Row],[Ad Spend]]</f>
        <v>159.94999999999999</v>
      </c>
      <c r="L1999" s="2" t="s">
        <v>14</v>
      </c>
      <c r="M1999">
        <v>1</v>
      </c>
      <c r="N1999" s="2" t="s">
        <v>15</v>
      </c>
      <c r="O1999">
        <v>65.510000000000005</v>
      </c>
    </row>
    <row r="2000" spans="1:15" x14ac:dyDescent="0.3">
      <c r="A2000" s="1">
        <v>45356</v>
      </c>
      <c r="B2000" s="2" t="s">
        <v>20</v>
      </c>
      <c r="C2000" s="2" t="s">
        <v>21</v>
      </c>
      <c r="D2000" s="2" t="s">
        <v>18</v>
      </c>
      <c r="E2000">
        <v>73.8</v>
      </c>
      <c r="F2000">
        <v>7.21</v>
      </c>
      <c r="G2000">
        <v>3</v>
      </c>
      <c r="H2000">
        <f t="shared" si="31"/>
        <v>54735.250000000029</v>
      </c>
      <c r="I2000" t="str">
        <f>IF(Sheet1[[#This Row],[Month_Revenue]] &lt; AVERAGE(Sheet1[Month_Revenue]), "Off-Peak", "Peak")</f>
        <v>Off-Peak</v>
      </c>
      <c r="J2000">
        <f xml:space="preserve"> IF(Sheet1[[#This Row],[Ad Spend]] &gt; 0, (Sheet1[[#This Row],[Profit]] / Sheet1[[#This Row],[Ad Spend]]), 0)</f>
        <v>9.2357836338418871</v>
      </c>
      <c r="K2000">
        <f>Sheet1[[#This Row],[Revenue]]-Sheet1[[#This Row],[Ad Spend]]</f>
        <v>66.59</v>
      </c>
      <c r="L2000" s="2" t="s">
        <v>14</v>
      </c>
      <c r="M2000">
        <v>3</v>
      </c>
      <c r="N2000" s="2" t="s">
        <v>19</v>
      </c>
      <c r="O2000">
        <v>24.599999999999998</v>
      </c>
    </row>
    <row r="2001" spans="1:15" x14ac:dyDescent="0.3">
      <c r="A2001" s="1">
        <v>45344</v>
      </c>
      <c r="B2001" s="2" t="s">
        <v>23</v>
      </c>
      <c r="C2001" s="2" t="s">
        <v>12</v>
      </c>
      <c r="D2001" s="2" t="s">
        <v>18</v>
      </c>
      <c r="E2001">
        <v>150.27000000000001</v>
      </c>
      <c r="F2001">
        <v>6.56</v>
      </c>
      <c r="G2001">
        <v>0</v>
      </c>
      <c r="H2001">
        <f t="shared" si="31"/>
        <v>48675.899999999936</v>
      </c>
      <c r="I2001" t="str">
        <f>IF(Sheet1[[#This Row],[Month_Revenue]] &lt; AVERAGE(Sheet1[Month_Revenue]), "Off-Peak", "Peak")</f>
        <v>Off-Peak</v>
      </c>
      <c r="J2001">
        <f xml:space="preserve"> IF(Sheet1[[#This Row],[Ad Spend]] &gt; 0, (Sheet1[[#This Row],[Profit]] / Sheet1[[#This Row],[Ad Spend]]), 0)</f>
        <v>21.907012195121954</v>
      </c>
      <c r="K2001">
        <f>Sheet1[[#This Row],[Revenue]]-Sheet1[[#This Row],[Ad Spend]]</f>
        <v>143.71</v>
      </c>
      <c r="L2001" s="2" t="s">
        <v>22</v>
      </c>
      <c r="M2001">
        <v>2</v>
      </c>
      <c r="N2001" s="2" t="s">
        <v>15</v>
      </c>
      <c r="O2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B9046-2400-4AA7-83A3-BB8985AAACA4}">
  <dimension ref="A3:D9"/>
  <sheetViews>
    <sheetView workbookViewId="0">
      <selection activeCell="A3" sqref="A3"/>
    </sheetView>
  </sheetViews>
  <sheetFormatPr defaultRowHeight="14.4" x14ac:dyDescent="0.3"/>
  <cols>
    <col min="1" max="1" width="13.44140625" bestFit="1" customWidth="1"/>
    <col min="2" max="2" width="14.88671875" bestFit="1" customWidth="1"/>
    <col min="3" max="3" width="12.109375" bestFit="1" customWidth="1"/>
    <col min="4" max="4" width="29.33203125" bestFit="1" customWidth="1"/>
  </cols>
  <sheetData>
    <row r="3" spans="1:4" x14ac:dyDescent="0.3">
      <c r="A3" s="3" t="s">
        <v>29</v>
      </c>
      <c r="B3" t="s">
        <v>31</v>
      </c>
      <c r="C3" t="s">
        <v>32</v>
      </c>
      <c r="D3" t="s">
        <v>33</v>
      </c>
    </row>
    <row r="4" spans="1:4" x14ac:dyDescent="0.3">
      <c r="A4" s="4" t="s">
        <v>24</v>
      </c>
      <c r="B4" s="2">
        <v>45723.240000000005</v>
      </c>
      <c r="C4" s="2">
        <v>35545.469999999994</v>
      </c>
      <c r="D4" s="2">
        <v>14.298662893546821</v>
      </c>
    </row>
    <row r="5" spans="1:4" x14ac:dyDescent="0.3">
      <c r="A5" s="4" t="s">
        <v>23</v>
      </c>
      <c r="B5" s="2">
        <v>44946.310000000005</v>
      </c>
      <c r="C5" s="2">
        <v>34704.03</v>
      </c>
      <c r="D5" s="2">
        <v>10.178244759885663</v>
      </c>
    </row>
    <row r="6" spans="1:4" x14ac:dyDescent="0.3">
      <c r="A6" s="4" t="s">
        <v>16</v>
      </c>
      <c r="B6" s="2">
        <v>43320.840000000026</v>
      </c>
      <c r="C6" s="2">
        <v>33911.460000000021</v>
      </c>
      <c r="D6" s="2">
        <v>15.696434751427379</v>
      </c>
    </row>
    <row r="7" spans="1:4" x14ac:dyDescent="0.3">
      <c r="A7" s="4" t="s">
        <v>11</v>
      </c>
      <c r="B7" s="2">
        <v>44415.70999999997</v>
      </c>
      <c r="C7" s="2">
        <v>34221.929999999986</v>
      </c>
      <c r="D7" s="2">
        <v>8.1227839461838869</v>
      </c>
    </row>
    <row r="8" spans="1:4" x14ac:dyDescent="0.3">
      <c r="A8" s="4" t="s">
        <v>20</v>
      </c>
      <c r="B8" s="2">
        <v>44775.94000000001</v>
      </c>
      <c r="C8" s="2">
        <v>34271.51</v>
      </c>
      <c r="D8" s="2">
        <v>11.277437996435594</v>
      </c>
    </row>
    <row r="9" spans="1:4" x14ac:dyDescent="0.3">
      <c r="A9" s="4" t="s">
        <v>30</v>
      </c>
      <c r="B9" s="2">
        <v>223182.03999999969</v>
      </c>
      <c r="C9" s="2">
        <v>172654.4</v>
      </c>
      <c r="D9" s="2">
        <v>11.913928700551958</v>
      </c>
    </row>
  </sheetData>
  <sortState xmlns:xlrd2="http://schemas.microsoft.com/office/spreadsheetml/2017/richdata2" columnSort="1" ref="A3:C9">
    <sortCondition descending="1" ref="B3"/>
  </sortState>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D777-1429-4DCE-B2DF-1445372333BE}">
  <dimension ref="A1:C6"/>
  <sheetViews>
    <sheetView workbookViewId="0">
      <selection activeCell="A3" sqref="A3"/>
    </sheetView>
  </sheetViews>
  <sheetFormatPr defaultRowHeight="14.4" x14ac:dyDescent="0.3"/>
  <cols>
    <col min="1" max="1" width="12.5546875" bestFit="1" customWidth="1"/>
    <col min="2" max="2" width="14.88671875" bestFit="1" customWidth="1"/>
    <col min="3" max="3" width="12.109375" bestFit="1" customWidth="1"/>
  </cols>
  <sheetData>
    <row r="1" spans="1:3" x14ac:dyDescent="0.3">
      <c r="A1" s="3" t="s">
        <v>26</v>
      </c>
      <c r="B1" t="s">
        <v>34</v>
      </c>
    </row>
    <row r="3" spans="1:3" x14ac:dyDescent="0.3">
      <c r="A3" s="3" t="s">
        <v>29</v>
      </c>
      <c r="B3" t="s">
        <v>31</v>
      </c>
      <c r="C3" t="s">
        <v>32</v>
      </c>
    </row>
    <row r="4" spans="1:3" x14ac:dyDescent="0.3">
      <c r="A4" s="4" t="s">
        <v>22</v>
      </c>
      <c r="B4" s="2">
        <v>112620.29999999993</v>
      </c>
      <c r="C4" s="2">
        <v>87589.220000000118</v>
      </c>
    </row>
    <row r="5" spans="1:3" x14ac:dyDescent="0.3">
      <c r="A5" s="4" t="s">
        <v>14</v>
      </c>
      <c r="B5" s="2">
        <v>110561.74000000011</v>
      </c>
      <c r="C5" s="2">
        <v>85065.179999999964</v>
      </c>
    </row>
    <row r="6" spans="1:3" x14ac:dyDescent="0.3">
      <c r="A6" s="4" t="s">
        <v>30</v>
      </c>
      <c r="B6" s="2">
        <v>223182.04000000004</v>
      </c>
      <c r="C6" s="2">
        <v>172654.40000000008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6740B-5659-40DB-A19A-84F4D529DECD}">
  <dimension ref="A3:C7"/>
  <sheetViews>
    <sheetView workbookViewId="0">
      <selection activeCell="A3" sqref="A3"/>
    </sheetView>
  </sheetViews>
  <sheetFormatPr defaultRowHeight="14.4" x14ac:dyDescent="0.3"/>
  <cols>
    <col min="1" max="1" width="12.5546875" bestFit="1" customWidth="1"/>
    <col min="2" max="2" width="15.6640625" bestFit="1" customWidth="1"/>
    <col min="3" max="3" width="12.109375" bestFit="1" customWidth="1"/>
  </cols>
  <sheetData>
    <row r="3" spans="1:3" x14ac:dyDescent="0.3">
      <c r="A3" s="3" t="s">
        <v>29</v>
      </c>
      <c r="B3" t="s">
        <v>40</v>
      </c>
      <c r="C3" t="s">
        <v>32</v>
      </c>
    </row>
    <row r="4" spans="1:3" x14ac:dyDescent="0.3">
      <c r="A4" s="4" t="s">
        <v>12</v>
      </c>
      <c r="B4" s="2">
        <v>16958.050000000007</v>
      </c>
      <c r="C4" s="2">
        <v>56301.549999999988</v>
      </c>
    </row>
    <row r="5" spans="1:3" x14ac:dyDescent="0.3">
      <c r="A5" s="4" t="s">
        <v>17</v>
      </c>
      <c r="B5" s="2">
        <v>17121.239999999998</v>
      </c>
      <c r="C5" s="2">
        <v>59350.429999999986</v>
      </c>
    </row>
    <row r="6" spans="1:3" x14ac:dyDescent="0.3">
      <c r="A6" s="4" t="s">
        <v>21</v>
      </c>
      <c r="B6" s="2">
        <v>16448.349999999995</v>
      </c>
      <c r="C6" s="2">
        <v>57002.420000000107</v>
      </c>
    </row>
    <row r="7" spans="1:3" x14ac:dyDescent="0.3">
      <c r="A7" s="4" t="s">
        <v>30</v>
      </c>
      <c r="B7" s="2">
        <v>50527.64</v>
      </c>
      <c r="C7" s="2">
        <v>172654.40000000008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DF4D-E765-4273-B591-D249153F15A2}">
  <dimension ref="A3:C6"/>
  <sheetViews>
    <sheetView workbookViewId="0">
      <selection activeCell="A3" sqref="A3"/>
    </sheetView>
  </sheetViews>
  <sheetFormatPr defaultRowHeight="14.4" x14ac:dyDescent="0.3"/>
  <cols>
    <col min="1" max="1" width="12.5546875" bestFit="1" customWidth="1"/>
    <col min="2" max="2" width="14.88671875" bestFit="1" customWidth="1"/>
    <col min="3" max="3" width="19.21875" bestFit="1" customWidth="1"/>
    <col min="4" max="4" width="14.44140625" bestFit="1" customWidth="1"/>
  </cols>
  <sheetData>
    <row r="3" spans="1:3" x14ac:dyDescent="0.3">
      <c r="A3" s="3" t="s">
        <v>29</v>
      </c>
      <c r="B3" t="s">
        <v>31</v>
      </c>
      <c r="C3" t="s">
        <v>35</v>
      </c>
    </row>
    <row r="4" spans="1:3" x14ac:dyDescent="0.3">
      <c r="A4" s="4" t="s">
        <v>18</v>
      </c>
      <c r="B4" s="2">
        <v>118239.10999999991</v>
      </c>
      <c r="C4" s="2">
        <v>1071</v>
      </c>
    </row>
    <row r="5" spans="1:3" x14ac:dyDescent="0.3">
      <c r="A5" s="4" t="s">
        <v>13</v>
      </c>
      <c r="B5" s="2">
        <v>104942.93000000012</v>
      </c>
      <c r="C5" s="2">
        <v>929</v>
      </c>
    </row>
    <row r="6" spans="1:3" x14ac:dyDescent="0.3">
      <c r="A6" s="4" t="s">
        <v>30</v>
      </c>
      <c r="B6" s="2">
        <v>223182.03999999986</v>
      </c>
      <c r="C6" s="2">
        <v>2000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00437-87D0-457B-85CD-6F2929E66F33}">
  <dimension ref="B2:L42"/>
  <sheetViews>
    <sheetView tabSelected="1" topLeftCell="A5" zoomScale="64" workbookViewId="0">
      <selection activeCell="E45" sqref="E45"/>
    </sheetView>
  </sheetViews>
  <sheetFormatPr defaultRowHeight="14.4" x14ac:dyDescent="0.3"/>
  <cols>
    <col min="1" max="1" width="27.21875" style="5" customWidth="1"/>
    <col min="2" max="2" width="21.6640625" style="5" customWidth="1"/>
    <col min="3" max="3" width="7.33203125" style="5" customWidth="1"/>
    <col min="4" max="4" width="9.109375" style="5" customWidth="1"/>
    <col min="5" max="5" width="23" style="5" customWidth="1"/>
    <col min="6" max="6" width="8.88671875" style="5"/>
    <col min="7" max="7" width="8.44140625" style="5" customWidth="1"/>
    <col min="8" max="8" width="26.5546875" style="5" customWidth="1"/>
    <col min="9" max="9" width="8.88671875" style="5"/>
    <col min="10" max="10" width="5.33203125" style="5" customWidth="1"/>
    <col min="11" max="11" width="24.21875" style="5" customWidth="1"/>
    <col min="12" max="16384" width="8.88671875" style="5"/>
  </cols>
  <sheetData>
    <row r="2" spans="2:11" ht="23.4" x14ac:dyDescent="0.3">
      <c r="B2" s="6" t="s">
        <v>36</v>
      </c>
      <c r="E2" s="6" t="s">
        <v>37</v>
      </c>
      <c r="H2" s="6" t="s">
        <v>38</v>
      </c>
      <c r="K2" s="6" t="s">
        <v>39</v>
      </c>
    </row>
    <row r="3" spans="2:11" ht="23.4" x14ac:dyDescent="0.3">
      <c r="B3" s="6">
        <f>SUM(Data!E:E)</f>
        <v>223182.03999999998</v>
      </c>
      <c r="E3" s="6">
        <f>SUM(Data!K:K)</f>
        <v>172654.40000000005</v>
      </c>
      <c r="H3" s="6">
        <f>AVERAGE(Data!O:O)</f>
        <v>49.039545000000018</v>
      </c>
      <c r="K3" s="6">
        <f>SUM(Data!G:G)</f>
        <v>3010</v>
      </c>
    </row>
    <row r="39" spans="5:12" ht="33.6" x14ac:dyDescent="0.3">
      <c r="E39" s="8"/>
      <c r="F39" s="9" t="s">
        <v>41</v>
      </c>
      <c r="G39" s="9"/>
      <c r="H39" s="9"/>
    </row>
    <row r="40" spans="5:12" ht="23.4" x14ac:dyDescent="0.3">
      <c r="F40" s="7" t="s">
        <v>42</v>
      </c>
      <c r="G40" s="7"/>
      <c r="H40" s="7"/>
      <c r="I40" s="7"/>
      <c r="J40" s="7"/>
      <c r="K40" s="7"/>
      <c r="L40" s="7"/>
    </row>
    <row r="41" spans="5:12" ht="23.4" x14ac:dyDescent="0.3">
      <c r="F41" s="7" t="s">
        <v>43</v>
      </c>
      <c r="G41" s="7"/>
      <c r="H41" s="7"/>
      <c r="I41" s="7"/>
      <c r="J41" s="7"/>
      <c r="K41" s="7"/>
      <c r="L41" s="7"/>
    </row>
    <row r="42" spans="5:12" ht="23.4" x14ac:dyDescent="0.3">
      <c r="F42" s="7" t="s">
        <v>44</v>
      </c>
      <c r="G42" s="7"/>
      <c r="H42" s="7"/>
      <c r="I42" s="7"/>
      <c r="J42" s="7"/>
      <c r="K42" s="7"/>
      <c r="L4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CE5FA-7188-4D7F-9779-95FEC1C1A95C}">
  <dimension ref="A3:B9"/>
  <sheetViews>
    <sheetView workbookViewId="0">
      <selection activeCell="E7" sqref="E7"/>
    </sheetView>
  </sheetViews>
  <sheetFormatPr defaultRowHeight="14.4" x14ac:dyDescent="0.3"/>
  <cols>
    <col min="1" max="1" width="13.44140625" bestFit="1" customWidth="1"/>
    <col min="2" max="2" width="29.33203125" bestFit="1" customWidth="1"/>
    <col min="3" max="3" width="14.88671875" bestFit="1" customWidth="1"/>
  </cols>
  <sheetData>
    <row r="3" spans="1:2" x14ac:dyDescent="0.3">
      <c r="A3" s="3" t="s">
        <v>29</v>
      </c>
      <c r="B3" t="s">
        <v>33</v>
      </c>
    </row>
    <row r="4" spans="1:2" x14ac:dyDescent="0.3">
      <c r="A4" s="4" t="s">
        <v>24</v>
      </c>
      <c r="B4" s="2">
        <v>14.298662893546821</v>
      </c>
    </row>
    <row r="5" spans="1:2" x14ac:dyDescent="0.3">
      <c r="A5" s="4" t="s">
        <v>23</v>
      </c>
      <c r="B5" s="2">
        <v>10.178244759885663</v>
      </c>
    </row>
    <row r="6" spans="1:2" x14ac:dyDescent="0.3">
      <c r="A6" s="4" t="s">
        <v>16</v>
      </c>
      <c r="B6" s="2">
        <v>15.696434751427379</v>
      </c>
    </row>
    <row r="7" spans="1:2" x14ac:dyDescent="0.3">
      <c r="A7" s="4" t="s">
        <v>11</v>
      </c>
      <c r="B7" s="2">
        <v>8.1227839461838869</v>
      </c>
    </row>
    <row r="8" spans="1:2" x14ac:dyDescent="0.3">
      <c r="A8" s="4" t="s">
        <v>20</v>
      </c>
      <c r="B8" s="2">
        <v>11.277437996435594</v>
      </c>
    </row>
    <row r="9" spans="1:2" x14ac:dyDescent="0.3">
      <c r="A9" s="4" t="s">
        <v>30</v>
      </c>
      <c r="B9" s="2">
        <v>11.913928700551958</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42B306-13A4-4A4B-B223-1AB3408CAF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Channels_analysis</vt:lpstr>
      <vt:lpstr>OffPeak_analysis</vt:lpstr>
      <vt:lpstr>ServiseAOV_analysis</vt:lpstr>
      <vt:lpstr>Customer_type_analysis</vt:lpstr>
      <vt:lpstr>dashboard</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nosiba hamdy</dc:creator>
  <cp:lastModifiedBy>nosiba hamdy</cp:lastModifiedBy>
  <dcterms:created xsi:type="dcterms:W3CDTF">2025-12-01T19:14:20Z</dcterms:created>
  <dcterms:modified xsi:type="dcterms:W3CDTF">2025-12-02T14:14:36Z</dcterms:modified>
</cp:coreProperties>
</file>